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Languages Overview"/>
    <sheet r:id="rId2" sheetId="2" name="001 B-"/>
    <sheet r:id="rId3" sheetId="3" name="002 B-"/>
    <sheet r:id="rId4" sheetId="4" name="003 T-"/>
    <sheet r:id="rId5" sheetId="5" name="004 T-"/>
    <sheet r:id="rId6" sheetId="6" name="005 D-"/>
    <sheet r:id="rId7" sheetId="7" name="006 D-"/>
    <sheet r:id="rId8" sheetId="8" name="007 C-"/>
    <sheet r:id="rId9" sheetId="9" name="008 C-"/>
    <sheet r:id="rId10" sheetId="10" name="009 C-"/>
    <sheet r:id="rId11" sheetId="11" name="010 C-"/>
    <sheet r:id="rId12" sheetId="12" name="011 G-"/>
    <sheet r:id="rId13" sheetId="13" name="012 G-"/>
    <sheet r:id="rId14" sheetId="14" name="013 G-"/>
    <sheet r:id="rId15" sheetId="15" name="014 G-"/>
    <sheet r:id="rId16" sheetId="16" name="015 N-"/>
    <sheet r:id="rId17" sheetId="17" name="016 N-"/>
    <sheet r:id="rId18" sheetId="18" name="016.5 M-"/>
    <sheet r:id="rId19" sheetId="19" name="017 F-"/>
    <sheet r:id="rId20" sheetId="20" name="018 F-"/>
    <sheet r:id="rId21" sheetId="21" name="019 V-"/>
    <sheet r:id="rId22" sheetId="22" name="020 V-"/>
    <sheet r:id="rId23" sheetId="23" name="021 S-"/>
    <sheet r:id="rId24" sheetId="24" name="022 S-"/>
    <sheet r:id="rId25" sheetId="25" name="023 S-"/>
    <sheet r:id="rId26" sheetId="26" name="024 H-"/>
    <sheet r:id="rId27" sheetId="27" name="025 R-"/>
    <sheet r:id="rId28" sheetId="28" name="026 L-"/>
    <sheet r:id="rId29" sheetId="29" name="027 L-"/>
    <sheet r:id="rId30" sheetId="30" name="028 J-"/>
    <sheet r:id="rId31" sheetId="31" name="029 J-"/>
    <sheet r:id="rId32" sheetId="32" name="030 J-"/>
    <sheet r:id="rId33" sheetId="33" name="031a W-"/>
    <sheet r:id="rId34" sheetId="34" name="031b W-"/>
    <sheet r:id="rId35" sheetId="35" name="032 PL-"/>
    <sheet r:id="rId36" sheetId="36" name="033 BR-"/>
    <sheet r:id="rId37" sheetId="37" name="034 BL-"/>
    <sheet r:id="rId38" sheetId="38" name="035 TR-"/>
    <sheet r:id="rId39" sheetId="39" name="036 DR-"/>
    <sheet r:id="rId40" sheetId="40" name="037 CR-"/>
    <sheet r:id="rId41" sheetId="41" name="038 CL-"/>
    <sheet r:id="rId42" sheetId="42" name="039 QU-"/>
    <sheet r:id="rId43" sheetId="43" name="040 QU-"/>
    <sheet r:id="rId44" sheetId="44" name="041 QU-"/>
    <sheet r:id="rId45" sheetId="45" name="042 QU-"/>
    <sheet r:id="rId46" sheetId="46" name="043 GL-"/>
    <sheet r:id="rId47" sheetId="47" name="044 FR-"/>
    <sheet r:id="rId48" sheetId="48" name="045 FL-"/>
    <sheet r:id="rId49" sheetId="49" name="046 SP-"/>
    <sheet r:id="rId50" sheetId="50" name="047 ST-"/>
    <sheet r:id="rId51" sheetId="51" name="048 ST-"/>
    <sheet r:id="rId52" sheetId="52" name="049a SC-"/>
    <sheet r:id="rId53" sheetId="53" name="049b SC-"/>
    <sheet r:id="rId54" sheetId="54" name="050 SC-"/>
    <sheet r:id="rId55" sheetId="55" name="051 STR-"/>
    <sheet r:id="rId56" sheetId="56" name="052 SCR-"/>
    <sheet r:id="rId57" sheetId="57" name="053 -P-"/>
    <sheet r:id="rId58" sheetId="58" name="054 -B-"/>
    <sheet r:id="rId59" sheetId="59" name="055 -T-"/>
    <sheet r:id="rId60" sheetId="60" name="056 -T-"/>
    <sheet r:id="rId61" sheetId="61" name="057 -D-"/>
    <sheet r:id="rId62" sheetId="62" name="058 -D-"/>
    <sheet r:id="rId63" sheetId="63" name="059 -C-"/>
    <sheet r:id="rId64" sheetId="64" name="060 -C-"/>
    <sheet r:id="rId65" sheetId="65" name="061 -C-"/>
    <sheet r:id="rId66" sheetId="66" name="062 -G-"/>
    <sheet r:id="rId67" sheetId="67" name="063 -G-"/>
    <sheet r:id="rId68" sheetId="68" name="064 -G-"/>
    <sheet r:id="rId69" sheetId="69" name="065 -M-"/>
    <sheet r:id="rId70" sheetId="70" name="066 -N-"/>
    <sheet r:id="rId71" sheetId="71" name="067 -F-"/>
    <sheet r:id="rId72" sheetId="72" name="068 -V-"/>
    <sheet r:id="rId73" sheetId="73" name="069 -S-"/>
    <sheet r:id="rId74" sheetId="74" name="070 -S-"/>
    <sheet r:id="rId75" sheetId="75" name="071 -R-"/>
    <sheet r:id="rId76" sheetId="76" name="072 -L-"/>
    <sheet r:id="rId77" sheetId="77" name="073 -J-"/>
    <sheet r:id="rId78" sheetId="78" name="074 -J-"/>
    <sheet r:id="rId79" sheetId="79" name="075 -PJ-"/>
    <sheet r:id="rId80" sheetId="80" name="076 -BJ-"/>
    <sheet r:id="rId81" sheetId="81" name="077 -TJ-"/>
    <sheet r:id="rId82" sheetId="82" name="078 -TJ-"/>
    <sheet r:id="rId83" sheetId="83" name="079 -DJ-"/>
    <sheet r:id="rId84" sheetId="84" name="080 -CJ-"/>
    <sheet r:id="rId85" sheetId="85" name="081 -CJ-"/>
    <sheet r:id="rId86" sheetId="86" name="082 -GJ-"/>
    <sheet r:id="rId87" sheetId="87" name="083 -VJ-"/>
    <sheet r:id="rId88" sheetId="88" name="083.5 -FJ-"/>
    <sheet r:id="rId89" sheetId="89" name="084 -SJ-"/>
    <sheet r:id="rId90" sheetId="90" name="085 -MJ-"/>
    <sheet r:id="rId91" sheetId="91" name="086 -NJ-"/>
    <sheet r:id="rId92" sheetId="92" name="087 -RJ-"/>
    <sheet r:id="rId93" sheetId="93" name="088 -LJ-"/>
    <sheet r:id="rId94" sheetId="94" name="089 -LJ-"/>
    <sheet r:id="rId95" sheetId="95" name="090 -PP-"/>
    <sheet r:id="rId96" sheetId="96" name="091 -BB-"/>
    <sheet r:id="rId97" sheetId="97" name="092 -TT-"/>
    <sheet r:id="rId98" sheetId="98" name="093 -DD-"/>
    <sheet r:id="rId99" sheetId="99" name="094 -CC-"/>
    <sheet r:id="rId100" sheetId="100" name="095 -CC-"/>
    <sheet r:id="rId101" sheetId="101" name="096 -CC-"/>
    <sheet r:id="rId102" sheetId="102" name="097 -GG-"/>
    <sheet r:id="rId103" sheetId="103" name="098 -MM-"/>
    <sheet r:id="rId104" sheetId="104" name="099 -NN-"/>
    <sheet r:id="rId105" sheetId="105" name="100 -FF-"/>
    <sheet r:id="rId106" sheetId="106" name="101 -SS-"/>
    <sheet r:id="rId107" sheetId="107" name="102 -SS-"/>
    <sheet r:id="rId108" sheetId="108" name="103 -RR-"/>
    <sheet r:id="rId109" sheetId="109" name="104 -LL-"/>
    <sheet r:id="rId110" sheetId="110" name="twoCons.s"/>
    <sheet r:id="rId111" sheetId="111" name="threeCons.s"/>
    <sheet r:id="rId112" sheetId="112" name="250 Ī"/>
    <sheet r:id="rId113" sheetId="113" name="000V"/>
  </sheets>
  <calcPr fullCalcOnLoad="1"/>
</workbook>
</file>

<file path=xl/sharedStrings.xml><?xml version="1.0" encoding="utf-8"?>
<sst xmlns="http://schemas.openxmlformats.org/spreadsheetml/2006/main" count="46062" uniqueCount="1564">
  <si>
    <t>B - Vocalism</t>
  </si>
  <si>
    <t>1. Accented vowels</t>
  </si>
  <si>
    <t>Number</t>
  </si>
  <si>
    <t>Latin Reference Words</t>
  </si>
  <si>
    <t>Treatment</t>
  </si>
  <si>
    <t>Ī</t>
  </si>
  <si>
    <t>AMĪCA</t>
  </si>
  <si>
    <t>Environment</t>
  </si>
  <si>
    <t>_Ca</t>
  </si>
  <si>
    <t>Languages</t>
  </si>
  <si>
    <t>LAT</t>
  </si>
  <si>
    <t>EU
POR</t>
  </si>
  <si>
    <t>BR
POR</t>
  </si>
  <si>
    <t>GAL</t>
  </si>
  <si>
    <t>ASL</t>
  </si>
  <si>
    <t>CAS
ESP</t>
  </si>
  <si>
    <t>AND
ESP</t>
  </si>
  <si>
    <t>AMR
ESP</t>
  </si>
  <si>
    <t>ARG</t>
  </si>
  <si>
    <t>CAT</t>
  </si>
  <si>
    <t>VAL</t>
  </si>
  <si>
    <t>BAL</t>
  </si>
  <si>
    <t>OCC</t>
  </si>
  <si>
    <t>GAS
OCC</t>
  </si>
  <si>
    <t>EU
FRA</t>
  </si>
  <si>
    <t>QBC
FRA</t>
  </si>
  <si>
    <t>WAL</t>
  </si>
  <si>
    <t>ARP</t>
  </si>
  <si>
    <t>LIG</t>
  </si>
  <si>
    <t>LMO</t>
  </si>
  <si>
    <t>RMH</t>
  </si>
  <si>
    <t>FUR</t>
  </si>
  <si>
    <t>LOG
SRD</t>
  </si>
  <si>
    <t>CPN
SRD</t>
  </si>
  <si>
    <t>COR</t>
  </si>
  <si>
    <t>ITA</t>
  </si>
  <si>
    <t>ABR</t>
  </si>
  <si>
    <t>CAM</t>
  </si>
  <si>
    <t>PGL</t>
  </si>
  <si>
    <t>SCN</t>
  </si>
  <si>
    <t>VEN</t>
  </si>
  <si>
    <t>ARO</t>
  </si>
  <si>
    <t>ROM</t>
  </si>
  <si>
    <t>Grapheme</t>
  </si>
  <si>
    <t>I</t>
  </si>
  <si>
    <t>IPA</t>
  </si>
  <si>
    <t>iː</t>
  </si>
  <si>
    <t>IPA key</t>
  </si>
  <si>
    <t>Rounded +/−</t>
  </si>
  <si>
    <t>−</t>
  </si>
  <si>
    <t>Nasal +/−</t>
  </si>
  <si>
    <t>Front +/−</t>
  </si>
  <si>
    <t>+</t>
  </si>
  <si>
    <t>Raised +/−</t>
  </si>
  <si>
    <t>Retracted +/−</t>
  </si>
  <si>
    <t>Long +/−</t>
  </si>
  <si>
    <t>Free/Checked/Glide?</t>
  </si>
  <si>
    <t>[</t>
  </si>
  <si>
    <t>Height</t>
  </si>
  <si>
    <t>Ɨ</t>
  </si>
  <si>
    <t>Height value</t>
  </si>
  <si>
    <t>Backness</t>
  </si>
  <si>
    <t>E</t>
  </si>
  <si>
    <t>Backness value</t>
  </si>
  <si>
    <t>Overview of common sound changes</t>
  </si>
  <si>
    <t>ī / ? / _Ca</t>
  </si>
  <si>
    <t>typically //</t>
  </si>
  <si>
    <t>https://en.wikipedia.org/wiki/Vowel#/media/File:Esling_vowel_chart.png</t>
  </si>
  <si>
    <t>i</t>
  </si>
  <si>
    <t>typically /i/</t>
  </si>
  <si>
    <t>A - Consonantism</t>
  </si>
  <si>
    <t>2. Intervocalic Position</t>
  </si>
  <si>
    <t>2.5 Groups of two consonants + yod</t>
  </si>
  <si>
    <t>-PTJ-</t>
  </si>
  <si>
    <t>STRĀTA, STRICTA, STRATU/A</t>
  </si>
  <si>
    <t>V_V</t>
  </si>
  <si>
    <t>01a</t>
  </si>
  <si>
    <t>01b</t>
  </si>
  <si>
    <t>02</t>
  </si>
  <si>
    <t>03</t>
  </si>
  <si>
    <t>04a</t>
  </si>
  <si>
    <t>04b</t>
  </si>
  <si>
    <t>04c</t>
  </si>
  <si>
    <t>04d</t>
  </si>
  <si>
    <t>05</t>
  </si>
  <si>
    <t>06a</t>
  </si>
  <si>
    <t>06b</t>
  </si>
  <si>
    <t>06c</t>
  </si>
  <si>
    <t>07a</t>
  </si>
  <si>
    <t>07b</t>
  </si>
  <si>
    <t>08</t>
  </si>
  <si>
    <t>09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</si>
  <si>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</si>
  <si>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</si>
  <si>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</si>
  <si>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</si>
  <si>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</si>
  <si>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</si>
  <si>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</si>
  <si>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</si>
  <si>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</si>
  <si>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</si>
  <si>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</si>
  <si>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</si>
  <si>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</si>
  <si>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</si>
  <si>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</si>
  <si>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</si>
  <si>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LDO</t>
  </si>
  <si>
    <t>PST</t>
  </si>
  <si>
    <t>GLA</t>
  </si>
  <si>
    <t>NRM</t>
  </si>
  <si>
    <t>PIC</t>
  </si>
  <si>
    <t>PMS</t>
  </si>
  <si>
    <t>EML</t>
  </si>
  <si>
    <t>RML</t>
  </si>
  <si>
    <t>LDN</t>
  </si>
  <si>
    <t>DMI</t>
  </si>
  <si>
    <t>CMM</t>
  </si>
  <si>
    <t>LUC</t>
  </si>
  <si>
    <t>CLB</t>
  </si>
  <si>
    <t>SAL</t>
  </si>
  <si>
    <t>IST</t>
  </si>
  <si>
    <t>Consonantal +/−</t>
  </si>
  <si>
    <t>Voice +/−</t>
  </si>
  <si>
    <t>Sibilant +/−</t>
  </si>
  <si>
    <t>Lateral +/−</t>
  </si>
  <si>
    <t>Place of articulation</t>
  </si>
  <si>
    <t>Place value</t>
  </si>
  <si>
    <t>Manner of articulation</t>
  </si>
  <si>
    <t>Sonority value</t>
  </si>
  <si>
    <t>I/E</t>
  </si>
  <si>
    <t>j</t>
  </si>
  <si>
    <t>Ɉ</t>
  </si>
  <si>
    <t>W</t>
  </si>
  <si>
    <t>stɾ / ? / #_</t>
  </si>
  <si>
    <t>2.2 Consonants + yod</t>
  </si>
  <si>
    <t>-PT-</t>
  </si>
  <si>
    <t>P</t>
  </si>
  <si>
    <t>p</t>
  </si>
  <si>
    <t>B</t>
  </si>
  <si>
    <t>T</t>
  </si>
  <si>
    <t>t̪</t>
  </si>
  <si>
    <t>D</t>
  </si>
  <si>
    <t>pt / ? / V_V</t>
  </si>
  <si>
    <t>2.3 Geminate consonants</t>
  </si>
  <si>
    <t>-LL-</t>
  </si>
  <si>
    <t>104a) BĔLLA, PĂTĔLLA, VĬLLA, MĬLLE, VĬTĔLLU, FŎLLE, ĂLLĬGĀRE; 104b) GĂLLĪNA, BŬLLĪRE, -LLĪ</t>
  </si>
  <si>
    <t>LL</t>
  </si>
  <si>
    <t>l</t>
  </si>
  <si>
    <t>ll</t>
  </si>
  <si>
    <t>l(l)</t>
  </si>
  <si>
    <t>dd</t>
  </si>
  <si>
    <r>
      <t/>
    </r>
    <r>
      <rPr>
        <sz val="12"/>
        <color rgb="FF000000"/>
        <rFont val="Tahoma"/>
        <family val="2"/>
      </rPr>
      <t>ll</t>
    </r>
    <r>
      <rPr>
        <sz val="10"/>
        <color rgb="FF000000"/>
        <rFont val="Tahoma"/>
        <family val="2"/>
      </rPr>
      <t xml:space="preserve"> (gli)</t>
    </r>
  </si>
  <si>
    <t>ḍḍ</t>
  </si>
  <si>
    <t>ll~ɭɭ</t>
  </si>
  <si>
    <t>ɫ̪</t>
  </si>
  <si>
    <t>ʎ~ʝ</t>
  </si>
  <si>
    <t>ʝ</t>
  </si>
  <si>
    <t>ȴ [ʎ̟]</t>
  </si>
  <si>
    <t>ɖɖ</t>
  </si>
  <si>
    <r>
      <t/>
    </r>
    <r>
      <rPr>
        <sz val="12"/>
        <color rgb="FF000000"/>
        <rFont val="Tahoma"/>
        <family val="2"/>
      </rPr>
      <t>ll</t>
    </r>
    <r>
      <rPr>
        <sz val="11"/>
        <color rgb="FF000000"/>
        <rFont val="Tahoma"/>
        <family val="2"/>
      </rPr>
      <t xml:space="preserve"> (ȴȴ)</t>
    </r>
  </si>
  <si>
    <t>+/−</t>
  </si>
  <si>
    <t>D~Ɉ</t>
  </si>
  <si>
    <t>DQ</t>
  </si>
  <si>
    <t>D (Ɉ)</t>
  </si>
  <si>
    <t>LLWW</t>
  </si>
  <si>
    <t>LW</t>
  </si>
  <si>
    <t>LW~F</t>
  </si>
  <si>
    <t>F</t>
  </si>
  <si>
    <t>PP</t>
  </si>
  <si>
    <t>104a</t>
  </si>
  <si>
    <t>104b</t>
  </si>
  <si>
    <t>104a: ll / ? / V_{a,e,ĭ,O}</t>
  </si>
  <si>
    <t>104b: ll / ? / V_ī</t>
  </si>
  <si>
    <t>Balkan Romance shows palatalization before /i/</t>
  </si>
  <si>
    <t>-RR-</t>
  </si>
  <si>
    <t>TĔRRA, CĂRRU, CĂRRĀRĬA</t>
  </si>
  <si>
    <t>RR</t>
  </si>
  <si>
    <t>rr</t>
  </si>
  <si>
    <t>r</t>
  </si>
  <si>
    <t>rː</t>
  </si>
  <si>
    <t>ʁ (r)</t>
  </si>
  <si>
    <t>x~h</t>
  </si>
  <si>
    <t>r̠ː</t>
  </si>
  <si>
    <t>rː  (ʀ)</t>
  </si>
  <si>
    <r>
      <t/>
    </r>
    <r>
      <rPr>
        <sz val="12"/>
        <color rgb="FF000000"/>
        <rFont val="Tahoma"/>
        <family val="2"/>
      </rPr>
      <t>ʁ</t>
    </r>
    <r>
      <rPr>
        <sz val="10"/>
        <color rgb="FF000000"/>
        <rFont val="Tahoma"/>
        <family val="2"/>
      </rPr>
      <t xml:space="preserve"> (ʀ)</t>
    </r>
  </si>
  <si>
    <t>ʀ</t>
  </si>
  <si>
    <t>ʐː~rː</t>
  </si>
  <si>
    <t>ɾ̪</t>
  </si>
  <si>
    <r>
      <t/>
    </r>
    <r>
      <rPr>
        <sz val="12"/>
        <color rgb="FF000000"/>
        <rFont val="Tahoma"/>
        <family val="2"/>
      </rPr>
      <t>Q</t>
    </r>
    <r>
      <rPr>
        <sz val="11"/>
        <color rgb="FF000000"/>
        <rFont val="Tahoma"/>
        <family val="2"/>
      </rPr>
      <t xml:space="preserve"> (D)</t>
    </r>
  </si>
  <si>
    <t>K~H</t>
  </si>
  <si>
    <r>
      <t/>
    </r>
    <r>
      <rPr>
        <sz val="12"/>
        <color rgb="FF000000"/>
        <rFont val="Tahoma"/>
        <family val="2"/>
      </rPr>
      <t>D</t>
    </r>
    <r>
      <rPr>
        <sz val="11"/>
        <color rgb="FF000000"/>
        <rFont val="Tahoma"/>
        <family val="2"/>
      </rPr>
      <t xml:space="preserve"> (Q)</t>
    </r>
  </si>
  <si>
    <t>Q</t>
  </si>
  <si>
    <t>Ɉ~D</t>
  </si>
  <si>
    <t>F (L)</t>
  </si>
  <si>
    <r>
      <t/>
    </r>
    <r>
      <rPr>
        <sz val="12"/>
        <color rgb="FF000000"/>
        <rFont val="Tahoma"/>
        <family val="2"/>
      </rPr>
      <t>LL</t>
    </r>
    <r>
      <rPr>
        <sz val="11"/>
        <color rgb="FF000000"/>
        <rFont val="Tahoma"/>
        <family val="2"/>
      </rPr>
      <t xml:space="preserve"> (L)</t>
    </r>
  </si>
  <si>
    <r>
      <t/>
    </r>
    <r>
      <rPr>
        <sz val="12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 (L)</t>
    </r>
  </si>
  <si>
    <t>L</t>
  </si>
  <si>
    <t>FF~LL</t>
  </si>
  <si>
    <t>rr / ? / V_V</t>
  </si>
  <si>
    <t>typically remains [rː]</t>
  </si>
  <si>
    <t>-SS-</t>
  </si>
  <si>
    <t>PĂSSU/ĀRE, ŎSSU, FŎSSA, ĂSSĀRE, SPĬSSU;
CRĂSSU, BĂSSU</t>
  </si>
  <si>
    <t>V_{a,O}</t>
  </si>
  <si>
    <t>SS</t>
  </si>
  <si>
    <t>ss</t>
  </si>
  <si>
    <t>s</t>
  </si>
  <si>
    <t>s̠s̠</t>
  </si>
  <si>
    <t>s (s̠)</t>
  </si>
  <si>
    <t>s̠</t>
  </si>
  <si>
    <t>s̟</t>
  </si>
  <si>
    <t>s̪</t>
  </si>
  <si>
    <t>FF</t>
  </si>
  <si>
    <t>ss / ? / V_{a,O}</t>
  </si>
  <si>
    <t>typically degeminated</t>
  </si>
  <si>
    <t>CRĂSSU, BĂSSU</t>
  </si>
  <si>
    <t xml:space="preserve">occasional palatalized forms likely from -SSJ- rather than true -SS- </t>
  </si>
  <si>
    <t>101a) VĔSSĪCA, *VĬSSĪNA/ĪRE;
101b) TŬSSĬ/ĪRE, *ĂSSĒCŪRĀRE, ĂSSĬMĬLĀRE</t>
  </si>
  <si>
    <t>V_E</t>
  </si>
  <si>
    <t>x</t>
  </si>
  <si>
    <t>(i)x</t>
  </si>
  <si>
    <t>sh</t>
  </si>
  <si>
    <t>sc(i)</t>
  </si>
  <si>
    <t>ș</t>
  </si>
  <si>
    <t>sh~s</t>
  </si>
  <si>
    <t>ș~s</t>
  </si>
  <si>
    <t>ʃ</t>
  </si>
  <si>
    <t>h</t>
  </si>
  <si>
    <t>ɕ~ʃ</t>
  </si>
  <si>
    <t>ʃʃ</t>
  </si>
  <si>
    <r>
      <t/>
    </r>
    <r>
      <rPr>
        <sz val="12"/>
        <color rgb="FF000000"/>
        <rFont val="Tahoma"/>
        <family val="2"/>
      </rPr>
      <t>s</t>
    </r>
    <r>
      <rPr>
        <sz val="11"/>
        <color rgb="FF000000"/>
        <rFont val="Tahoma"/>
        <family val="2"/>
      </rPr>
      <t xml:space="preserve"> (s̠)</t>
    </r>
  </si>
  <si>
    <r>
      <t/>
    </r>
    <r>
      <rPr>
        <sz val="12"/>
        <color rgb="FF000000"/>
        <rFont val="Tahoma"/>
        <family val="2"/>
      </rPr>
      <t>s̠</t>
    </r>
    <r>
      <rPr>
        <sz val="9"/>
        <color rgb="FF000000"/>
        <rFont val="Tahoma"/>
        <family val="2"/>
      </rPr>
      <t xml:space="preserve"> (s)</t>
    </r>
  </si>
  <si>
    <t>ʃ~s̪</t>
  </si>
  <si>
    <t>K</t>
  </si>
  <si>
    <t>H</t>
  </si>
  <si>
    <t>101a</t>
  </si>
  <si>
    <t>101b</t>
  </si>
  <si>
    <t>101a: ss / ? / V_E</t>
  </si>
  <si>
    <t>typically palatalized/degeminated</t>
  </si>
  <si>
    <t>101b: ss / ? / V_E</t>
  </si>
  <si>
    <t>-FF-</t>
  </si>
  <si>
    <t>ŎFFĔNDĔRE, SŬFFĔRĪRE, DĬFFĬCĬLE</t>
  </si>
  <si>
    <t>f</t>
  </si>
  <si>
    <t>ff</t>
  </si>
  <si>
    <t>ff / ? / V_V</t>
  </si>
  <si>
    <t>typically degeminated; the given forms here are typically learned</t>
  </si>
  <si>
    <t>-NN-</t>
  </si>
  <si>
    <t>CĂNNA, ĂNNU, CĬNNU/ĀRE, PĂNNU, CĂNNŬLA</t>
  </si>
  <si>
    <t>NN</t>
  </si>
  <si>
    <t>n</t>
  </si>
  <si>
    <t>ñ</t>
  </si>
  <si>
    <t>ny</t>
  </si>
  <si>
    <t>nn</t>
  </si>
  <si>
    <t>n̪ʲ~ȵ</t>
  </si>
  <si>
    <t>ȵ~ɲ</t>
  </si>
  <si>
    <t>DɈ~Ɉ</t>
  </si>
  <si>
    <t>N</t>
  </si>
  <si>
    <t>nn / ? / V_V</t>
  </si>
  <si>
    <t>-MM-</t>
  </si>
  <si>
    <t>FLĂMMA, GĔMMA, CŎMMŪNE, SŬMMA/U, MĂMMA</t>
  </si>
  <si>
    <t>MM</t>
  </si>
  <si>
    <t>m</t>
  </si>
  <si>
    <t>mm</t>
  </si>
  <si>
    <t>mm / ? / V_V</t>
  </si>
  <si>
    <t>-GG-</t>
  </si>
  <si>
    <t>ĔXĂGGĔRĀRE, SŬGGĔRĀRE</t>
  </si>
  <si>
    <t>GG</t>
  </si>
  <si>
    <t>g</t>
  </si>
  <si>
    <t>g(g)</t>
  </si>
  <si>
    <t>ɡɡ</t>
  </si>
  <si>
    <t>ʒ</t>
  </si>
  <si>
    <t>d̠͡ʒ</t>
  </si>
  <si>
    <t>d̠d̠͡ʒ</t>
  </si>
  <si>
    <t>P͡F</t>
  </si>
  <si>
    <t>PP͡F</t>
  </si>
  <si>
    <t>ɡɡ / ? / V_V</t>
  </si>
  <si>
    <t>would typically have degeminated; the given forms here are learned and only show the context V_E</t>
  </si>
  <si>
    <t>-CC-</t>
  </si>
  <si>
    <t>ŎCCĪDĔRE, *BĂCCĬNU, CŎCCĬNU, BŬCCĬNĀRE, FLĂCCĬDU</t>
  </si>
  <si>
    <t>CC</t>
  </si>
  <si>
    <t>c</t>
  </si>
  <si>
    <t>c/z</t>
  </si>
  <si>
    <r>
      <t/>
    </r>
    <r>
      <rPr>
        <sz val="9"/>
        <color rgb="FF000000"/>
        <rFont val="Tahoma"/>
        <family val="2"/>
      </rPr>
      <t>c/ss</t>
    </r>
    <r>
      <rPr>
        <sz val="8"/>
        <color rgb="FF000000"/>
        <rFont val="Tahoma"/>
        <family val="2"/>
      </rPr>
      <t>(tz)</t>
    </r>
  </si>
  <si>
    <t>c/ss</t>
  </si>
  <si>
    <t>cc</t>
  </si>
  <si>
    <t>ts</t>
  </si>
  <si>
    <t>kk</t>
  </si>
  <si>
    <r>
      <t/>
    </r>
    <r>
      <rPr>
        <sz val="12"/>
        <color rgb="FF000000"/>
        <rFont val="Tahoma"/>
        <family val="2"/>
      </rPr>
      <t>s</t>
    </r>
    <r>
      <rPr>
        <sz val="11"/>
        <color rgb="FF000000"/>
        <rFont val="Tahoma"/>
        <family val="2"/>
      </rPr>
      <t xml:space="preserve"> (s̪)</t>
    </r>
  </si>
  <si>
    <t>θ (s)</t>
  </si>
  <si>
    <t>θ</t>
  </si>
  <si>
    <r>
      <t/>
    </r>
    <r>
      <rPr>
        <sz val="12"/>
        <color rgb="FF000000"/>
        <rFont val="Tahoma"/>
        <family val="2"/>
      </rPr>
      <t>s̠</t>
    </r>
    <r>
      <rPr>
        <sz val="10"/>
        <color rgb="FF000000"/>
        <rFont val="Tahoma"/>
        <family val="2"/>
      </rPr>
      <t xml:space="preserve"> (d͡z̠)</t>
    </r>
  </si>
  <si>
    <t>t̠t̠͡ʃ</t>
  </si>
  <si>
    <t>t͡s̪</t>
  </si>
  <si>
    <t>t̠͡ʃ</t>
  </si>
  <si>
    <t>−/+</t>
  </si>
  <si>
    <r>
      <t/>
    </r>
    <r>
      <rPr>
        <sz val="12"/>
        <color rgb="FF000000"/>
        <rFont val="Tahoma"/>
        <family val="2"/>
      </rPr>
      <t>F</t>
    </r>
    <r>
      <rPr>
        <sz val="10"/>
        <color rgb="FF000000"/>
        <rFont val="Tahoma"/>
        <family val="2"/>
      </rPr>
      <t xml:space="preserve"> (P͡F)</t>
    </r>
  </si>
  <si>
    <t>kk / ? / V_E</t>
  </si>
  <si>
    <t>typically palatalizes</t>
  </si>
  <si>
    <t>*TŬCCĀRE, BŬCCA, VĂCCA</t>
  </si>
  <si>
    <t>V_a</t>
  </si>
  <si>
    <t>ch</t>
  </si>
  <si>
    <t>k</t>
  </si>
  <si>
    <t>k~c</t>
  </si>
  <si>
    <t>K~Ɉ</t>
  </si>
  <si>
    <t>kk / ? / V_a</t>
  </si>
  <si>
    <t>SĬCCU, BĔCCU</t>
  </si>
  <si>
    <t>V_O</t>
  </si>
  <si>
    <t>kk / ? / V_O</t>
  </si>
  <si>
    <t>-DD-</t>
  </si>
  <si>
    <t>ĂDDŪCĔRE, RĔDDĔRE, (ĬN)ĂDDĔRE</t>
  </si>
  <si>
    <t>DD</t>
  </si>
  <si>
    <t>d</t>
  </si>
  <si>
    <t>d̪d̪</t>
  </si>
  <si>
    <t>ð</t>
  </si>
  <si>
    <t>d̪</t>
  </si>
  <si>
    <t>ð̞</t>
  </si>
  <si>
    <t>ð~ð̞</t>
  </si>
  <si>
    <t>d̪~ð̞</t>
  </si>
  <si>
    <t>d̪~ð</t>
  </si>
  <si>
    <t>F~W</t>
  </si>
  <si>
    <t>P~W</t>
  </si>
  <si>
    <t>P~F</t>
  </si>
  <si>
    <t>dd / ? / V_V</t>
  </si>
  <si>
    <t>-TT-</t>
  </si>
  <si>
    <t>092a) CĂTTA/U, PLĂTTU, BŬTTE, SĂGĬTTA, MĬTTĔRE;
092b) *PĬTTĪTU, *MĬTTĪTU</t>
  </si>
  <si>
    <t>TT</t>
  </si>
  <si>
    <t>t</t>
  </si>
  <si>
    <t>tt</t>
  </si>
  <si>
    <t>ț</t>
  </si>
  <si>
    <t>t̪t̪</t>
  </si>
  <si>
    <t>t͡s</t>
  </si>
  <si>
    <t>092a</t>
  </si>
  <si>
    <t>092b</t>
  </si>
  <si>
    <t>092a: tt / ? / V_{a,e,ī,O}</t>
  </si>
  <si>
    <t>092b: tt / ? / V_ī</t>
  </si>
  <si>
    <t>-BB-</t>
  </si>
  <si>
    <t>ĂBBĀTE, GĬBBA, SĂBBĂTU</t>
  </si>
  <si>
    <t>BB</t>
  </si>
  <si>
    <t>b</t>
  </si>
  <si>
    <t>b(b)</t>
  </si>
  <si>
    <t>bb</t>
  </si>
  <si>
    <t>β</t>
  </si>
  <si>
    <t>β̞</t>
  </si>
  <si>
    <t>β~β̞</t>
  </si>
  <si>
    <t>b~β̞</t>
  </si>
  <si>
    <t>b~β</t>
  </si>
  <si>
    <t>bb (b)</t>
  </si>
  <si>
    <t>PP (P)</t>
  </si>
  <si>
    <t>bb / ? / V_V</t>
  </si>
  <si>
    <t>-PP-</t>
  </si>
  <si>
    <t>CŬPPA, STŬPPA/ĀRE</t>
  </si>
  <si>
    <t>pp</t>
  </si>
  <si>
    <t>pp / ? / V_V</t>
  </si>
  <si>
    <t>-LJ-</t>
  </si>
  <si>
    <t>PĂLĔA, FŎLĬA, ŎLĔU</t>
  </si>
  <si>
    <t>{a,e,o,u}_V</t>
  </si>
  <si>
    <t>lh</t>
  </si>
  <si>
    <t>∅</t>
  </si>
  <si>
    <t>gli</t>
  </si>
  <si>
    <t>lj</t>
  </si>
  <si>
    <t>l̪ʲ</t>
  </si>
  <si>
    <r>
      <t/>
    </r>
    <r>
      <rPr>
        <sz val="12"/>
        <color rgb="FF000000"/>
        <rFont val="Tahoma"/>
        <family val="2"/>
      </rPr>
      <t>ȴ</t>
    </r>
    <r>
      <rPr>
        <sz val="10"/>
        <color rgb="FF000000"/>
        <rFont val="Tahoma"/>
        <family val="2"/>
      </rPr>
      <t xml:space="preserve"> [ʎ̟]</t>
    </r>
  </si>
  <si>
    <r>
      <t/>
    </r>
    <r>
      <rPr>
        <sz val="10"/>
        <color rgb="FF000000"/>
        <rFont val="Tahoma"/>
        <family val="2"/>
      </rPr>
      <t>ȴȴ</t>
    </r>
    <r>
      <rPr>
        <sz val="9"/>
        <color rgb="FF000000"/>
        <rFont val="Tahoma"/>
        <family val="2"/>
      </rPr>
      <t xml:space="preserve"> [ʎ̟ʎ̟]</t>
    </r>
  </si>
  <si>
    <t>lj / ? / {a,e,o,u}_V</t>
  </si>
  <si>
    <t>FĪLĬA/U, CĬLĬA, MĬLĬU, MĪLĬA</t>
  </si>
  <si>
    <t>i_V</t>
  </si>
  <si>
    <t>i/∅</t>
  </si>
  <si>
    <t>j~∅</t>
  </si>
  <si>
    <t>W~∅</t>
  </si>
  <si>
    <t>lj / ? / i_V</t>
  </si>
  <si>
    <t>-RJ-</t>
  </si>
  <si>
    <t>JĀN-/JĔNŬĀRĬU, LĂCTĀRĬU, FŬRNĀRĬU</t>
  </si>
  <si>
    <t>R</t>
  </si>
  <si>
    <t>ɾ</t>
  </si>
  <si>
    <t>rj / ? / V_V</t>
  </si>
  <si>
    <t>frequent metathesis</t>
  </si>
  <si>
    <t>-NJ-</t>
  </si>
  <si>
    <t>086a) CĂSTĂNĔA, MONTĀNĔA, VĪNĔA, ĂRĀNĔA, PĪNĔA, CŬNĔU/ĀRE, BĂNĔU, CĂLCĀNĔU; 086b) LINEU, EXTRANEU</t>
  </si>
  <si>
    <t>nh</t>
  </si>
  <si>
    <t>gn</t>
  </si>
  <si>
    <t>nj</t>
  </si>
  <si>
    <t>◌̃</t>
  </si>
  <si>
    <t>ȵ</t>
  </si>
  <si>
    <t>n̪ʲː~ȵȵ</t>
  </si>
  <si>
    <t>ɲ</t>
  </si>
  <si>
    <t>N~∅</t>
  </si>
  <si>
    <t>ge</t>
  </si>
  <si>
    <t>j̃</t>
  </si>
  <si>
    <t>NW</t>
  </si>
  <si>
    <t>086a</t>
  </si>
  <si>
    <t>086b</t>
  </si>
  <si>
    <t>nj / ? / V_V</t>
  </si>
  <si>
    <t>typically /ɲ/</t>
  </si>
  <si>
    <t>cf. Recasens on alveolopalatals</t>
  </si>
  <si>
    <t>-MJ-</t>
  </si>
  <si>
    <t>VĪNDĒMĬA/ĀRE, DĬFFĀMĬA, SĪMĬA/U, CŎMMĔĀTU</t>
  </si>
  <si>
    <t>M</t>
  </si>
  <si>
    <t>mj / ? / V_V</t>
  </si>
  <si>
    <t>-SJ-</t>
  </si>
  <si>
    <t>084a) BĀSĬU/ĀRE, CĀSĔU, NAUSĔA, CĔRĔSĬA, PHĂSĔOLU, CĔRVĒSĬA, PHĀSĬĀNU; 084b) CĂMĬSĬA, CĬNĬSĬA, *MĂSĬŌNE</t>
  </si>
  <si>
    <t>S</t>
  </si>
  <si>
    <t>ci/gi</t>
  </si>
  <si>
    <t>sci</t>
  </si>
  <si>
    <t>ʃ~d̠͡ʒ</t>
  </si>
  <si>
    <t>F~P͡F</t>
  </si>
  <si>
    <t>s/z</t>
  </si>
  <si>
    <t>s̠~θ</t>
  </si>
  <si>
    <t>z̠</t>
  </si>
  <si>
    <t>z̪</t>
  </si>
  <si>
    <r>
      <t/>
    </r>
    <r>
      <rPr>
        <sz val="12"/>
        <color rgb="FF000000"/>
        <rFont val="Tahoma"/>
        <family val="2"/>
      </rPr>
      <t>z</t>
    </r>
    <r>
      <rPr>
        <sz val="11"/>
        <color rgb="FF000000"/>
        <rFont val="Tahoma"/>
        <family val="2"/>
      </rPr>
      <t xml:space="preserve"> (z̠)</t>
    </r>
  </si>
  <si>
    <t>z</t>
  </si>
  <si>
    <t>084a: sj / ? / V_V</t>
  </si>
  <si>
    <t>084b: sj / ? / V_V</t>
  </si>
  <si>
    <t>V_i or only V_ī?</t>
  </si>
  <si>
    <t>ECCLĒSIA semi-learned</t>
  </si>
  <si>
    <t>Etyma:</t>
  </si>
  <si>
    <t>basiu/are</t>
  </si>
  <si>
    <t>ʲʒ</t>
  </si>
  <si>
    <t>ʲʃ</t>
  </si>
  <si>
    <t>ʲs̠</t>
  </si>
  <si>
    <t>ʲs̟</t>
  </si>
  <si>
    <t>ʲz̠</t>
  </si>
  <si>
    <t>z̠ (ʒ)</t>
  </si>
  <si>
    <t>z̠~z̺</t>
  </si>
  <si>
    <t>ʲz̪</t>
  </si>
  <si>
    <t>ʒ (h)</t>
  </si>
  <si>
    <t>t͡ʃ &lt; ʃ</t>
  </si>
  <si>
    <t>caseu</t>
  </si>
  <si>
    <t>ʲs</t>
  </si>
  <si>
    <t>--</t>
  </si>
  <si>
    <t>-</t>
  </si>
  <si>
    <t>ceresia</t>
  </si>
  <si>
    <t>[ʲ]ʒ</t>
  </si>
  <si>
    <t>θ~s̠</t>
  </si>
  <si>
    <t>- (z̠/ʒ)</t>
  </si>
  <si>
    <t>z̠/z̺ (ʎ)</t>
  </si>
  <si>
    <t>ʃ (h,ç)</t>
  </si>
  <si>
    <t>d͡ʒ &lt; ʒ</t>
  </si>
  <si>
    <t>cervesia</t>
  </si>
  <si>
    <t>θ (s̠)</t>
  </si>
  <si>
    <t>ma[n]sione/ata</t>
  </si>
  <si>
    <r>
      <t/>
    </r>
    <r>
      <rPr>
        <sz val="12"/>
        <color rgb="FF000000"/>
        <rFont val="Tahoma"/>
        <family val="2"/>
      </rPr>
      <t xml:space="preserve">ʲʒ, </t>
    </r>
    <r>
      <rPr>
        <i/>
        <sz val="12"/>
        <color rgb="FF000000"/>
        <rFont val="Tahoma"/>
        <family val="2"/>
      </rPr>
      <t>z̻(z̠)</t>
    </r>
  </si>
  <si>
    <t>s̠ (s̻)</t>
  </si>
  <si>
    <t>ʲs̠, ʲz̠</t>
  </si>
  <si>
    <t>ʲs̟, ʲz̟</t>
  </si>
  <si>
    <t>ʲs, ʲz</t>
  </si>
  <si>
    <t>z̠, j</t>
  </si>
  <si>
    <t>ʲz̠ (ʲʒ)</t>
  </si>
  <si>
    <t>ʲz̠~ʲz̺</t>
  </si>
  <si>
    <t>ʒ (h,z̪)</t>
  </si>
  <si>
    <r>
      <t/>
    </r>
    <r>
      <rPr>
        <sz val="12"/>
        <color rgb="FF000000"/>
        <rFont val="Tahoma"/>
        <family val="2"/>
      </rPr>
      <t>d͡ʒ</t>
    </r>
    <r>
      <rPr>
        <i/>
        <sz val="12"/>
        <color rgb="FF000000"/>
        <rFont val="Tahoma"/>
        <family val="2"/>
      </rPr>
      <t xml:space="preserve"> (z̪/z̺)</t>
    </r>
  </si>
  <si>
    <t>ph/faseolu</t>
  </si>
  <si>
    <t>- (j[z̠])</t>
  </si>
  <si>
    <t>ph/fasianu</t>
  </si>
  <si>
    <t>ʲz̻ (ʲz̠)</t>
  </si>
  <si>
    <t>ʲs̠ (ʲs̻)</t>
  </si>
  <si>
    <t>pree[n]sione</t>
  </si>
  <si>
    <t>z̻ (z̠)</t>
  </si>
  <si>
    <t>s̠j</t>
  </si>
  <si>
    <t>sj</t>
  </si>
  <si>
    <t>segusiu</t>
  </si>
  <si>
    <t>camisia</t>
  </si>
  <si>
    <t>ʒ/ʃ(h,ç,z̪)</t>
  </si>
  <si>
    <t>cinisia</t>
  </si>
  <si>
    <t>s̠(s̻)(θ)</t>
  </si>
  <si>
    <t>-FJ-</t>
  </si>
  <si>
    <t>CŌFIA/CŪF(F)ĬA, SŎFĬA</t>
  </si>
  <si>
    <t>ɸ~f</t>
  </si>
  <si>
    <t>083.5: fj / ? / V_V</t>
  </si>
  <si>
    <t>typically either /fj/ or /jf/</t>
  </si>
  <si>
    <r>
      <t/>
    </r>
    <r>
      <rPr>
        <i/>
        <sz val="12"/>
        <color rgb="FF000000"/>
        <rFont val="Tahoma"/>
        <family val="2"/>
      </rPr>
      <t xml:space="preserve">The </t>
    </r>
    <r>
      <rPr>
        <sz val="12"/>
        <color rgb="FF000000"/>
        <rFont val="Tahoma"/>
        <family val="2"/>
      </rPr>
      <t>FEW</t>
    </r>
    <r>
      <rPr>
        <i/>
        <sz val="12"/>
        <color rgb="FF000000"/>
        <rFont val="Tahoma"/>
        <family val="2"/>
      </rPr>
      <t xml:space="preserve"> notes SŎFĬA with voicing to /v/ in Cisalpine varieties.</t>
    </r>
  </si>
  <si>
    <t>CŌFIA/CŪF(F)ĬA</t>
  </si>
  <si>
    <t>jf</t>
  </si>
  <si>
    <t>fj, jf</t>
  </si>
  <si>
    <r>
      <t/>
    </r>
    <r>
      <rPr>
        <sz val="12"/>
        <color rgb="FF000000"/>
        <rFont val="Tahoma"/>
        <family val="2"/>
      </rPr>
      <t>SŎFĬA</t>
    </r>
    <r>
      <rPr>
        <i/>
        <sz val="10"/>
        <color rgb="FF000000"/>
        <rFont val="Tahoma"/>
        <family val="2"/>
      </rPr>
      <t xml:space="preserve"> (fish)</t>
    </r>
  </si>
  <si>
    <t>fj</t>
  </si>
  <si>
    <r>
      <t/>
    </r>
    <r>
      <rPr>
        <sz val="12"/>
        <color rgb="FF000000"/>
        <rFont val="Tahoma"/>
        <family val="2"/>
      </rPr>
      <t>SŎFĬA</t>
    </r>
    <r>
      <rPr>
        <i/>
        <sz val="10"/>
        <color rgb="FF000000"/>
        <rFont val="Tahoma"/>
        <family val="2"/>
      </rPr>
      <t xml:space="preserve"> (tree)</t>
    </r>
  </si>
  <si>
    <t>-VJ-</t>
  </si>
  <si>
    <t>083a) CĂVĔA, DĪLŬVĬU, FŎVĔA, LĔVĬU, NŎVĬU, PLŬVĬA; 083b) CĂVĔŎLA, LĔVĬĀRĬU/ĀNU, PLŬVĬŌSU</t>
  </si>
  <si>
    <t>V</t>
  </si>
  <si>
    <t>v/b</t>
  </si>
  <si>
    <t>v</t>
  </si>
  <si>
    <t>u</t>
  </si>
  <si>
    <t>w~β</t>
  </si>
  <si>
    <t>v~β̞</t>
  </si>
  <si>
    <t>w</t>
  </si>
  <si>
    <t>BK~B</t>
  </si>
  <si>
    <t>BK</t>
  </si>
  <si>
    <t>W~F</t>
  </si>
  <si>
    <t>v (β)</t>
  </si>
  <si>
    <t>083a</t>
  </si>
  <si>
    <t>083b</t>
  </si>
  <si>
    <t>083a: βj / ? / ˈV_V</t>
  </si>
  <si>
    <t>SĂLVĬA possible if L pre-vocalized as in Gallo-Romance;
FŎVĔA/PLŬVĬA behave as -J- if dropped /β/ early on</t>
  </si>
  <si>
    <t>083b: βj / ? / Vˈ_V</t>
  </si>
  <si>
    <t>CĂVĔA</t>
  </si>
  <si>
    <t>β̞j</t>
  </si>
  <si>
    <t>DĪLŬVĬU</t>
  </si>
  <si>
    <t>jβ̞</t>
  </si>
  <si>
    <t>FŎVĔA</t>
  </si>
  <si>
    <t>LĔVĬU</t>
  </si>
  <si>
    <t>NŎVĬU</t>
  </si>
  <si>
    <t>PLŎVĬA</t>
  </si>
  <si>
    <t>CĂVĔŎLA</t>
  </si>
  <si>
    <t>LĔVĬĀRĬU/ĀNU</t>
  </si>
  <si>
    <t>PLŬVĬŌSU</t>
  </si>
  <si>
    <t>-GJ-</t>
  </si>
  <si>
    <t>FĀGĔA/U, CŎRRĬGĬA, PLĂGĬA, GRĔGĬU/A, ĔXĂGĬU/ĀRE, SĂGĬA, HŌRŎLŎGĬU; FŬGĬAT/Ō</t>
  </si>
  <si>
    <t>G</t>
  </si>
  <si>
    <t>zz</t>
  </si>
  <si>
    <t>ɡ</t>
  </si>
  <si>
    <t>dd͡z</t>
  </si>
  <si>
    <t>i/y</t>
  </si>
  <si>
    <t>y/x</t>
  </si>
  <si>
    <t>y</t>
  </si>
  <si>
    <t>g/j</t>
  </si>
  <si>
    <t>ggi</t>
  </si>
  <si>
    <t>ʝ~ʃ</t>
  </si>
  <si>
    <r>
      <t/>
    </r>
    <r>
      <rPr>
        <sz val="11"/>
        <color rgb="FF000000"/>
        <rFont val="Tahoma"/>
        <family val="2"/>
      </rPr>
      <t>̠d̠͡ʒ</t>
    </r>
    <r>
      <rPr>
        <sz val="10"/>
        <color rgb="FF000000"/>
        <rFont val="Tahoma"/>
        <family val="2"/>
      </rPr>
      <t xml:space="preserve"> (d͡z̠)</t>
    </r>
  </si>
  <si>
    <t>Ɉ (D)</t>
  </si>
  <si>
    <t>082a</t>
  </si>
  <si>
    <t>082b</t>
  </si>
  <si>
    <r>
      <t/>
    </r>
    <r>
      <rPr>
        <sz val="12"/>
        <color rgb="FF000000"/>
        <rFont val="Tahoma"/>
        <family val="2"/>
      </rPr>
      <t xml:space="preserve">082a: ɡj / ? / V_V
</t>
    </r>
    <r>
      <rPr>
        <i/>
        <sz val="11"/>
        <color rgb="FF000000"/>
        <rFont val="Tahoma"/>
        <family val="2"/>
      </rPr>
      <t>often dropped</t>
    </r>
  </si>
  <si>
    <r>
      <t/>
    </r>
    <r>
      <rPr>
        <sz val="12"/>
        <color rgb="FF000000"/>
        <rFont val="Tahoma"/>
        <family val="2"/>
      </rPr>
      <t xml:space="preserve">082b: ɡj / ? / V_V
</t>
    </r>
    <r>
      <rPr>
        <i/>
        <sz val="11"/>
        <color rgb="FF000000"/>
        <rFont val="Tahoma"/>
        <family val="2"/>
      </rPr>
      <t>often w/ fortition</t>
    </r>
  </si>
  <si>
    <t>FŬGĬŌ/-ĬAT may show analogy</t>
  </si>
  <si>
    <t>*affugientāre</t>
  </si>
  <si>
    <t>→</t>
  </si>
  <si>
    <t>corrigia</t>
  </si>
  <si>
    <t>[j]</t>
  </si>
  <si>
    <t>←</t>
  </si>
  <si>
    <t>d͡ʒ</t>
  </si>
  <si>
    <t>d͡ʒ(d͡z̺)(j)</t>
  </si>
  <si>
    <t>dd͡ʒ</t>
  </si>
  <si>
    <t>exagiu/are</t>
  </si>
  <si>
    <t>ʝ̞ (←)</t>
  </si>
  <si>
    <t xml:space="preserve">ʒ	</t>
  </si>
  <si>
    <t>fagea/u</t>
  </si>
  <si>
    <t>β (ʝ)</t>
  </si>
  <si>
    <t>fastigiu/ale</t>
  </si>
  <si>
    <t>fugio/at</t>
  </si>
  <si>
    <t>i̯ɣ</t>
  </si>
  <si>
    <t>i̯</t>
  </si>
  <si>
    <t>gg</t>
  </si>
  <si>
    <t>gregiu/a</t>
  </si>
  <si>
    <t>→, dd͡z</t>
  </si>
  <si>
    <t>dd͡ʒ, ←</t>
  </si>
  <si>
    <t>horologiu</t>
  </si>
  <si>
    <t>x/h/∅</t>
  </si>
  <si>
    <t>ʒj</t>
  </si>
  <si>
    <t>t͡ʃ</t>
  </si>
  <si>
    <t>d͡ʒ(d͡z̺)</t>
  </si>
  <si>
    <t>plagia</t>
  </si>
  <si>
    <r>
      <t/>
    </r>
    <r>
      <rPr>
        <sz val="12"/>
        <color rgb="FF000000"/>
        <rFont val="Tahoma"/>
        <family val="2"/>
      </rPr>
      <t>ʒ</t>
    </r>
    <r>
      <rPr>
        <sz val="9"/>
        <color rgb="FF000000"/>
        <rFont val="Tahoma"/>
        <family val="2"/>
      </rPr>
      <t xml:space="preserve"> (←)</t>
    </r>
  </si>
  <si>
    <t>pulegiu/olu</t>
  </si>
  <si>
    <t>sagia</t>
  </si>
  <si>
    <t>-- (→)</t>
  </si>
  <si>
    <t>→ (j)</t>
  </si>
  <si>
    <t>-- (ʝ)</t>
  </si>
  <si>
    <t>-CJ-</t>
  </si>
  <si>
    <t>FĂCĬA, VĪNĀCEU, ĒRĪCĬU, FĂCTĪCĬU, FŎCĀCĬA, GLĂCĬE/A, LĪCĬU, LŪCĬU, MĬNĀCĬA, MĬXTĪCĬU</t>
  </si>
  <si>
    <t>ˈV_V</t>
  </si>
  <si>
    <t>C</t>
  </si>
  <si>
    <t>c/ç</t>
  </si>
  <si>
    <t>ç/c</t>
  </si>
  <si>
    <t>ss/ce</t>
  </si>
  <si>
    <t>cci</t>
  </si>
  <si>
    <t>tt͡s</t>
  </si>
  <si>
    <t>kj / ? / ˈV_V</t>
  </si>
  <si>
    <t>ĂCĬĀRĬU, ĒRĪCĬŌNE, FĂCĬĔNDA</t>
  </si>
  <si>
    <t>Vˈ_V</t>
  </si>
  <si>
    <t>ci</t>
  </si>
  <si>
    <t>080a</t>
  </si>
  <si>
    <t>080b</t>
  </si>
  <si>
    <t>080a: kj / ? / Vˈ_{a,E}</t>
  </si>
  <si>
    <t>often merges with palatalized C</t>
  </si>
  <si>
    <t>080b: kj / ? / Vˈ_O</t>
  </si>
  <si>
    <t>ROM shows different result: t̠͡ʃ</t>
  </si>
  <si>
    <t>FĂCĬĔNDA shows frequent voicing</t>
  </si>
  <si>
    <t>-DJ-</t>
  </si>
  <si>
    <t>RĂDĬU, PŎDĬU, HŎDĬE, PŎDĬĀRE, MĔDĬU, ĂDĬŪTĀRE</t>
  </si>
  <si>
    <t>dz</t>
  </si>
  <si>
    <t>d͡z̪</t>
  </si>
  <si>
    <t>079a</t>
  </si>
  <si>
    <t>079b</t>
  </si>
  <si>
    <r>
      <t/>
    </r>
    <r>
      <rPr>
        <sz val="12"/>
        <color rgb="FF000000"/>
        <rFont val="Tahoma"/>
        <family val="2"/>
      </rPr>
      <t xml:space="preserve">079a: dj / ? / V_V
</t>
    </r>
    <r>
      <rPr>
        <i/>
        <sz val="11"/>
        <color rgb="FF000000"/>
        <rFont val="Tahoma"/>
        <family val="2"/>
      </rPr>
      <t>often merged with [j]</t>
    </r>
  </si>
  <si>
    <r>
      <t/>
    </r>
    <r>
      <rPr>
        <sz val="12"/>
        <color rgb="FF000000"/>
        <rFont val="Tahoma"/>
        <family val="2"/>
      </rPr>
      <t xml:space="preserve">079b: dj / ? / V_V
</t>
    </r>
    <r>
      <rPr>
        <i/>
        <sz val="11"/>
        <color rgb="FF000000"/>
        <rFont val="Tahoma"/>
        <family val="2"/>
      </rPr>
      <t>often w/ fortition</t>
    </r>
  </si>
  <si>
    <t>adiutare</t>
  </si>
  <si>
    <t>i̯ (→)</t>
  </si>
  <si>
    <t>d͡ʒ (d͡z)</t>
  </si>
  <si>
    <t>← (ʒ)</t>
  </si>
  <si>
    <t>(ap)podiu/are</t>
  </si>
  <si>
    <t>j, →</t>
  </si>
  <si>
    <t>←, ʒ</t>
  </si>
  <si>
    <t>←, ʃ</t>
  </si>
  <si>
    <r>
      <t/>
    </r>
    <r>
      <rPr>
        <sz val="12"/>
        <color rgb="FF000000"/>
        <rFont val="Tahoma"/>
        <family val="2"/>
      </rPr>
      <t>gaudiu/a</t>
    </r>
    <r>
      <rPr>
        <sz val="9"/>
        <color rgb="FF000000"/>
        <rFont val="Tahoma"/>
        <family val="2"/>
      </rPr>
      <t xml:space="preserve"> (if U not [w])</t>
    </r>
  </si>
  <si>
    <t>hodie</t>
  </si>
  <si>
    <t>i̯~∅</t>
  </si>
  <si>
    <t>-idiare</t>
  </si>
  <si>
    <t>→, ∅</t>
  </si>
  <si>
    <t>ʲ∅</t>
  </si>
  <si>
    <t>→, j</t>
  </si>
  <si>
    <t>ʒ, ←</t>
  </si>
  <si>
    <t>inodiare</t>
  </si>
  <si>
    <t>ʃ (ʝ)</t>
  </si>
  <si>
    <t>invidia</t>
  </si>
  <si>
    <t>ð̞j</t>
  </si>
  <si>
    <t>dj</t>
  </si>
  <si>
    <t>ʒ (←)</t>
  </si>
  <si>
    <t>lapideu</t>
  </si>
  <si>
    <t>media/u/anu/etate</t>
  </si>
  <si>
    <t>j/d͡ʒ (d͡z)</t>
  </si>
  <si>
    <t>ʝ (t͡ʃ)</t>
  </si>
  <si>
    <t>modiu/olu</t>
  </si>
  <si>
    <t>radia/u</t>
  </si>
  <si>
    <t>ʝ,θ</t>
  </si>
  <si>
    <t>rideo/at</t>
  </si>
  <si>
    <t>k~ɣ</t>
  </si>
  <si>
    <t>z, ɣ</t>
  </si>
  <si>
    <t>schidia</t>
  </si>
  <si>
    <t>sedeo/at/ola</t>
  </si>
  <si>
    <t>∅, →</t>
  </si>
  <si>
    <t>[j], →</t>
  </si>
  <si>
    <t>ðj</t>
  </si>
  <si>
    <t>←, ʝ</t>
  </si>
  <si>
    <t>vadeat</t>
  </si>
  <si>
    <t>- (ɣ)</t>
  </si>
  <si>
    <t>video/at</t>
  </si>
  <si>
    <t>ʒ/j (z/ɣ)</t>
  </si>
  <si>
    <t>-TJ-</t>
  </si>
  <si>
    <t>078a) VĬTĬU, PĂLĀTĬU; 078b) PŬTĔU, PRĔTĬU, CĂPĬTĬA/U, CĂPĬTĬŬLU, PŪTĬU, STĂTĬO, TĪTĬŌ</t>
  </si>
  <si>
    <t>∅ (s)</t>
  </si>
  <si>
    <t>ç</t>
  </si>
  <si>
    <r>
      <t/>
    </r>
    <r>
      <rPr>
        <sz val="12"/>
        <color rgb="FF000000"/>
        <rFont val="Tahoma"/>
        <family val="2"/>
      </rPr>
      <t>z</t>
    </r>
    <r>
      <rPr>
        <sz val="11"/>
        <color rgb="FF000000"/>
        <rFont val="Tahoma"/>
        <family val="2"/>
      </rPr>
      <t xml:space="preserve"> (z̪)</t>
    </r>
  </si>
  <si>
    <t>∅ (z̠)</t>
  </si>
  <si>
    <r>
      <t/>
    </r>
    <r>
      <rPr>
        <sz val="12"/>
        <color rgb="FF000000"/>
        <rFont val="Tahoma"/>
        <family val="2"/>
      </rPr>
      <t>−</t>
    </r>
    <r>
      <rPr>
        <sz val="11"/>
        <color rgb="FF000000"/>
        <rFont val="Tahoma"/>
        <family val="2"/>
      </rPr>
      <t xml:space="preserve"> (+)</t>
    </r>
  </si>
  <si>
    <t>∅ (F)</t>
  </si>
  <si>
    <t>078a</t>
  </si>
  <si>
    <t>078b</t>
  </si>
  <si>
    <t>078a: tj / ? / ˈV_V</t>
  </si>
  <si>
    <t>truly singleton, often show voicing</t>
  </si>
  <si>
    <t>078b: tj / ? / ˈV_V</t>
  </si>
  <si>
    <t>may have geminated, not typically voiced</t>
  </si>
  <si>
    <t>cf. "Notes on the Development of -KJ-, -TJ- in Spanish and Portuguese" by Hugh E. Wilkinson</t>
  </si>
  <si>
    <t>077a) RĂTĬŌNE, PRETĬĀRE, SĂTĬŌNE, STĂTĬŌNE, TRĀDĬTĬŌNE, [A]VĬTĬĀRE, *WĂRITĬŌNE; 077b) TĪTĬŌNE/ATTĪTĬĀRE, ĂCŪTĬĀRE</t>
  </si>
  <si>
    <r>
      <t/>
    </r>
    <r>
      <rPr>
        <sz val="12"/>
        <color rgb="FF000000"/>
        <rFont val="Tahoma"/>
        <family val="2"/>
      </rPr>
      <t>zz</t>
    </r>
    <r>
      <rPr>
        <sz val="8"/>
        <color rgb="FF000000"/>
        <rFont val="Tahoma"/>
        <family val="2"/>
      </rPr>
      <t xml:space="preserve"> (</t>
    </r>
    <r>
      <rPr>
        <sz val="9"/>
        <color rgb="FF000000"/>
        <rFont val="Tahoma"/>
        <family val="2"/>
      </rPr>
      <t>gi</t>
    </r>
    <r>
      <rPr>
        <sz val="8"/>
        <color rgb="FF000000"/>
        <rFont val="Tahoma"/>
        <family val="2"/>
      </rPr>
      <t>)</t>
    </r>
  </si>
  <si>
    <r>
      <t/>
    </r>
    <r>
      <rPr>
        <sz val="11"/>
        <color rgb="FF000000"/>
        <rFont val="Tahoma"/>
        <family val="2"/>
      </rPr>
      <t>tt͡s</t>
    </r>
    <r>
      <rPr>
        <sz val="8"/>
        <color rgb="FF000000"/>
        <rFont val="Tahoma"/>
        <family val="2"/>
      </rPr>
      <t xml:space="preserve"> </t>
    </r>
    <r>
      <rPr>
        <sz val="11"/>
        <color rgb="FF000000"/>
        <rFont val="Tahoma"/>
        <family val="2"/>
      </rPr>
      <t>(ʒ)</t>
    </r>
  </si>
  <si>
    <r>
      <t/>
    </r>
    <r>
      <rPr>
        <sz val="12"/>
        <color rgb="FF000000"/>
        <rFont val="Tahoma"/>
        <family val="2"/>
      </rPr>
      <t>−</t>
    </r>
    <r>
      <rPr>
        <sz val="9"/>
        <color rgb="FF000000"/>
        <rFont val="Tahoma"/>
        <family val="2"/>
      </rPr>
      <t xml:space="preserve"> (+)</t>
    </r>
  </si>
  <si>
    <r>
      <t/>
    </r>
    <r>
      <rPr>
        <sz val="12"/>
        <color rgb="FF000000"/>
        <rFont val="Tahoma"/>
        <family val="2"/>
      </rPr>
      <t>D</t>
    </r>
    <r>
      <rPr>
        <sz val="11"/>
        <color rgb="FF000000"/>
        <rFont val="Tahoma"/>
        <family val="2"/>
      </rPr>
      <t xml:space="preserve"> (Ɉ)</t>
    </r>
  </si>
  <si>
    <r>
      <t/>
    </r>
    <r>
      <rPr>
        <sz val="10"/>
        <color rgb="FF000000"/>
        <rFont val="Tahoma"/>
        <family val="2"/>
      </rPr>
      <t>PP͡F</t>
    </r>
    <r>
      <rPr>
        <sz val="8"/>
        <color rgb="FF000000"/>
        <rFont val="Tahoma"/>
        <family val="2"/>
      </rPr>
      <t xml:space="preserve"> (F)</t>
    </r>
  </si>
  <si>
    <t>077a</t>
  </si>
  <si>
    <t>077a,b</t>
  </si>
  <si>
    <t>077b,c</t>
  </si>
  <si>
    <t>077c</t>
  </si>
  <si>
    <t>077a: tj / ? / Vˈ_V</t>
  </si>
  <si>
    <t>077b: tj / ? / Vˈ_{a,E}</t>
  </si>
  <si>
    <t>077c: tj / ? / Vˈ_O</t>
  </si>
  <si>
    <t>-BJ-</t>
  </si>
  <si>
    <t>076a) RŬBĔA/U, GŬBĬA, LĂBĬU, LAUBĬA, RĂBĬA, SCĂBĬA; 076b₁) ĂBĔO, ĂBĔA[T], DĒBĔO; 076b₂) -ĂBĔO</t>
  </si>
  <si>
    <t>b/j</t>
  </si>
  <si>
    <t>β~ʒ</t>
  </si>
  <si>
    <t>β~d̠͡ʒ</t>
  </si>
  <si>
    <t>B~Ɉ</t>
  </si>
  <si>
    <r>
      <t/>
    </r>
    <r>
      <rPr>
        <sz val="12"/>
        <color rgb="FF000000"/>
        <rFont val="Tahoma"/>
        <family val="2"/>
      </rPr>
      <t>F</t>
    </r>
    <r>
      <rPr>
        <sz val="11"/>
        <color rgb="FF000000"/>
        <rFont val="Tahoma"/>
        <family val="2"/>
      </rPr>
      <t xml:space="preserve"> (W)</t>
    </r>
  </si>
  <si>
    <r>
      <t/>
    </r>
    <r>
      <rPr>
        <sz val="12"/>
        <color rgb="FF000000"/>
        <rFont val="Tahoma"/>
        <family val="2"/>
      </rPr>
      <t>F</t>
    </r>
    <r>
      <rPr>
        <sz val="11"/>
        <color rgb="FF000000"/>
        <rFont val="Tahoma"/>
        <family val="2"/>
      </rPr>
      <t xml:space="preserve"> (P)</t>
    </r>
  </si>
  <si>
    <t>gu</t>
  </si>
  <si>
    <t>ɣ~ɣ̞</t>
  </si>
  <si>
    <t>ɡ~ɣ̞</t>
  </si>
  <si>
    <t>ɡ~ɣ</t>
  </si>
  <si>
    <t>076a</t>
  </si>
  <si>
    <t>076b₁</t>
  </si>
  <si>
    <t>076b₂</t>
  </si>
  <si>
    <t>076a: bj / ? / V_V</t>
  </si>
  <si>
    <r>
      <t/>
    </r>
    <r>
      <rPr>
        <sz val="12"/>
        <color rgb="FF000000"/>
        <rFont val="Tahoma"/>
        <family val="2"/>
      </rPr>
      <t xml:space="preserve">076b₁: </t>
    </r>
    <r>
      <rPr>
        <i/>
        <sz val="12"/>
        <color rgb="FF000000"/>
        <rFont val="Tahoma"/>
        <family val="2"/>
      </rPr>
      <t>habere/debere</t>
    </r>
  </si>
  <si>
    <t>SJV.1S, SJV.3S</t>
  </si>
  <si>
    <r>
      <t/>
    </r>
    <r>
      <rPr>
        <sz val="12"/>
        <color rgb="FF000000"/>
        <rFont val="Tahoma"/>
        <family val="2"/>
      </rPr>
      <t xml:space="preserve">076b₂: </t>
    </r>
    <r>
      <rPr>
        <i/>
        <sz val="12"/>
        <color rgb="FF000000"/>
        <rFont val="Tahoma"/>
        <family val="2"/>
      </rPr>
      <t>habere</t>
    </r>
  </si>
  <si>
    <t>FUT.1S</t>
  </si>
  <si>
    <t>v (β)?</t>
  </si>
  <si>
    <t>RŬBĔA/U</t>
  </si>
  <si>
    <t>GŬBĬA</t>
  </si>
  <si>
    <t>LĂBĬU</t>
  </si>
  <si>
    <t>βi</t>
  </si>
  <si>
    <t>vi</t>
  </si>
  <si>
    <t>LAUBĬA</t>
  </si>
  <si>
    <t>RĂBĬA</t>
  </si>
  <si>
    <t>SCĂBĬA</t>
  </si>
  <si>
    <t>bbj, dd͡ʒ</t>
  </si>
  <si>
    <t>jb</t>
  </si>
  <si>
    <t>ĂBĔO</t>
  </si>
  <si>
    <t>ĂBĔA[T]</t>
  </si>
  <si>
    <t>DĒBĔO</t>
  </si>
  <si>
    <t>-ĂBĔO</t>
  </si>
  <si>
    <t>bj</t>
  </si>
  <si>
    <t>∅, ɟ</t>
  </si>
  <si>
    <t>-PJ-</t>
  </si>
  <si>
    <t>075a) SĂPĬA/AT/U, ĂPĬU/A, PRŎPĬU, SĒPĬA, *SCUPĬO; 075b) PRŎPĔĀNU, ĂPPRŎPĬĀRE</t>
  </si>
  <si>
    <t>pj, tʃ</t>
  </si>
  <si>
    <t>075a</t>
  </si>
  <si>
    <t>075b</t>
  </si>
  <si>
    <t>075a: pj / ? / ˈV_V</t>
  </si>
  <si>
    <t>075b: pj / ? / V_ˈV</t>
  </si>
  <si>
    <t>jβ</t>
  </si>
  <si>
    <t>ʲp</t>
  </si>
  <si>
    <t>piɣ</t>
  </si>
  <si>
    <t>pj, vi</t>
  </si>
  <si>
    <t>vj, &lt;j&gt;</t>
  </si>
  <si>
    <t>jp</t>
  </si>
  <si>
    <t>pj</t>
  </si>
  <si>
    <t>pi</t>
  </si>
  <si>
    <t>&lt;ch&gt;</t>
  </si>
  <si>
    <t>ʲβ</t>
  </si>
  <si>
    <t>ʲb</t>
  </si>
  <si>
    <t>ʲβ̞</t>
  </si>
  <si>
    <t>ʲp/pj</t>
  </si>
  <si>
    <t>2.1 Simple consonants</t>
  </si>
  <si>
    <t>-J-</t>
  </si>
  <si>
    <t>MĀJU, *PLŎJA, RĂJA, TRŎJA, PĔJU</t>
  </si>
  <si>
    <t>jj</t>
  </si>
  <si>
    <t>WW</t>
  </si>
  <si>
    <t>074a</t>
  </si>
  <si>
    <t>074b</t>
  </si>
  <si>
    <r>
      <t/>
    </r>
    <r>
      <rPr>
        <sz val="10"/>
        <color rgb="FF000000"/>
        <rFont val="Tahoma"/>
        <family val="2"/>
      </rPr>
      <t xml:space="preserve">074a: </t>
    </r>
    <r>
      <rPr>
        <sz val="11"/>
        <color rgb="FF000000"/>
        <rFont val="Tahoma"/>
        <family val="2"/>
      </rPr>
      <t xml:space="preserve">j / ? / {Vˈ_V, V_Vˈ}
</t>
    </r>
    <r>
      <rPr>
        <i/>
        <sz val="11"/>
        <color rgb="FF000000"/>
        <rFont val="Tahoma"/>
        <family val="2"/>
      </rPr>
      <t>often dropped</t>
    </r>
  </si>
  <si>
    <r>
      <t/>
    </r>
    <r>
      <rPr>
        <sz val="10"/>
        <color rgb="FF000000"/>
        <rFont val="Tahoma"/>
        <family val="2"/>
      </rPr>
      <t xml:space="preserve">074b: </t>
    </r>
    <r>
      <rPr>
        <sz val="11"/>
        <color rgb="FF000000"/>
        <rFont val="Tahoma"/>
        <family val="2"/>
      </rPr>
      <t xml:space="preserve">j / ? / {Vˈ_V, V_Vˈ}
</t>
    </r>
    <r>
      <rPr>
        <i/>
        <sz val="11"/>
        <color rgb="FF000000"/>
        <rFont val="Tahoma"/>
        <family val="2"/>
      </rPr>
      <t>often w/ fortition</t>
    </r>
  </si>
  <si>
    <t>PĔJU(S)</t>
  </si>
  <si>
    <t>'PĔJOR</t>
  </si>
  <si>
    <t>MĀJU</t>
  </si>
  <si>
    <t>~</t>
  </si>
  <si>
    <t>*PLŎ(V)JA</t>
  </si>
  <si>
    <t>RĂJA</t>
  </si>
  <si>
    <t>TRŎJA</t>
  </si>
  <si>
    <t>MĔJU/MĔJO</t>
  </si>
  <si>
    <t>SATUREJA</t>
  </si>
  <si>
    <t>ʎ</t>
  </si>
  <si>
    <t>()</t>
  </si>
  <si>
    <t>MĂJŌRE, PĔJŌRE, JĔJŪNU/AJŪNU, MĒJĀRE, JĔJŪNĀRE/*AJŪNĀRE</t>
  </si>
  <si>
    <t>gi</t>
  </si>
  <si>
    <t>073a</t>
  </si>
  <si>
    <t>073b</t>
  </si>
  <si>
    <r>
      <t/>
    </r>
    <r>
      <rPr>
        <sz val="10"/>
        <color rgb="FF000000"/>
        <rFont val="Tahoma"/>
        <family val="2"/>
      </rPr>
      <t xml:space="preserve">073a: </t>
    </r>
    <r>
      <rPr>
        <sz val="11"/>
        <color rgb="FF000000"/>
        <rFont val="Tahoma"/>
        <family val="2"/>
      </rPr>
      <t xml:space="preserve">j / ? / {Vˈ_V, V_Vˈ}
</t>
    </r>
    <r>
      <rPr>
        <i/>
        <sz val="11"/>
        <color rgb="FF000000"/>
        <rFont val="Tahoma"/>
        <family val="2"/>
      </rPr>
      <t>often dropped</t>
    </r>
  </si>
  <si>
    <r>
      <t/>
    </r>
    <r>
      <rPr>
        <sz val="10"/>
        <color rgb="FF000000"/>
        <rFont val="Tahoma"/>
        <family val="2"/>
      </rPr>
      <t xml:space="preserve">073b: </t>
    </r>
    <r>
      <rPr>
        <sz val="11"/>
        <color rgb="FF000000"/>
        <rFont val="Tahoma"/>
        <family val="2"/>
      </rPr>
      <t xml:space="preserve">j / ? / {Vˈ_V, V_Vˈ}
</t>
    </r>
    <r>
      <rPr>
        <i/>
        <sz val="11"/>
        <color rgb="FF000000"/>
        <rFont val="Tahoma"/>
        <family val="2"/>
      </rPr>
      <t>often w/ fortition</t>
    </r>
  </si>
  <si>
    <t>MĂJŌRE</t>
  </si>
  <si>
    <t>PĔJŌRE</t>
  </si>
  <si>
    <t>PĔJŌRĀRE</t>
  </si>
  <si>
    <t>JĔJŪNU/*AJŪNU</t>
  </si>
  <si>
    <t>JĔJŪNĀRE/*AJUNĀRE</t>
  </si>
  <si>
    <t>MĒJĀRE</t>
  </si>
  <si>
    <t>-L-</t>
  </si>
  <si>
    <t>CÆLU, ĀLA, VŎLĀRE, VĒLA/U, PĀLA, TĒLA, TRĪBŬLĀRE</t>
  </si>
  <si>
    <t>ł</t>
  </si>
  <si>
    <t>ɫ</t>
  </si>
  <si>
    <t>ʟ</t>
  </si>
  <si>
    <t>l~ɰ</t>
  </si>
  <si>
    <t>D~K</t>
  </si>
  <si>
    <t>LW~W</t>
  </si>
  <si>
    <t>072a</t>
  </si>
  <si>
    <t>072b</t>
  </si>
  <si>
    <t>072a: l / ? / V_{a,e,O}</t>
  </si>
  <si>
    <t>typically remains /l/</t>
  </si>
  <si>
    <t>072b: l / ? / V_i</t>
  </si>
  <si>
    <t>-R-</t>
  </si>
  <si>
    <t>071a) AURU, MŌRU, CĀRU/A;
071b) SĔRĒNU</t>
  </si>
  <si>
    <t>071a</t>
  </si>
  <si>
    <t>071b</t>
  </si>
  <si>
    <t>r // V_V</t>
  </si>
  <si>
    <t>typically remains /r/</t>
  </si>
  <si>
    <t>-S-</t>
  </si>
  <si>
    <t>RŎSA, CAUSA, CĂSA</t>
  </si>
  <si>
    <t>z (z̠)</t>
  </si>
  <si>
    <t>z~s</t>
  </si>
  <si>
    <t>s / ? / V_{a,O}</t>
  </si>
  <si>
    <t>often voiced to /z/</t>
  </si>
  <si>
    <t>DĒSĔRTU, RĒSĪNA</t>
  </si>
  <si>
    <t>s / ? / V_E</t>
  </si>
  <si>
    <t>-V-</t>
  </si>
  <si>
    <t>NŎVE, NŎVA/U, VĪVA, LĂVĀRE, NĬVE</t>
  </si>
  <si>
    <t>u/∅</t>
  </si>
  <si>
    <t>w~∅</t>
  </si>
  <si>
    <t>w / ? / V_V</t>
  </si>
  <si>
    <t>typically /v/</t>
  </si>
  <si>
    <t>-F-</t>
  </si>
  <si>
    <t>DĒFĒNSA, PRŌFĔCTU, AURĬFĬCE, SCRŌFA, *AFANNĀRE</t>
  </si>
  <si>
    <t>v/h</t>
  </si>
  <si>
    <t>h/∅</t>
  </si>
  <si>
    <t>β̞~∅</t>
  </si>
  <si>
    <t>f / ? / V_V</t>
  </si>
  <si>
    <t>often voiced to /v/</t>
  </si>
  <si>
    <t>-N-</t>
  </si>
  <si>
    <t>LŪNA, LĀNA, VĔNĪRE, MĂNU</t>
  </si>
  <si>
    <t>˜</t>
  </si>
  <si>
    <t>n̪</t>
  </si>
  <si>
    <r>
      <t/>
    </r>
    <r>
      <rPr>
        <sz val="12"/>
        <color rgb="FF000000"/>
        <rFont val="Tahoma"/>
        <family val="2"/>
      </rPr>
      <t xml:space="preserve">cf. </t>
    </r>
    <r>
      <rPr>
        <i/>
        <sz val="12"/>
        <color rgb="FF000000"/>
        <rFont val="Tahoma"/>
        <family val="2"/>
      </rPr>
      <t>mărunt</t>
    </r>
  </si>
  <si>
    <t>n // V_V</t>
  </si>
  <si>
    <t>typically remains /n/</t>
  </si>
  <si>
    <t>-M-</t>
  </si>
  <si>
    <t>FŪMU/FŪMĀRE, ĂMŌRE</t>
  </si>
  <si>
    <t>m // V_V</t>
  </si>
  <si>
    <t>typically remains /m/</t>
  </si>
  <si>
    <t>-G-</t>
  </si>
  <si>
    <t>-GĬNTA, MĂGĬSTRA, FĀGĪNA, SĂGĬTTA, SĂGĪNU/SĂGĪME, SĬGĬLLU, ÆRŪGĬNE, FŬGĪRE</t>
  </si>
  <si>
    <t>y/∅</t>
  </si>
  <si>
    <t>j/∅</t>
  </si>
  <si>
    <t>sg</t>
  </si>
  <si>
    <t>gj</t>
  </si>
  <si>
    <t>ghj</t>
  </si>
  <si>
    <t>zz/gg</t>
  </si>
  <si>
    <t>z/dh</t>
  </si>
  <si>
    <r>
      <t/>
    </r>
    <r>
      <rPr>
        <sz val="12"/>
        <color rgb="FF000000"/>
        <rFont val="Tahoma"/>
        <family val="2"/>
      </rPr>
      <t>z</t>
    </r>
    <r>
      <rPr>
        <sz val="10"/>
        <color rgb="FF000000"/>
        <rFont val="Tahoma"/>
        <family val="2"/>
      </rPr>
      <t xml:space="preserve"> (d͡z)</t>
    </r>
  </si>
  <si>
    <t>d̠͡ʒ~z</t>
  </si>
  <si>
    <t>ɟ~d̠͡ʒ</t>
  </si>
  <si>
    <t>ɟ</t>
  </si>
  <si>
    <r>
      <t/>
    </r>
    <r>
      <rPr>
        <sz val="8"/>
        <color rgb="FF000000"/>
        <rFont val="Tahoma"/>
        <family val="2"/>
      </rPr>
      <t>dd͡z</t>
    </r>
    <r>
      <rPr>
        <sz val="8"/>
        <color rgb="FF000000"/>
        <rFont val="Tahoma"/>
        <family val="2"/>
      </rPr>
      <t>~</t>
    </r>
    <r>
      <rPr>
        <sz val="8"/>
        <color rgb="FF000000"/>
        <rFont val="Tahoma"/>
        <family val="2"/>
      </rPr>
      <t>d̠d̠͡ʒ</t>
    </r>
  </si>
  <si>
    <t>z̠~ð</t>
  </si>
  <si>
    <r>
      <t/>
    </r>
    <r>
      <rPr>
        <sz val="12"/>
        <color rgb="FF000000"/>
        <rFont val="Tahoma"/>
        <family val="2"/>
      </rPr>
      <t>F</t>
    </r>
    <r>
      <rPr>
        <sz val="11"/>
        <color rgb="FF000000"/>
        <rFont val="Tahoma"/>
        <family val="2"/>
      </rPr>
      <t xml:space="preserve"> (P͡F)</t>
    </r>
  </si>
  <si>
    <t>P͡F~F</t>
  </si>
  <si>
    <t>P~P͡F</t>
  </si>
  <si>
    <t>064a</t>
  </si>
  <si>
    <t>064b</t>
  </si>
  <si>
    <r>
      <t/>
    </r>
    <r>
      <rPr>
        <sz val="12"/>
        <color rgb="FF000000"/>
        <rFont val="Tahoma"/>
        <family val="2"/>
      </rPr>
      <t xml:space="preserve">064a: ɡ / ? / V_E
</t>
    </r>
    <r>
      <rPr>
        <i/>
        <sz val="12"/>
        <color rgb="FF000000"/>
        <rFont val="Tahoma"/>
        <family val="2"/>
      </rPr>
      <t>often dropped</t>
    </r>
  </si>
  <si>
    <t>/j/~∅ in POR, ESP, FRA, ITA, ROM</t>
  </si>
  <si>
    <r>
      <t/>
    </r>
    <r>
      <rPr>
        <sz val="12"/>
        <color rgb="FF000000"/>
        <rFont val="Tahoma"/>
        <family val="2"/>
      </rPr>
      <t xml:space="preserve">064b: ɡ / ? / V_E
</t>
    </r>
    <r>
      <rPr>
        <i/>
        <sz val="12"/>
        <color rgb="FF000000"/>
        <rFont val="Tahoma"/>
        <family val="2"/>
      </rPr>
      <t>often w/ fortition</t>
    </r>
  </si>
  <si>
    <t>/ʒ/ in POR, CVB, FRA</t>
  </si>
  <si>
    <t>/(d)dʒ/ in CVB, ITA, ROM</t>
  </si>
  <si>
    <t>_ĀGĬNTA</t>
  </si>
  <si>
    <t>VĀGĪNA</t>
  </si>
  <si>
    <t>ʝ~∅</t>
  </si>
  <si>
    <t>NE[C]GENTE</t>
  </si>
  <si>
    <t>MĂGĬSTRA/U</t>
  </si>
  <si>
    <t>RĔGE/-ĪNA</t>
  </si>
  <si>
    <t>FĀGĪNA/U</t>
  </si>
  <si>
    <t>SĂGĪME</t>
  </si>
  <si>
    <t>SĂGĪNA/U/-ARE</t>
  </si>
  <si>
    <t>SĂGĬTTA</t>
  </si>
  <si>
    <t>SĔ-,SŪGĬLLU/ĀRE</t>
  </si>
  <si>
    <t>FRĪGĔRE</t>
  </si>
  <si>
    <t>AURĪ-,ÆRŪGĬNE/-OSU</t>
  </si>
  <si>
    <t>FŬGĪRE</t>
  </si>
  <si>
    <t>PLĀGA, RŎGĀRE, DŎGA, FRĀGA</t>
  </si>
  <si>
    <r>
      <t/>
    </r>
    <r>
      <rPr>
        <sz val="12"/>
        <color rgb="FF000000"/>
        <rFont val="Tahoma"/>
        <family val="2"/>
      </rPr>
      <t>g</t>
    </r>
    <r>
      <rPr>
        <sz val="9"/>
        <color rgb="FF000000"/>
        <rFont val="Tahoma"/>
        <family val="2"/>
      </rPr>
      <t xml:space="preserve"> (gh)</t>
    </r>
  </si>
  <si>
    <t>∅/v</t>
  </si>
  <si>
    <t>ɣ</t>
  </si>
  <si>
    <t>ɣ̞ (ħ)</t>
  </si>
  <si>
    <t>ɣ̞</t>
  </si>
  <si>
    <t>∅~v</t>
  </si>
  <si>
    <t>+ (−)</t>
  </si>
  <si>
    <t>K (H)</t>
  </si>
  <si>
    <t>K~B</t>
  </si>
  <si>
    <t>W (F)</t>
  </si>
  <si>
    <t>∅~F</t>
  </si>
  <si>
    <t>ɡ / ? / V_a</t>
  </si>
  <si>
    <t>typically /ɡ/</t>
  </si>
  <si>
    <t>062a) A[U]GŬSTU, FĀGU, IŬGU; 062b) Ĕ[G]O</t>
  </si>
  <si>
    <t>ɡ / ? / V_O</t>
  </si>
  <si>
    <t>-C-</t>
  </si>
  <si>
    <t>061a) ŬRTĪCA, PĀCĀRE, PLĬCĀRE, ĂMĪCA, FŎRMĪCA, SPĪCA, SĔCĀRE; 061b) JŎCĀRE, LĂCTŪCA</t>
  </si>
  <si>
    <t>y/i</t>
  </si>
  <si>
    <t>061a</t>
  </si>
  <si>
    <t>061b</t>
  </si>
  <si>
    <t>061a: k / ? / {E,a}_a</t>
  </si>
  <si>
    <t>/k/ in ITA, ROM</t>
  </si>
  <si>
    <t>/j/ or dropped in FRA</t>
  </si>
  <si>
    <t>061b: k / ? / O_a</t>
  </si>
  <si>
    <t>∅ in FRA</t>
  </si>
  <si>
    <t>VĬCĪNU, NŬCE/*NŌCE, VŌCE, *CŎCĪNA, RĂCĒMU, PLĂCĒRE</t>
  </si>
  <si>
    <t>k / ? / V_E</t>
  </si>
  <si>
    <t>often /z~s/</t>
  </si>
  <si>
    <t>∅~/w/ in CVB</t>
  </si>
  <si>
    <t>/t͡ʃ/ in ITA, ROM</t>
  </si>
  <si>
    <t>ĂMĪCU, SĒCŪRU, DĪCŌ, ĂCŪCŬLA, ĂCU</t>
  </si>
  <si>
    <t>k / ? / V_O</t>
  </si>
  <si>
    <r>
      <t/>
    </r>
    <r>
      <rPr>
        <sz val="12"/>
        <color rgb="FF000000"/>
        <rFont val="Tahoma"/>
        <family val="2"/>
      </rPr>
      <t>059b: in the suffixes</t>
    </r>
    <r>
      <rPr>
        <i/>
        <sz val="12"/>
        <color rgb="FF000000"/>
        <rFont val="Tahoma"/>
        <family val="2"/>
      </rPr>
      <t xml:space="preserve"> -īcum</t>
    </r>
    <r>
      <rPr>
        <sz val="12"/>
        <color rgb="FF000000"/>
        <rFont val="Tahoma"/>
        <family val="2"/>
      </rPr>
      <t xml:space="preserve"> and </t>
    </r>
    <r>
      <rPr>
        <i/>
        <sz val="12"/>
        <color rgb="FF000000"/>
        <rFont val="Tahoma"/>
        <family val="2"/>
      </rPr>
      <t>-(i)ācum</t>
    </r>
    <r>
      <rPr>
        <sz val="12"/>
        <color rgb="FF000000"/>
        <rFont val="Tahoma"/>
        <family val="2"/>
      </rPr>
      <t>, FRA presents /j/</t>
    </r>
  </si>
  <si>
    <t>-D-</t>
  </si>
  <si>
    <t>058a) NŪDA, SŪDĀRE/SŪDŌRE, NŌDU/NŌDĀRE, CRŪDU; 058b) NĪDU, CRĒDO, PĒDŬCŬLU; 058c) CAUDA/CŌDA</t>
  </si>
  <si>
    <t>d/∅</t>
  </si>
  <si>
    <t>ð̞~∅</t>
  </si>
  <si>
    <t>058a</t>
  </si>
  <si>
    <t>058b</t>
  </si>
  <si>
    <t>058c</t>
  </si>
  <si>
    <t>058a: d / ? / {a,O}_{a,O}</t>
  </si>
  <si>
    <t>/d/ in ESP, ITA, ROM</t>
  </si>
  <si>
    <t>∅ in POR, CVB, FRA</t>
  </si>
  <si>
    <t>058b: d / ? / E_{a,O}</t>
  </si>
  <si>
    <t>/j/ in POR</t>
  </si>
  <si>
    <t>∅ in ESP, CVB, FRA</t>
  </si>
  <si>
    <t>058c: cauda~cōda</t>
  </si>
  <si>
    <t>/l/ in POR, ESP</t>
  </si>
  <si>
    <t>∅ in CVB, FRA</t>
  </si>
  <si>
    <t>057a) PĔDE, RĪDĔRE/-ĔNTE/-ĔNDU, CRĒDĔRE, SĔDĒRE, CĂDĔNTE; 057b) NŌDĔLLU, AUDĪRE, ĔXPĔDĪRE</t>
  </si>
  <si>
    <t>057a</t>
  </si>
  <si>
    <t>057b</t>
  </si>
  <si>
    <t>057a: d / ? / V_{ĕ¹,ē,ĭ}</t>
  </si>
  <si>
    <t>/d/ in ITA, ROM</t>
  </si>
  <si>
    <t>/j~∅/ in CVB</t>
  </si>
  <si>
    <t>∅ in POR, ESP, FRA</t>
  </si>
  <si>
    <t>057b: d / ? / V_{ĕ²,ī}</t>
  </si>
  <si>
    <t>/d/ in ITA</t>
  </si>
  <si>
    <t>/z/ in ROM</t>
  </si>
  <si>
    <t>Romanian: t͡s̪</t>
  </si>
  <si>
    <r>
      <t/>
    </r>
    <r>
      <rPr>
        <sz val="12"/>
        <color rgb="FF000000"/>
        <rFont val="Tahoma"/>
        <family val="2"/>
      </rPr>
      <t xml:space="preserve">1) ē; ĭ; atonic ĕ; tonic /ĕ/~/æ/ followed by a cluster /NC/ (&gt; ERom. /e/)
2) tonic /ĕ/~/æ/ </t>
    </r>
    <r>
      <rPr>
        <i/>
        <sz val="12"/>
        <color rgb="FF000000"/>
        <rFont val="Tahoma"/>
        <family val="2"/>
      </rPr>
      <t>*not*</t>
    </r>
    <r>
      <rPr>
        <sz val="12"/>
        <color rgb="FF000000"/>
        <rFont val="Tahoma"/>
        <family val="2"/>
      </rPr>
      <t xml:space="preserve"> followed by a cluster /NC/ (&gt; ERom. /je/)
3) long /i:/ (&gt; ERom. /i/), if not elided</t>
    </r>
  </si>
  <si>
    <t>-T-</t>
  </si>
  <si>
    <t>SĒTA, RŎTA, MŪTĀRE, MŪTA, PRĀTU</t>
  </si>
  <si>
    <t>t / ? / V_{a,O}</t>
  </si>
  <si>
    <t>/d/ in POR, ESP, CVB</t>
  </si>
  <si>
    <t>/t/ in ITA, ROM</t>
  </si>
  <si>
    <t>055a) CĂTĒNA; 055b) PĂTĔLLA, CĂTĔLLU, CĂTHĔDRA; 055c) PĔTĪRE, PĂTĪRE, MĒTĪRĪ, PŪTĪRE</t>
  </si>
  <si>
    <t>055a,b</t>
  </si>
  <si>
    <t>055a</t>
  </si>
  <si>
    <t>055b,c</t>
  </si>
  <si>
    <t>055c</t>
  </si>
  <si>
    <t>055a: t / ? / V_{ĕ¹,ē,ĭ}</t>
  </si>
  <si>
    <t>055b: t / ? / V_{ĕ²}</t>
  </si>
  <si>
    <t>/t/ in ITA</t>
  </si>
  <si>
    <t>/t͡s/ in ARO, ROM</t>
  </si>
  <si>
    <t>055c: t / ? / V_ī</t>
  </si>
  <si>
    <t>/d/ in EU.POR, ESP, CVB</t>
  </si>
  <si>
    <t>/d͡ʒ/ in BR.POR</t>
  </si>
  <si>
    <t>-B-</t>
  </si>
  <si>
    <t>CĂBĂLLU, HĂBĒRE/HĂBŪTU, DĒBĔT, CĔRĔBĔLLU, FĂBA</t>
  </si>
  <si>
    <r>
      <t/>
    </r>
    <r>
      <rPr>
        <sz val="12"/>
        <color rgb="FF000000"/>
        <rFont val="Tahoma"/>
        <family val="2"/>
      </rPr>
      <t>v/</t>
    </r>
    <r>
      <rPr>
        <sz val="12"/>
        <color rgb="FF808080"/>
        <rFont val="Tahoma"/>
        <family val="2"/>
      </rPr>
      <t>∅</t>
    </r>
  </si>
  <si>
    <t>v~∅</t>
  </si>
  <si>
    <t>F~∅</t>
  </si>
  <si>
    <t>b / ? / V_V</t>
  </si>
  <si>
    <t>-P-</t>
  </si>
  <si>
    <t>CĂPĬLLU, NĔPŌTE, LŬPU, RĪPA, SĂPĒRE</t>
  </si>
  <si>
    <t>p / ? / V_V</t>
  </si>
  <si>
    <t>/p/ in ITA, ROM</t>
  </si>
  <si>
    <t>/b/ in POR, ESP, CVB</t>
  </si>
  <si>
    <t>/v/ in FRA</t>
  </si>
  <si>
    <t>1. Initial Position</t>
  </si>
  <si>
    <t>1.3 Groups of three consonants</t>
  </si>
  <si>
    <t>SCR-</t>
  </si>
  <si>
    <t>SCRĪBĔRE, SCRĪBĀNE</t>
  </si>
  <si>
    <t>#_</t>
  </si>
  <si>
    <t>e</t>
  </si>
  <si>
    <t>é</t>
  </si>
  <si>
    <t>è</t>
  </si>
  <si>
    <t>i̞</t>
  </si>
  <si>
    <t>ɪ</t>
  </si>
  <si>
    <t>e̞</t>
  </si>
  <si>
    <t>e̞~ɛ</t>
  </si>
  <si>
    <t>ə~ɐ</t>
  </si>
  <si>
    <t>ə</t>
  </si>
  <si>
    <t>]</t>
  </si>
  <si>
    <t>Ə</t>
  </si>
  <si>
    <t>Ɵ</t>
  </si>
  <si>
    <t>s (ʃ)</t>
  </si>
  <si>
    <t>s̠~ʃ</t>
  </si>
  <si>
    <t>s~ʃ</t>
  </si>
  <si>
    <r>
      <t/>
    </r>
    <r>
      <rPr>
        <sz val="12"/>
        <color rgb="FF000000"/>
        <rFont val="Tahoma"/>
        <family val="2"/>
      </rPr>
      <t>ɾ</t>
    </r>
    <r>
      <rPr>
        <sz val="11"/>
        <color rgb="FF000000"/>
        <rFont val="Tahoma"/>
        <family val="2"/>
      </rPr>
      <t xml:space="preserve"> (ʀ)</t>
    </r>
  </si>
  <si>
    <t>skɾ / ? / #_</t>
  </si>
  <si>
    <t>/eskɾ/ in POR, ESP, CVB</t>
  </si>
  <si>
    <t>/ekʁ/ in FRA</t>
  </si>
  <si>
    <t>/skɾ/ in ITA, ROM</t>
  </si>
  <si>
    <t>STR-</t>
  </si>
  <si>
    <t>STRĀTA, STRĬCTA, STRĬNGĔRE, STRĬNCTU</t>
  </si>
  <si>
    <t>ʈ</t>
  </si>
  <si>
    <t>ɽ~∅</t>
  </si>
  <si>
    <t>L~∅</t>
  </si>
  <si>
    <t>/estɾ/ in POR, ESP, CVB</t>
  </si>
  <si>
    <t>/etʁ/ in FRA</t>
  </si>
  <si>
    <t>/stɾ/ in ITA, ROM</t>
  </si>
  <si>
    <t>1.2 Groups of two consonants</t>
  </si>
  <si>
    <t>SC-</t>
  </si>
  <si>
    <t>050a) SCHŎLA, SCŪRĬU, SCŌPA; 050b) SCĀLA, *SCĂNTĬLĬA, SCĂNDŬLA, SCĂMNU, SCĂLPRU</t>
  </si>
  <si>
    <t>#_V</t>
  </si>
  <si>
    <t>Etymons:</t>
  </si>
  <si>
    <t>Cat</t>
  </si>
  <si>
    <t>Fra</t>
  </si>
  <si>
    <t>Ita</t>
  </si>
  <si>
    <t>Rum</t>
  </si>
  <si>
    <t>SCĂBĔLLU</t>
  </si>
  <si>
    <t>escambell</t>
  </si>
  <si>
    <t>escabeau, écheveau, échevette</t>
  </si>
  <si>
    <t>sgabello, gavetta, gavindolo</t>
  </si>
  <si>
    <t>SCĂBIA</t>
  </si>
  <si>
    <t>esca-</t>
  </si>
  <si>
    <t>scabbia</t>
  </si>
  <si>
    <t>zgaibă</t>
  </si>
  <si>
    <t>SCĂBRĀRE</t>
  </si>
  <si>
    <t>SCĀLA</t>
  </si>
  <si>
    <t>escala</t>
  </si>
  <si>
    <t>échelle</t>
  </si>
  <si>
    <t>scala</t>
  </si>
  <si>
    <t>schele</t>
  </si>
  <si>
    <t>SCĂLĂMBU</t>
  </si>
  <si>
    <t>scălimb</t>
  </si>
  <si>
    <t>N.It. zg-</t>
  </si>
  <si>
    <t>SCĂLMU</t>
  </si>
  <si>
    <t>escalam</t>
  </si>
  <si>
    <t>échome</t>
  </si>
  <si>
    <t>scalmo</t>
  </si>
  <si>
    <t>SCĂLPĔLLU</t>
  </si>
  <si>
    <t>scarpello</t>
  </si>
  <si>
    <t>SCĂLPRU</t>
  </si>
  <si>
    <t>escarpra</t>
  </si>
  <si>
    <t>échoppe</t>
  </si>
  <si>
    <t>SCĂLPTŪRĪRE</t>
  </si>
  <si>
    <t>scaltrire, scaltro</t>
  </si>
  <si>
    <t>SCĂMĔLLU</t>
  </si>
  <si>
    <t>SCĂMNU,SCĂMNĬU</t>
  </si>
  <si>
    <t>escany</t>
  </si>
  <si>
    <t>écagne</t>
  </si>
  <si>
    <t>scanno</t>
  </si>
  <si>
    <t>scaun</t>
  </si>
  <si>
    <t>SCĂNDĂLA/-ĂLĬU</t>
  </si>
  <si>
    <t>escandia, escandall</t>
  </si>
  <si>
    <t>échantillon</t>
  </si>
  <si>
    <t>scandella, scampione</t>
  </si>
  <si>
    <t>SCĂNDŬLA,SCĬNDŬLA</t>
  </si>
  <si>
    <t>écente</t>
  </si>
  <si>
    <t>scîndură</t>
  </si>
  <si>
    <t>SCĂRĂBÆU,*SCĂRĂFĂJU</t>
  </si>
  <si>
    <t>scarafaggio</t>
  </si>
  <si>
    <t>caracol&lt;Prov</t>
  </si>
  <si>
    <t>SCĂRPĬNĀRE</t>
  </si>
  <si>
    <t>scărpina</t>
  </si>
  <si>
    <t>N.It. sk(j)-</t>
  </si>
  <si>
    <r>
      <t/>
    </r>
    <r>
      <rPr>
        <sz val="11"/>
        <color rgb="FF000000"/>
        <rFont val="Tahoma"/>
        <family val="2"/>
      </rPr>
      <t>s̪</t>
    </r>
    <r>
      <rPr>
        <sz val="10"/>
        <color rgb="FF000000"/>
        <rFont val="Tahoma"/>
        <family val="2"/>
      </rPr>
      <t>~</t>
    </r>
    <r>
      <rPr>
        <sz val="11"/>
        <color rgb="FF000000"/>
        <rFont val="Tahoma"/>
        <family val="2"/>
      </rPr>
      <t>ʃ</t>
    </r>
    <r>
      <rPr>
        <sz val="10"/>
        <color rgb="FF000000"/>
        <rFont val="Tahoma"/>
        <family val="2"/>
      </rPr>
      <t>~</t>
    </r>
    <r>
      <rPr>
        <sz val="11"/>
        <color rgb="FF000000"/>
        <rFont val="Tahoma"/>
        <family val="2"/>
      </rPr>
      <t>h</t>
    </r>
  </si>
  <si>
    <r>
      <t/>
    </r>
    <r>
      <rPr>
        <sz val="10"/>
        <color rgb="FF000000"/>
        <rFont val="Tahoma"/>
        <family val="2"/>
      </rPr>
      <t>D</t>
    </r>
    <r>
      <rPr>
        <sz val="9"/>
        <color rgb="FF000000"/>
        <rFont val="Tahoma"/>
        <family val="2"/>
      </rPr>
      <t>~</t>
    </r>
    <r>
      <rPr>
        <sz val="10"/>
        <color rgb="FF000000"/>
        <rFont val="Tahoma"/>
        <family val="2"/>
      </rPr>
      <t>Ɉ</t>
    </r>
    <r>
      <rPr>
        <sz val="9"/>
        <color rgb="FF000000"/>
        <rFont val="Tahoma"/>
        <family val="2"/>
      </rPr>
      <t>~</t>
    </r>
    <r>
      <rPr>
        <sz val="10"/>
        <color rgb="FF000000"/>
        <rFont val="Tahoma"/>
        <family val="2"/>
      </rPr>
      <t>H</t>
    </r>
  </si>
  <si>
    <r>
      <t/>
    </r>
    <r>
      <rPr>
        <sz val="12"/>
        <color rgb="FF000000"/>
        <rFont val="Tahoma"/>
        <family val="2"/>
      </rPr>
      <t>c</t>
    </r>
    <r>
      <rPr>
        <sz val="9"/>
        <color rgb="FF000000"/>
        <rFont val="Tahoma"/>
        <family val="2"/>
      </rPr>
      <t xml:space="preserve"> (ch)</t>
    </r>
  </si>
  <si>
    <t>cj</t>
  </si>
  <si>
    <r>
      <t/>
    </r>
    <r>
      <rPr>
        <sz val="12"/>
        <color rgb="FF000000"/>
        <rFont val="Tahoma"/>
        <family val="2"/>
      </rPr>
      <t>k</t>
    </r>
    <r>
      <rPr>
        <sz val="9"/>
        <color rgb="FF000000"/>
        <rFont val="Tahoma"/>
        <family val="2"/>
      </rPr>
      <t xml:space="preserve"> (t͡s)</t>
    </r>
  </si>
  <si>
    <r>
      <t/>
    </r>
    <r>
      <rPr>
        <sz val="11"/>
        <color rgb="FF000000"/>
        <rFont val="Tahoma"/>
        <family val="2"/>
      </rPr>
      <t>ʃ</t>
    </r>
    <r>
      <rPr>
        <sz val="10"/>
        <color rgb="FF000000"/>
        <rFont val="Tahoma"/>
        <family val="2"/>
      </rPr>
      <t>~</t>
    </r>
    <r>
      <rPr>
        <sz val="11"/>
        <color rgb="FF000000"/>
        <rFont val="Tahoma"/>
        <family val="2"/>
      </rPr>
      <t>k</t>
    </r>
    <r>
      <rPr>
        <sz val="10"/>
        <color rgb="FF000000"/>
        <rFont val="Tahoma"/>
        <family val="2"/>
      </rPr>
      <t>~</t>
    </r>
    <r>
      <rPr>
        <sz val="11"/>
        <color rgb="FF000000"/>
        <rFont val="Tahoma"/>
        <family val="2"/>
      </rPr>
      <t>h</t>
    </r>
  </si>
  <si>
    <t>t̠͡ʃ~θ</t>
  </si>
  <si>
    <t>c~t̠͡ʃ</t>
  </si>
  <si>
    <t>− (+)</t>
  </si>
  <si>
    <r>
      <t/>
    </r>
    <r>
      <rPr>
        <sz val="12"/>
        <color rgb="FF000000"/>
        <rFont val="Tahoma"/>
        <family val="2"/>
      </rPr>
      <t>+</t>
    </r>
    <r>
      <rPr>
        <sz val="9"/>
        <color rgb="FF000000"/>
        <rFont val="Tahoma"/>
        <family val="2"/>
      </rPr>
      <t xml:space="preserve"> (−)</t>
    </r>
  </si>
  <si>
    <r>
      <t/>
    </r>
    <r>
      <rPr>
        <sz val="12"/>
        <color rgb="FF000000"/>
        <rFont val="Tahoma"/>
        <family val="2"/>
      </rPr>
      <t>K</t>
    </r>
    <r>
      <rPr>
        <sz val="9"/>
        <color rgb="FF000000"/>
        <rFont val="Tahoma"/>
        <family val="2"/>
      </rPr>
      <t xml:space="preserve"> (Ɉ)</t>
    </r>
  </si>
  <si>
    <r>
      <t/>
    </r>
    <r>
      <rPr>
        <sz val="10"/>
        <color rgb="FF000000"/>
        <rFont val="Tahoma"/>
        <family val="2"/>
      </rPr>
      <t>Ɉ</t>
    </r>
    <r>
      <rPr>
        <sz val="9"/>
        <color rgb="FF000000"/>
        <rFont val="Tahoma"/>
        <family val="2"/>
      </rPr>
      <t>~</t>
    </r>
    <r>
      <rPr>
        <sz val="10"/>
        <color rgb="FF000000"/>
        <rFont val="Tahoma"/>
        <family val="2"/>
      </rPr>
      <t>K</t>
    </r>
    <r>
      <rPr>
        <sz val="9"/>
        <color rgb="FF000000"/>
        <rFont val="Tahoma"/>
        <family val="2"/>
      </rPr>
      <t>~</t>
    </r>
    <r>
      <rPr>
        <sz val="10"/>
        <color rgb="FF000000"/>
        <rFont val="Tahoma"/>
        <family val="2"/>
      </rPr>
      <t>H</t>
    </r>
  </si>
  <si>
    <r>
      <t/>
    </r>
    <r>
      <rPr>
        <sz val="12"/>
        <color rgb="FF000000"/>
        <rFont val="Tahoma"/>
        <family val="2"/>
      </rPr>
      <t>P</t>
    </r>
    <r>
      <rPr>
        <sz val="9"/>
        <color rgb="FF000000"/>
        <rFont val="Tahoma"/>
        <family val="2"/>
      </rPr>
      <t xml:space="preserve"> (P͡F)</t>
    </r>
  </si>
  <si>
    <t>F (P)</t>
  </si>
  <si>
    <t>050a</t>
  </si>
  <si>
    <t>050b</t>
  </si>
  <si>
    <t>050a: sk / ? / #_O</t>
  </si>
  <si>
    <t>/esk/ in POR, ESP, CVB</t>
  </si>
  <si>
    <t>/ek/ in FRA</t>
  </si>
  <si>
    <t>/sk/ in ITA, ROM</t>
  </si>
  <si>
    <t>050b: sk / ? / #_a</t>
  </si>
  <si>
    <t>/eʃ/ in FRA</t>
  </si>
  <si>
    <t>49b</t>
  </si>
  <si>
    <t>049b₁) SCĬNTĬLLA, SCĒPTRU, SCHĔDA, SCĬNDŬLA;
049b₂) SCĪRE, SCHĬDĬA, SCĬŪRU</t>
  </si>
  <si>
    <t>(native Latin-derived words)</t>
  </si>
  <si>
    <t>#_E</t>
  </si>
  <si>
    <t>sc</t>
  </si>
  <si>
    <t>c(h)</t>
  </si>
  <si>
    <t>qu</t>
  </si>
  <si>
    <t>049b₁</t>
  </si>
  <si>
    <t>049b₂</t>
  </si>
  <si>
    <t>049b₁: sk / ? / #_E</t>
  </si>
  <si>
    <t>/s/ in POR, CVB, AND.ESP, AMR.ESP, FRA</t>
  </si>
  <si>
    <t>/θ/ in CAS.ESP</t>
  </si>
  <si>
    <t>/ʃ/ in ITA</t>
  </si>
  <si>
    <t>/sk/ in ROM</t>
  </si>
  <si>
    <t>049b₂: sk / ? / #_E</t>
  </si>
  <si>
    <t>/esk/ in POR, ESP, CVB, FRA</t>
  </si>
  <si>
    <t>/sk/ in ITA</t>
  </si>
  <si>
    <t>/ʃt/ in ROM</t>
  </si>
  <si>
    <t>49a</t>
  </si>
  <si>
    <t>049a₁) *SKĪNA, *SKĬRPA, *SKILLA;
049a₂) *SKĬPA, *SKEUH, *SKIRMĪRE</t>
  </si>
  <si>
    <t>(Germanic-derived words)</t>
  </si>
  <si>
    <t>049a₁</t>
  </si>
  <si>
    <t>049a₂</t>
  </si>
  <si>
    <t>049a₁: sk / ? / #_E</t>
  </si>
  <si>
    <t>049a₂: sk / ? / #_E</t>
  </si>
  <si>
    <t>ST-</t>
  </si>
  <si>
    <t>STĀRE, STĂNTIA, STĂNTICU/STĂNTICĀRE, *STĂLL</t>
  </si>
  <si>
    <t>#_{a,O}</t>
  </si>
  <si>
    <t>st / ? / #_{a,O}</t>
  </si>
  <si>
    <t>/est/ in POR, ESP, CVB</t>
  </si>
  <si>
    <t>/et/ in FRA</t>
  </si>
  <si>
    <t>/st/ in ITA, ROM</t>
  </si>
  <si>
    <t>047a) STĒLLA, STĔRNŪTĀRE, STĔRNĔRE;
047b) STĔPHĂNU, STĔRCU</t>
  </si>
  <si>
    <t>047a</t>
  </si>
  <si>
    <t>047b</t>
  </si>
  <si>
    <t>047a: st / ? / #_E</t>
  </si>
  <si>
    <t>047b: st / ? / #_E</t>
  </si>
  <si>
    <t>/st/ in ITA</t>
  </si>
  <si>
    <t>SP-</t>
  </si>
  <si>
    <t>SPĔC(Ŭ)LU, SPĒRĀRE, SPĂTHA, SPĂTŬLA, SPĪCA, SPĪNA</t>
  </si>
  <si>
    <t>sp / ? / #_</t>
  </si>
  <si>
    <t>/esp/ in POR, ESP, CVB</t>
  </si>
  <si>
    <t>/ep/ in FRA</t>
  </si>
  <si>
    <t>/sp/ in ITA, ROM</t>
  </si>
  <si>
    <t>FL-</t>
  </si>
  <si>
    <t>FLĂMMA, FLŎCCU, FLĂCCĬDU, FLĀTU, FLŌRE, FLŪME, FLŬXU</t>
  </si>
  <si>
    <r>
      <t/>
    </r>
    <r>
      <rPr>
        <sz val="11"/>
        <color rgb="FF000000"/>
        <rFont val="Tahoma"/>
        <family val="2"/>
      </rPr>
      <t>ci</t>
    </r>
    <r>
      <rPr>
        <sz val="8"/>
        <color rgb="FF000000"/>
        <rFont val="Tahoma"/>
        <family val="2"/>
      </rPr>
      <t>/hi/xh</t>
    </r>
  </si>
  <si>
    <t>f~ç</t>
  </si>
  <si>
    <t>ç~ʃ</t>
  </si>
  <si>
    <r>
      <t/>
    </r>
    <r>
      <rPr>
        <sz val="12"/>
        <color rgb="FF000000"/>
        <rFont val="Tahoma"/>
        <family val="2"/>
      </rPr>
      <t>ll</t>
    </r>
    <r>
      <rPr>
        <sz val="11"/>
        <color rgb="FF000000"/>
        <rFont val="Tahoma"/>
        <family val="2"/>
      </rPr>
      <t xml:space="preserve"> (ḷḷ)</t>
    </r>
  </si>
  <si>
    <r>
      <t/>
    </r>
    <r>
      <rPr>
        <sz val="12"/>
        <color rgb="FF000000"/>
        <rFont val="Tahoma"/>
        <family val="2"/>
      </rPr>
      <t>l</t>
    </r>
    <r>
      <rPr>
        <sz val="11"/>
        <color rgb="FF000000"/>
        <rFont val="Tahoma"/>
        <family val="2"/>
      </rPr>
      <t xml:space="preserve"> (ll)</t>
    </r>
  </si>
  <si>
    <t>l (ll)</t>
  </si>
  <si>
    <r>
      <t/>
    </r>
    <r>
      <rPr>
        <sz val="11"/>
        <color rgb="FF000000"/>
        <rFont val="Tahoma"/>
        <family val="2"/>
      </rPr>
      <t>ȴ</t>
    </r>
    <r>
      <rPr>
        <sz val="8"/>
        <color rgb="FF000000"/>
        <rFont val="Tahoma"/>
        <family val="2"/>
      </rPr>
      <t>[ʎ̟] (ʈ͡ʂ)</t>
    </r>
  </si>
  <si>
    <t>ɟ͡ʝ</t>
  </si>
  <si>
    <r>
      <t/>
    </r>
    <r>
      <rPr>
        <sz val="12"/>
        <color rgb="FF000000"/>
        <rFont val="Tahoma"/>
        <family val="2"/>
      </rPr>
      <t>l</t>
    </r>
    <r>
      <rPr>
        <sz val="11"/>
        <color rgb="FF000000"/>
        <rFont val="Tahoma"/>
        <family val="2"/>
      </rPr>
      <t xml:space="preserve"> (ȴ)</t>
    </r>
  </si>
  <si>
    <r>
      <t/>
    </r>
    <r>
      <rPr>
        <sz val="12"/>
        <color rgb="FF000000"/>
        <rFont val="Tahoma"/>
        <family val="2"/>
      </rPr>
      <t>l</t>
    </r>
    <r>
      <rPr>
        <sz val="10"/>
        <color rgb="FF000000"/>
        <rFont val="Tahoma"/>
        <family val="2"/>
      </rPr>
      <t xml:space="preserve"> (ȴ~j)</t>
    </r>
  </si>
  <si>
    <r>
      <t/>
    </r>
    <r>
      <rPr>
        <sz val="12"/>
        <color rgb="FF000000"/>
        <rFont val="Tahoma"/>
        <family val="2"/>
      </rPr>
      <t>−</t>
    </r>
    <r>
      <rPr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(+)</t>
    </r>
  </si>
  <si>
    <r>
      <t/>
    </r>
    <r>
      <rPr>
        <sz val="11"/>
        <color rgb="FF000000"/>
        <rFont val="Tahoma"/>
        <family val="2"/>
      </rPr>
      <t>LW</t>
    </r>
    <r>
      <rPr>
        <sz val="8"/>
        <color rgb="FF000000"/>
        <rFont val="Tahoma"/>
        <family val="2"/>
      </rPr>
      <t xml:space="preserve"> (P͡F)</t>
    </r>
  </si>
  <si>
    <r>
      <t/>
    </r>
    <r>
      <rPr>
        <sz val="11"/>
        <color rgb="FF000000"/>
        <rFont val="Tahoma"/>
        <family val="2"/>
      </rPr>
      <t>LW</t>
    </r>
    <r>
      <rPr>
        <sz val="9"/>
        <color rgb="FF000000"/>
        <rFont val="Tahoma"/>
        <family val="2"/>
      </rPr>
      <t>(W)</t>
    </r>
  </si>
  <si>
    <t>045a</t>
  </si>
  <si>
    <t>045b</t>
  </si>
  <si>
    <t>045c</t>
  </si>
  <si>
    <r>
      <t/>
    </r>
    <r>
      <rPr>
        <sz val="12"/>
        <color rgb="FF000000"/>
        <rFont val="Tahoma"/>
        <family val="2"/>
      </rPr>
      <t>045a: fl / ? / #_</t>
    </r>
    <r>
      <rPr>
        <sz val="11"/>
        <color rgb="FF000000"/>
        <rFont val="Tahoma"/>
        <family val="2"/>
      </rPr>
      <t>{a,e,O}</t>
    </r>
  </si>
  <si>
    <t>/fl/ in CVB, FRA, ROM</t>
  </si>
  <si>
    <t>/fj/ in ITA</t>
  </si>
  <si>
    <t>/ʎ~ɟ͡ʝ/ in ESP</t>
  </si>
  <si>
    <t>/ʃ/ in POR</t>
  </si>
  <si>
    <t>045b: fl / ? / #_i</t>
  </si>
  <si>
    <t>045c: likely borrowings</t>
  </si>
  <si>
    <t>/fl/ in ESP, CVB, FRA, ROM</t>
  </si>
  <si>
    <t>/fɾ/ in POR</t>
  </si>
  <si>
    <t>FR-</t>
  </si>
  <si>
    <t>FRĀXĬNU, FRŎNTE, FRŎNDIA, FRĒNU</t>
  </si>
  <si>
    <t>fɾ // #_</t>
  </si>
  <si>
    <t>typically  /fɾ/</t>
  </si>
  <si>
    <t>GL-</t>
  </si>
  <si>
    <t>043a) GLĂNDE/GLĂNDŬLA, GLĂCĬE, GLĀRĔA;
043b) GLĪR[ŌN]E, GLŎM[ĬSCĔLL]U, GLŎB[ŬSCĔLL]U</t>
  </si>
  <si>
    <t>gh</t>
  </si>
  <si>
    <t>gh/∅</t>
  </si>
  <si>
    <t>ɡ~∅</t>
  </si>
  <si>
    <t>ɟ~∅</t>
  </si>
  <si>
    <t>ɡ~ɟ</t>
  </si>
  <si>
    <t>P~∅</t>
  </si>
  <si>
    <t>gli/j</t>
  </si>
  <si>
    <t>∅/j</t>
  </si>
  <si>
    <t>l~j</t>
  </si>
  <si>
    <r>
      <t/>
    </r>
    <r>
      <rPr>
        <sz val="11"/>
        <color rgb="FF000000"/>
        <rFont val="Tahoma"/>
        <family val="2"/>
      </rPr>
      <t>ȴ</t>
    </r>
    <r>
      <rPr>
        <sz val="11"/>
        <color rgb="FF000000"/>
        <rFont val="Tahoma"/>
        <family val="2"/>
      </rPr>
      <t>[ʎ̟]~</t>
    </r>
    <r>
      <rPr>
        <sz val="11"/>
        <color rgb="FF000000"/>
        <rFont val="Tahoma"/>
        <family val="2"/>
      </rPr>
      <t>j</t>
    </r>
  </si>
  <si>
    <t>043a</t>
  </si>
  <si>
    <t>043b</t>
  </si>
  <si>
    <t>043c</t>
  </si>
  <si>
    <t>043a: ɡl / ? / #_
(kept g)</t>
  </si>
  <si>
    <t>/ɡl/ in CVB, FRA</t>
  </si>
  <si>
    <t>/ɡj/ in ITA, ROM</t>
  </si>
  <si>
    <t>043b: ɡl / ? / #_
(dropped g)</t>
  </si>
  <si>
    <t>/ɡl/ in CVB(?)</t>
  </si>
  <si>
    <t>/l/ in POR, ESP, FRA</t>
  </si>
  <si>
    <t>043c: gl / ? / #_i</t>
  </si>
  <si>
    <t>https://archive.org/details/romanischesetymo00meyeuoft/page/280/mode/2up</t>
  </si>
  <si>
    <t>GLĂBRU/GLĂBRĀRE</t>
  </si>
  <si>
    <t>ɡ[j]</t>
  </si>
  <si>
    <t>GLĂCĬE</t>
  </si>
  <si>
    <t>ɡl</t>
  </si>
  <si>
    <t>gl'</t>
  </si>
  <si>
    <t>ɡj (dj)</t>
  </si>
  <si>
    <t>ɡj</t>
  </si>
  <si>
    <t>GLĂDĬU/GLĂDĬŎLU</t>
  </si>
  <si>
    <t>ɡl, ɡɾ</t>
  </si>
  <si>
    <t>ɡl (ɡɾ)</t>
  </si>
  <si>
    <t>ɡj (d̠͡ʒ)</t>
  </si>
  <si>
    <t>GLĂNDE/-NDŬLA/-NDĔŎLA</t>
  </si>
  <si>
    <t>l, r</t>
  </si>
  <si>
    <t>ɡj, ɡ</t>
  </si>
  <si>
    <t>ɟ, ȴ, j</t>
  </si>
  <si>
    <t>ȴ=ʎ̟</t>
  </si>
  <si>
    <t>ȴ, ɟ</t>
  </si>
  <si>
    <t>GLĀRĔA</t>
  </si>
  <si>
    <t>d̠͡ʒ, ɡ</t>
  </si>
  <si>
    <t>dz~d̠͡ʒ</t>
  </si>
  <si>
    <t>GLĂTTĪRE</t>
  </si>
  <si>
    <t>Glaucus (?)</t>
  </si>
  <si>
    <t>l?</t>
  </si>
  <si>
    <t>GLÆ-,GLĒBA/-ŬLA</t>
  </si>
  <si>
    <t>l, ɡɾ</t>
  </si>
  <si>
    <t>GLĪR[ŌN]E/-U</t>
  </si>
  <si>
    <t>ȴ[ʎ̟] (ʈ͡ʂ)</t>
  </si>
  <si>
    <t>ɡ, l</t>
  </si>
  <si>
    <t>l, ȴ=ʎ̟</t>
  </si>
  <si>
    <t>ɟ, j</t>
  </si>
  <si>
    <t>GLŎBA/-[ŬSCĔLL]U</t>
  </si>
  <si>
    <t>[l]</t>
  </si>
  <si>
    <t>ɡɾ</t>
  </si>
  <si>
    <t>GLŎM[ĬSCĔLL]U</t>
  </si>
  <si>
    <t>d̠͡ʒ, l/r</t>
  </si>
  <si>
    <t>d̠͡ʒ, r</t>
  </si>
  <si>
    <t>l, ɡl</t>
  </si>
  <si>
    <t>GLŬTTĪRE/-ŌNE</t>
  </si>
  <si>
    <t>QU-</t>
  </si>
  <si>
    <t>042a) QUÆRĔRE, QUÆSITU, QUĬĒTU/QUĬĒTĀRE, QUĪ;
042b) QUĪNTU/A, QUĪNDĔCĬ</t>
  </si>
  <si>
    <t>QV</t>
  </si>
  <si>
    <t>qu/c</t>
  </si>
  <si>
    <t>ch/tg</t>
  </si>
  <si>
    <t>q/ch</t>
  </si>
  <si>
    <t>q</t>
  </si>
  <si>
    <t>kʷ</t>
  </si>
  <si>
    <t>w/∅</t>
  </si>
  <si>
    <t>042a</t>
  </si>
  <si>
    <t>042b</t>
  </si>
  <si>
    <t>042a: kʷ / ? / #_E</t>
  </si>
  <si>
    <t>typically /k/</t>
  </si>
  <si>
    <t>/t͡ʃ/ in ROM</t>
  </si>
  <si>
    <t>042b: semi-learned?</t>
  </si>
  <si>
    <t>/kw/ in ITA</t>
  </si>
  <si>
    <t>QUŌMŎDO, QUŎD, QUŎTA</t>
  </si>
  <si>
    <t>#_O</t>
  </si>
  <si>
    <t>kʷ / k / #_O</t>
  </si>
  <si>
    <t>040a) QUĂTT(Ŭ)ŎRDĔCI;
040b) *QUARRA(I)NTA, QUĂTĔRNU</t>
  </si>
  <si>
    <t>#_aˈ</t>
  </si>
  <si>
    <t>040a</t>
  </si>
  <si>
    <t>040b</t>
  </si>
  <si>
    <t>040a: kʷ / ? / #_aˈ</t>
  </si>
  <si>
    <t>/p/ in ROM</t>
  </si>
  <si>
    <t>040b: kʷ / ? / #_aˈ</t>
  </si>
  <si>
    <t>/kw/ in CVB, ITA</t>
  </si>
  <si>
    <t>039a) QUĂTT(Ŭ)ŎR, QUĀRTU;
039b) QUĂNDŌ, QUĂNTU</t>
  </si>
  <si>
    <t>ˈ#_a</t>
  </si>
  <si>
    <t>039a</t>
  </si>
  <si>
    <t>039b</t>
  </si>
  <si>
    <t>039a: kʷ / ? / ˈ#_a</t>
  </si>
  <si>
    <t>typically /kw/</t>
  </si>
  <si>
    <t>/k/ in FRA</t>
  </si>
  <si>
    <t>039b: by analogy to QU- question words</t>
  </si>
  <si>
    <t>/kw/ in ROM</t>
  </si>
  <si>
    <t>CL-</t>
  </si>
  <si>
    <t>038a) CLĀVE, CLAUDERE, CLAUDU, CLĀMĀRE;
038b) CLĂSSU, *CLŌCIĀRE; 038c) CLĪNĀRE</t>
  </si>
  <si>
    <t>chj</t>
  </si>
  <si>
    <t>chi</t>
  </si>
  <si>
    <t>k~ȶ</t>
  </si>
  <si>
    <t>038a,b</t>
  </si>
  <si>
    <t>038a</t>
  </si>
  <si>
    <t>038b</t>
  </si>
  <si>
    <t>038c</t>
  </si>
  <si>
    <t>038a: kl / ? / #_{a,O}</t>
  </si>
  <si>
    <t>/kl/ in CVB, FRA</t>
  </si>
  <si>
    <t>/kj/ in ITA, ROM</t>
  </si>
  <si>
    <t>038b: kl / ɡl / #_{a,O}</t>
  </si>
  <si>
    <t>voices to /ɡl/ in FRA</t>
  </si>
  <si>
    <t>038c: kl / ɡl / #_i</t>
  </si>
  <si>
    <t>CR-</t>
  </si>
  <si>
    <t>037a) CRĪTĀRE, CRŬCE, CRĬSTA, CRŬSTA;
037b) CRĀTE, CRĂSSU/-ĬA</t>
  </si>
  <si>
    <t>037a: kɾ // #_</t>
  </si>
  <si>
    <t>typically /kɾ/</t>
  </si>
  <si>
    <t>037b: kɾ / ɡr / #_</t>
  </si>
  <si>
    <t>typically voiced to /ɡr/</t>
  </si>
  <si>
    <t>DR-</t>
  </si>
  <si>
    <t>DRĂPPU, DIRECTU &gt; D(I)RITTU</t>
  </si>
  <si>
    <t>d̪~ɖ</t>
  </si>
  <si>
    <t>ɖ</t>
  </si>
  <si>
    <t>ɾ~ɽ</t>
  </si>
  <si>
    <t>ɽ</t>
  </si>
  <si>
    <t>dɾ // #_</t>
  </si>
  <si>
    <t>typically /dɾ/</t>
  </si>
  <si>
    <t>TR-</t>
  </si>
  <si>
    <t>TRĒS, TRĂBE, TRĂHĔRE, TRĔMĔRE</t>
  </si>
  <si>
    <t>t̪~ʈ</t>
  </si>
  <si>
    <t>tɾ // #_</t>
  </si>
  <si>
    <t>typically /tɾ/</t>
  </si>
  <si>
    <t>BL-</t>
  </si>
  <si>
    <t>034a) BLĂTTA, *BLĂNK (grm), BLĂVU/*BLĀO (grm), BLĂNDU; 034b) BLĬTU; 034c) BLĂSTĬMĀRE</t>
  </si>
  <si>
    <t>034a,c</t>
  </si>
  <si>
    <t>034a,b</t>
  </si>
  <si>
    <t>034b</t>
  </si>
  <si>
    <t>034c</t>
  </si>
  <si>
    <r>
      <t/>
    </r>
    <r>
      <rPr>
        <sz val="11"/>
        <color rgb="FF000000"/>
        <rFont val="Tahoma"/>
        <family val="2"/>
      </rPr>
      <t>034a: bl / ? / #_</t>
    </r>
    <r>
      <rPr>
        <sz val="11"/>
        <color rgb="FF000000"/>
        <rFont val="Tahoma"/>
        <family val="2"/>
      </rPr>
      <t>{a,e,O}</t>
    </r>
  </si>
  <si>
    <t>/bl/ in ESP, CVB, FRA, ROM</t>
  </si>
  <si>
    <t>/bj/ in ITA</t>
  </si>
  <si>
    <t>/bɾ/ in POR</t>
  </si>
  <si>
    <t>034b: bl / ? / #_i</t>
  </si>
  <si>
    <t>034c: bl / ? / #_</t>
  </si>
  <si>
    <t>BR-</t>
  </si>
  <si>
    <t>BRĂCCHIU, BRĂNCA, BRŪMA</t>
  </si>
  <si>
    <t>bɾ // #_</t>
  </si>
  <si>
    <t>typically /bɾ/</t>
  </si>
  <si>
    <t>PL-</t>
  </si>
  <si>
    <t>PLŬVĬA, PLĀNA, PLĀNU, PLĬCĀRE, PLŌRĀRE, PLĂNGĔRE</t>
  </si>
  <si>
    <t>032a</t>
  </si>
  <si>
    <t>032b</t>
  </si>
  <si>
    <r>
      <t/>
    </r>
    <r>
      <rPr>
        <sz val="11"/>
        <color rgb="FF000000"/>
        <rFont val="Tahoma"/>
        <family val="2"/>
      </rPr>
      <t>032a:</t>
    </r>
    <r>
      <rPr>
        <sz val="11"/>
        <color rgb="FF000000"/>
        <rFont val="Tahoma"/>
        <family val="2"/>
      </rPr>
      <t xml:space="preserve"> pl / ? / #_{a,e,O}
</t>
    </r>
    <r>
      <rPr>
        <sz val="12"/>
        <color rgb="FF000000"/>
        <rFont val="Tahoma"/>
        <family val="2"/>
      </rPr>
      <t>032b: pl / ? / #_i</t>
    </r>
  </si>
  <si>
    <t>/pl/ in CVB, FRA, ROM</t>
  </si>
  <si>
    <t>/pj/ in ITA</t>
  </si>
  <si>
    <t>1.1 Simple consonants</t>
  </si>
  <si>
    <t>31b</t>
  </si>
  <si>
    <t>W-</t>
  </si>
  <si>
    <t>031b) WARDŌN, WADANIĀRE, WARĪRE, WARNĪRE, WANTU, WADIU, WAI, (WAPSA)</t>
  </si>
  <si>
    <t>#_a</t>
  </si>
  <si>
    <t>g/∅</t>
  </si>
  <si>
    <t>gʷ</t>
  </si>
  <si>
    <t>UU</t>
  </si>
  <si>
    <t>o</t>
  </si>
  <si>
    <t>u/v</t>
  </si>
  <si>
    <t>ɡ~w</t>
  </si>
  <si>
    <t>w~v</t>
  </si>
  <si>
    <t>K~BK</t>
  </si>
  <si>
    <t>031b: w / ? / #_{a,O}</t>
  </si>
  <si>
    <t>typically /ɡw/</t>
  </si>
  <si>
    <t>/ɡ/ in FRA</t>
  </si>
  <si>
    <t>https://en.wiktionary.org/w/index.php?title=Category:Latin_terms_spelled_with_W&amp;from=W</t>
  </si>
  <si>
    <t>31a</t>
  </si>
  <si>
    <t>031a) WĔRRA, WILIĔLMU, WĪTAN</t>
  </si>
  <si>
    <t>031a: w / ? / #_E</t>
  </si>
  <si>
    <t>/ɡw/ in ITA</t>
  </si>
  <si>
    <t>J-</t>
  </si>
  <si>
    <t>JĂCĔŌ, JĂM, JĂMBU, *JĂNTĀRE</t>
  </si>
  <si>
    <t>ˈ#_{a,E}</t>
  </si>
  <si>
    <t>j/g</t>
  </si>
  <si>
    <t>d͡z~ð</t>
  </si>
  <si>
    <t>j / ? / ˈ#_{a,E}</t>
  </si>
  <si>
    <t>typically palatalized to /(d̠͡)ʒ/</t>
  </si>
  <si>
    <t>/ɟ͡ʝ/ in ESP</t>
  </si>
  <si>
    <t>JĂNUĀRIU/JĔNUĀRIU, JĒJŪNĀRE, JĬNĬPĔRU, JĔCTĀRE</t>
  </si>
  <si>
    <t>#_{a,E}ˈ</t>
  </si>
  <si>
    <t>g?</t>
  </si>
  <si>
    <t>j? gh?</t>
  </si>
  <si>
    <t>j / ? / #_{a,E}ˈ</t>
  </si>
  <si>
    <t>∅ in ESP</t>
  </si>
  <si>
    <t>JŎCU, JŎCĀRE, JŬNCU, JŬGU, JŌANNE</t>
  </si>
  <si>
    <t>j / ? / #_O</t>
  </si>
  <si>
    <t>/x~h/ in ESP</t>
  </si>
  <si>
    <t>L-</t>
  </si>
  <si>
    <t>LĀNA, LŪNA, LŎNGU</t>
  </si>
  <si>
    <t>ł/l</t>
  </si>
  <si>
    <t>gl</t>
  </si>
  <si>
    <r>
      <t/>
    </r>
    <r>
      <rPr>
        <sz val="12"/>
        <color rgb="FF000000"/>
        <rFont val="Tahoma"/>
        <family val="2"/>
      </rPr>
      <t>ȴ</t>
    </r>
    <r>
      <rPr>
        <sz val="11"/>
        <color rgb="FF000000"/>
        <rFont val="Tahoma"/>
        <family val="2"/>
      </rPr>
      <t xml:space="preserve"> [ʎ̟]</t>
    </r>
  </si>
  <si>
    <t>l (ɰ)</t>
  </si>
  <si>
    <t>D (K)</t>
  </si>
  <si>
    <t>LW (W)</t>
  </si>
  <si>
    <t>027a</t>
  </si>
  <si>
    <t>027b</t>
  </si>
  <si>
    <t>027a: l / ? / #_{a,o,ŭ}</t>
  </si>
  <si>
    <t>typically /l/</t>
  </si>
  <si>
    <t>/ȴ/ [ʎ̟] in CVB</t>
  </si>
  <si>
    <t>027b: l / ? / #_ū</t>
  </si>
  <si>
    <t>/ȴ/ [ʎ̟] in CVB, RMH</t>
  </si>
  <si>
    <t>LĪNU, LĔCTU, LĔPORE, LĬGĀRE</t>
  </si>
  <si>
    <t>026a</t>
  </si>
  <si>
    <t>026a,b</t>
  </si>
  <si>
    <t>026b,c</t>
  </si>
  <si>
    <t>026c</t>
  </si>
  <si>
    <t>026a: l / ? / #_e</t>
  </si>
  <si>
    <t>026b: l / ? / #_ĭ</t>
  </si>
  <si>
    <t>026c: l / ? / #_ī</t>
  </si>
  <si>
    <t>R-</t>
  </si>
  <si>
    <t>RĪPA, RŎTA, RĀNA</t>
  </si>
  <si>
    <t>r̠</t>
  </si>
  <si>
    <r>
      <t/>
    </r>
    <r>
      <rPr>
        <sz val="12"/>
        <color rgb="FF000000"/>
        <rFont val="Tahoma"/>
        <family val="2"/>
      </rPr>
      <t>r</t>
    </r>
    <r>
      <rPr>
        <sz val="11"/>
        <color rgb="FF000000"/>
        <rFont val="Tahoma"/>
        <family val="2"/>
      </rPr>
      <t xml:space="preserve"> (ʀ)</t>
    </r>
  </si>
  <si>
    <r>
      <t/>
    </r>
    <r>
      <rPr>
        <sz val="12"/>
        <color rgb="FF000000"/>
        <rFont val="Tahoma"/>
        <family val="2"/>
      </rPr>
      <t>r</t>
    </r>
    <r>
      <rPr>
        <sz val="11"/>
        <color rgb="FF000000"/>
        <rFont val="Tahoma"/>
        <family val="2"/>
      </rPr>
      <t xml:space="preserve"> (ʁ)</t>
    </r>
  </si>
  <si>
    <r>
      <t/>
    </r>
    <r>
      <rPr>
        <sz val="12"/>
        <color rgb="FF000000"/>
        <rFont val="Tahoma"/>
        <family val="2"/>
      </rPr>
      <t>L</t>
    </r>
    <r>
      <rPr>
        <sz val="11"/>
        <color rgb="FF000000"/>
        <rFont val="Tahoma"/>
        <family val="2"/>
      </rPr>
      <t xml:space="preserve"> (F)</t>
    </r>
  </si>
  <si>
    <t>r / ? / #_</t>
  </si>
  <si>
    <t>typically /r/</t>
  </si>
  <si>
    <t>/ʁ~ʀ/ in EU.POR, FRA</t>
  </si>
  <si>
    <t>/x~h/ in BR.POR</t>
  </si>
  <si>
    <t>H-</t>
  </si>
  <si>
    <t>024a) *HĂPPIA, *HĂGGIA, HĂRPA, *HERIWALD, *HĂSPA, HĒNRĪCUS; 024b) HĔRBA, HŎMŌ/HŎMĬNĔ</t>
  </si>
  <si>
    <r>
      <t/>
    </r>
    <r>
      <rPr>
        <sz val="12"/>
        <color rgb="FF000000"/>
        <rFont val="Tahoma"/>
        <family val="2"/>
      </rPr>
      <t>H</t>
    </r>
    <r>
      <rPr>
        <sz val="11"/>
        <color rgb="FF000000"/>
        <rFont val="Tahoma"/>
        <family val="2"/>
      </rPr>
      <t xml:space="preserve"> (∅)</t>
    </r>
  </si>
  <si>
    <t>h~∅</t>
  </si>
  <si>
    <t>∅/h</t>
  </si>
  <si>
    <t>024a</t>
  </si>
  <si>
    <t>024b</t>
  </si>
  <si>
    <t>h / ∅ / #_</t>
  </si>
  <si>
    <t>almost always silent</t>
  </si>
  <si>
    <t>(024a: Germanic-derived words)</t>
  </si>
  <si>
    <t>(024b: native Latin-derived words)</t>
  </si>
  <si>
    <t>S-</t>
  </si>
  <si>
    <t>SŎNU, SĀNU, SAPĒRE, SĀL[E], SŬBTU/-A</t>
  </si>
  <si>
    <t>s̠~s</t>
  </si>
  <si>
    <t>s / ? / #_{a,O}</t>
  </si>
  <si>
    <t>typically /s/</t>
  </si>
  <si>
    <t>022a) SĬGĔLLU/SĬGĬLLU, SĬCCĀRE, SĔNTĪRE, SĒMINĀRE; 022b) SĔCĀRE, SÆTĂCĬU</t>
  </si>
  <si>
    <t>#_Eˈ</t>
  </si>
  <si>
    <t>022a</t>
  </si>
  <si>
    <t>022b,c</t>
  </si>
  <si>
    <t>022a: s // #_{ĕNC,ē,ĭ}ˈ</t>
  </si>
  <si>
    <t>022b: s / ? / #_{ĕ³,ī}ˈ</t>
  </si>
  <si>
    <t>/ʃ/ in ROM</t>
  </si>
  <si>
    <t>Romanian:</t>
  </si>
  <si>
    <t>1) long /i:/ (&gt; ERom. /i/), if not elided.
2) i + vowel (consonantal /i/) (&gt; ERom. /j/)
3) stressed short /e/ ~ /ae/ *not* followed by a nasal cluster /NC/ (&gt; ERom. /je/)</t>
  </si>
  <si>
    <t>021a) SĬCCU, SĒBU, SĬTĬ, SĬGNU;
021b) SĔRVU, SĔPTĔ, SĪMĬU/SĪMĬA, SĪC</t>
  </si>
  <si>
    <t>ˈ#_E</t>
  </si>
  <si>
    <t>021a</t>
  </si>
  <si>
    <t>021b,c</t>
  </si>
  <si>
    <t>021a: s // ˈ#_{ĕNC,ē,ĭ}</t>
  </si>
  <si>
    <t>021b: s / ? / ˈ#_{ĕ³,ī}</t>
  </si>
  <si>
    <t>V-</t>
  </si>
  <si>
    <t>020a) VĂCCA, VŬLPĔ, VOLĒRĔ, VŎLŬTA, VŬLTŬRĔ; 020b) VŎLVĔRĔ</t>
  </si>
  <si>
    <t>v (b)</t>
  </si>
  <si>
    <t>b~v</t>
  </si>
  <si>
    <t>020a: w // #_{a,O}</t>
  </si>
  <si>
    <t>020b: w / ? / #_{a,O}</t>
  </si>
  <si>
    <t>/h/ in ROM</t>
  </si>
  <si>
    <t>VĪNEA, VĬTĔLLU, VĪCĪNU/*VECĪNU, *VĬRDE, VĔSPA, *VESSĪCA</t>
  </si>
  <si>
    <t>w // #_E</t>
  </si>
  <si>
    <t>F-</t>
  </si>
  <si>
    <t>FĂRĪNA, FÆNU/FĒNU, FĒMINA, FŬRNU, FŬRCA, FŪMU, FĂBA</t>
  </si>
  <si>
    <t>#_{a,ē,i,ō,u}</t>
  </si>
  <si>
    <r>
      <t/>
    </r>
    <r>
      <rPr>
        <sz val="12"/>
        <color rgb="FF000000"/>
        <rFont val="Tahoma"/>
        <family val="2"/>
      </rPr>
      <t>f</t>
    </r>
    <r>
      <rPr>
        <sz val="9"/>
        <color rgb="FF000000"/>
        <rFont val="Tahoma"/>
        <family val="2"/>
      </rPr>
      <t xml:space="preserve"> (ḥ)</t>
    </r>
  </si>
  <si>
    <r>
      <t/>
    </r>
    <r>
      <rPr>
        <sz val="12"/>
        <color rgb="FF000000"/>
        <rFont val="Tahoma"/>
        <family val="2"/>
      </rPr>
      <t>f</t>
    </r>
    <r>
      <rPr>
        <sz val="9"/>
        <color rgb="FF000000"/>
        <rFont val="Tahoma"/>
        <family val="2"/>
      </rPr>
      <t xml:space="preserve"> (h)</t>
    </r>
  </si>
  <si>
    <r>
      <t/>
    </r>
    <r>
      <rPr>
        <sz val="12"/>
        <color rgb="FF000000"/>
        <rFont val="Tahoma"/>
        <family val="2"/>
      </rPr>
      <t>B</t>
    </r>
    <r>
      <rPr>
        <sz val="9"/>
        <color rgb="FF000000"/>
        <rFont val="Tahoma"/>
        <family val="2"/>
      </rPr>
      <t xml:space="preserve"> (H)</t>
    </r>
  </si>
  <si>
    <t>f / ? / #_{a,ē,i,ō,u}</t>
  </si>
  <si>
    <t>typically /f/</t>
  </si>
  <si>
    <t>FŎCU, FĔRA, FĔBRE, FŎNTE, FŎRĪS; FŎSSA</t>
  </si>
  <si>
    <t>ˈ#_{ĕ,ŏ}</t>
  </si>
  <si>
    <t>f / ? / ˈ#_{ĕ,ŏ}</t>
  </si>
  <si>
    <r>
      <t/>
    </r>
    <r>
      <rPr>
        <sz val="12"/>
        <color rgb="FF000000"/>
        <rFont val="Tahoma"/>
        <family val="2"/>
      </rPr>
      <t xml:space="preserve">17b: FŎSSA &gt; Spanish </t>
    </r>
    <r>
      <rPr>
        <i/>
        <sz val="12"/>
        <color rgb="FF000000"/>
        <rFont val="Tahoma"/>
        <family val="2"/>
      </rPr>
      <t>huesa</t>
    </r>
    <r>
      <rPr>
        <sz val="12"/>
        <color rgb="FF000000"/>
        <rFont val="Tahoma"/>
        <family val="2"/>
      </rPr>
      <t xml:space="preserve">, against expected /f/ (cf. also </t>
    </r>
    <r>
      <rPr>
        <i/>
        <sz val="12"/>
        <color rgb="FF000000"/>
        <rFont val="Tahoma"/>
        <family val="2"/>
      </rPr>
      <t>fosa</t>
    </r>
    <r>
      <rPr>
        <sz val="12"/>
        <color rgb="FF000000"/>
        <rFont val="Tahoma"/>
        <family val="2"/>
      </rPr>
      <t>)</t>
    </r>
  </si>
  <si>
    <t>M-</t>
  </si>
  <si>
    <t>MĂNU, MĒ, MĬLLE, MŎLLE, MŬLTU</t>
  </si>
  <si>
    <t>m // #_</t>
  </si>
  <si>
    <t>typically /m/</t>
  </si>
  <si>
    <t>N-</t>
  </si>
  <si>
    <t>NŬRA/NŎRA, NŌMEN/NŌMĬNE, NĀSU, NATĀRE</t>
  </si>
  <si>
    <t>n/ñ</t>
  </si>
  <si>
    <t>n~ɲ</t>
  </si>
  <si>
    <t>n // #_{a,O}</t>
  </si>
  <si>
    <t>typically /n/</t>
  </si>
  <si>
    <t>NĬVE/NĔVE, NEPŌTE</t>
  </si>
  <si>
    <t>n // #_E</t>
  </si>
  <si>
    <t>G-</t>
  </si>
  <si>
    <t>GŬBĔRNĀRE, GŬLA, GŬRGU, GŬSTĀRE, GŬTTA</t>
  </si>
  <si>
    <t>ɡ (ħ)</t>
  </si>
  <si>
    <t>ɡ~j</t>
  </si>
  <si>
    <t>P (F)</t>
  </si>
  <si>
    <t>ɡ // #_O</t>
  </si>
  <si>
    <t>GĂLLU, GĂLLĪNA, GĂLBĬNU, GĂUDĬU, GĂLLA</t>
  </si>
  <si>
    <r>
      <t/>
    </r>
    <r>
      <rPr>
        <sz val="12"/>
        <color rgb="FF000000"/>
        <rFont val="Tahoma"/>
        <family val="2"/>
      </rPr>
      <t>g</t>
    </r>
    <r>
      <rPr>
        <sz val="9"/>
        <color rgb="FF000000"/>
        <rFont val="Tahoma"/>
        <family val="2"/>
      </rPr>
      <t xml:space="preserve"> (j)</t>
    </r>
  </si>
  <si>
    <r>
      <t/>
    </r>
    <r>
      <rPr>
        <sz val="12"/>
        <color rgb="FF000000"/>
        <rFont val="Tahoma"/>
        <family val="2"/>
      </rPr>
      <t>ɡ</t>
    </r>
    <r>
      <rPr>
        <sz val="9"/>
        <color rgb="FF000000"/>
        <rFont val="Tahoma"/>
        <family val="2"/>
      </rPr>
      <t xml:space="preserve"> (d͡z)</t>
    </r>
  </si>
  <si>
    <t>ɡ / ? / #_a</t>
  </si>
  <si>
    <t>palatalized to /(d̠͡)ʒ/ in Gallo-Romance</t>
  </si>
  <si>
    <t>GĔLĀRE, GENŬCŬLU, GENĔSTA, GĬNGĪVA</t>
  </si>
  <si>
    <t>#_E.ˈ</t>
  </si>
  <si>
    <t>sch</t>
  </si>
  <si>
    <t>g / ? / #_E.ˈ</t>
  </si>
  <si>
    <t>GĔNĔRU, GĔLU, GY̆PSU</t>
  </si>
  <si>
    <t>d̠͡ʒ~ʃ</t>
  </si>
  <si>
    <t>ɡ / ? / ˈ#_E</t>
  </si>
  <si>
    <t>C-</t>
  </si>
  <si>
    <t>CŪLU, CŪRA, CŪNA</t>
  </si>
  <si>
    <t>#_ū</t>
  </si>
  <si>
    <t>tg</t>
  </si>
  <si>
    <t>k // #_ū</t>
  </si>
  <si>
    <t>009a) CŎCERE, CŎLLU, CŎLŌRE, CŬM, CŬNĪCŬLU; 009b) CŬBĬTU</t>
  </si>
  <si>
    <t>#_{o,ŭ}</t>
  </si>
  <si>
    <t>009a</t>
  </si>
  <si>
    <t>009b</t>
  </si>
  <si>
    <t>009a: k // #_{o,ŭ}</t>
  </si>
  <si>
    <t>009b: k / ɡ / #_{o,ŭ}</t>
  </si>
  <si>
    <t>008a: CĂPRA, CĂRBŌNE, CĂNTĀRE;
008b: CĂTTU, CĂRY̆ŎPHY̆LLU</t>
  </si>
  <si>
    <t>tch</t>
  </si>
  <si>
    <t>008a: k / ? / #_a</t>
  </si>
  <si>
    <t>palatalized to /(t)ʃ/ in Gallo-Romance</t>
  </si>
  <si>
    <t>008b: k / ɡ / #_a</t>
  </si>
  <si>
    <t>palatalized to /(d)ʒ/ in Gallo-Romance</t>
  </si>
  <si>
    <t>007a: CĬNĔRE, CÆLU, CĔRĔBĔLLU, CĔNTU, CĔRĔSĔA, CĒPA, CĬCĔRU, CĬLĬU; 007b: CĪNCTU, CĪMĬCE, CĪVĬTĀTE, CĪCCU</t>
  </si>
  <si>
    <t>tsch</t>
  </si>
  <si>
    <t>s/th</t>
  </si>
  <si>
    <t>ʃ~s̠</t>
  </si>
  <si>
    <t>t̠͡ʃ~s̠</t>
  </si>
  <si>
    <t>007a: k / ? / #_{e,ĭ}</t>
  </si>
  <si>
    <t>/k/ in LOG.SRD, DAL</t>
  </si>
  <si>
    <t>/s/ in POR, AND.ESP, AMR.ESP, CVB, FRA</t>
  </si>
  <si>
    <t>007b: k / ? / #_ī</t>
  </si>
  <si>
    <t>/k/ in LOG.SRD</t>
  </si>
  <si>
    <t>D-</t>
  </si>
  <si>
    <t>DĂMNU, DĂRE, DŎMĬNA, DORMĪRE, DŬLCE, DŬO(S)</t>
  </si>
  <si>
    <t>d̪~ɾ</t>
  </si>
  <si>
    <t>P~L</t>
  </si>
  <si>
    <t>006a</t>
  </si>
  <si>
    <t>006b</t>
  </si>
  <si>
    <t>006a: d // #_{a,o,ŭ}</t>
  </si>
  <si>
    <t>typically /d/</t>
  </si>
  <si>
    <t>006b: d // #_ū</t>
  </si>
  <si>
    <t>typically /t/</t>
  </si>
  <si>
    <t>005a) DĒ, DĒBĒRE, DĔNTE, DĬGĬTU;
005b) DĔCE, DĪCERE, DĪĒ/DĪA, DĪĀNA</t>
  </si>
  <si>
    <t>005a,b</t>
  </si>
  <si>
    <t>005a</t>
  </si>
  <si>
    <t>005b,c</t>
  </si>
  <si>
    <t>005c</t>
  </si>
  <si>
    <t>005a: d // #_{ĕNC,ē,ĭ}</t>
  </si>
  <si>
    <t>005b: d /? / #_{ĕ³}</t>
  </si>
  <si>
    <t>/d͡z/ in ARO, /z/ in ROM</t>
  </si>
  <si>
    <t>005c: d / ? / #_ī</t>
  </si>
  <si>
    <t>/d͡z/ in ARO, QBC.FRA, /z/ in ROM</t>
  </si>
  <si>
    <r>
      <t/>
    </r>
    <r>
      <rPr>
        <sz val="12"/>
        <color rgb="FF000000"/>
        <rFont val="Tahoma"/>
        <family val="2"/>
      </rPr>
      <t xml:space="preserve">1) ē; ĭ; stressed /ĕ/~/æ/ followed by a cluster /NC/ (&gt; ERom. /e/)
2) stressed /ĕ/~/æ/ </t>
    </r>
    <r>
      <rPr>
        <i/>
        <sz val="12"/>
        <color rgb="FF000000"/>
        <rFont val="Tahoma"/>
        <family val="2"/>
      </rPr>
      <t>*not*</t>
    </r>
    <r>
      <rPr>
        <sz val="12"/>
        <color rgb="FF000000"/>
        <rFont val="Tahoma"/>
        <family val="2"/>
      </rPr>
      <t xml:space="preserve"> followed by a cluster /NC/ (&gt; ERom. /je/)
3) i + vowel (consonantal /i/) (&gt; ERom. /j/)
4) long /i:/ (&gt; ERom. /i/), if not elided</t>
    </r>
  </si>
  <si>
    <t>T-</t>
  </si>
  <si>
    <t>TĀBŬLA, TĂNGERE, TĂXU/TAXŎNE, TOCCĀRE, TŎRCULU, TŬRRE, TŪ</t>
  </si>
  <si>
    <t>004a</t>
  </si>
  <si>
    <t>004b</t>
  </si>
  <si>
    <t>004a: t // #_{a,o,ŭ}</t>
  </si>
  <si>
    <t>004b: t // #_ū</t>
  </si>
  <si>
    <t>003a) TĒ, TĒGULA, TĬNGERE; 003b) TENĒRE, TĔRRA, TĔRTIU, TĔSTA, TĔXERE; 003c) TĪTIŌNE</t>
  </si>
  <si>
    <t>003a,b</t>
  </si>
  <si>
    <t>003a</t>
  </si>
  <si>
    <t>003b,c</t>
  </si>
  <si>
    <t>003c</t>
  </si>
  <si>
    <t>003a: t // #_{ĕNC,ē,ĭ}</t>
  </si>
  <si>
    <t>003b: t / ? / #_{ĕ²}</t>
  </si>
  <si>
    <t>/t͡s/ in ARO,ROM</t>
  </si>
  <si>
    <t>003c: t / ? / #_ī</t>
  </si>
  <si>
    <t>/t͡ʃ/ in BR.POR</t>
  </si>
  <si>
    <t>B-</t>
  </si>
  <si>
    <t>BĔLLU, BĔNE, BĬBĔRE, BILĂNCIA, BITTŪME, BĪSTIA</t>
  </si>
  <si>
    <r>
      <t/>
    </r>
    <r>
      <rPr>
        <sz val="12"/>
        <color rgb="FF000000"/>
        <rFont val="Tahoma"/>
        <family val="2"/>
      </rPr>
      <t>b</t>
    </r>
    <r>
      <rPr>
        <sz val="9"/>
        <color rgb="FF000000"/>
        <rFont val="Tahoma"/>
        <family val="2"/>
      </rPr>
      <t xml:space="preserve"> (b)</t>
    </r>
  </si>
  <si>
    <t>v?</t>
  </si>
  <si>
    <t>b (v)</t>
  </si>
  <si>
    <t>b // #_E</t>
  </si>
  <si>
    <t>typically /b/</t>
  </si>
  <si>
    <t>BASSU, BĀSIU, BŎVE, BOLĒTU, BŬCCA, BŬXU</t>
  </si>
  <si>
    <t>b // #_{a,O}</t>
  </si>
  <si>
    <t>Priority</t>
  </si>
  <si>
    <t>Language</t>
  </si>
  <si>
    <t>3a</t>
  </si>
  <si>
    <t>3b</t>
  </si>
  <si>
    <t>3c</t>
  </si>
  <si>
    <t>LATĪNUM</t>
  </si>
  <si>
    <t>*</t>
  </si>
  <si>
    <t>português europeu</t>
  </si>
  <si>
    <t>Portuguese</t>
  </si>
  <si>
    <t>português brasileiro</t>
  </si>
  <si>
    <t>Brazilian Portuguese</t>
  </si>
  <si>
    <t>galego</t>
  </si>
  <si>
    <t>Galician</t>
  </si>
  <si>
    <t>asturlleonés</t>
  </si>
  <si>
    <t>Astur-Leonese</t>
  </si>
  <si>
    <t>castellano</t>
  </si>
  <si>
    <t>Castilian Spanish</t>
  </si>
  <si>
    <t>andaluz</t>
  </si>
  <si>
    <t>Andalusian Spanish</t>
  </si>
  <si>
    <t>español de América</t>
  </si>
  <si>
    <t>American Spanish</t>
  </si>
  <si>
    <t>aragonés</t>
  </si>
  <si>
    <t>Aragonese</t>
  </si>
  <si>
    <t>català</t>
  </si>
  <si>
    <t>Catalan</t>
  </si>
  <si>
    <t>valencià</t>
  </si>
  <si>
    <t>Valencian</t>
  </si>
  <si>
    <t>balear</t>
  </si>
  <si>
    <t>Balearic</t>
  </si>
  <si>
    <t>occitan</t>
  </si>
  <si>
    <t>Occitan</t>
  </si>
  <si>
    <t>gascon</t>
  </si>
  <si>
    <t>Gascon</t>
  </si>
  <si>
    <t>walon</t>
  </si>
  <si>
    <t>Walloon</t>
  </si>
  <si>
    <t>français européen</t>
  </si>
  <si>
    <t>French</t>
  </si>
  <si>
    <t>français québécois</t>
  </si>
  <si>
    <t>Québécois French</t>
  </si>
  <si>
    <t>arpetan</t>
  </si>
  <si>
    <t>Arpitan</t>
  </si>
  <si>
    <t>lìgure</t>
  </si>
  <si>
    <t>Ligurian</t>
  </si>
  <si>
    <t>lombard</t>
  </si>
  <si>
    <t>Lombard</t>
  </si>
  <si>
    <t>rumantsch</t>
  </si>
  <si>
    <t>Romansh</t>
  </si>
  <si>
    <t>furlan</t>
  </si>
  <si>
    <t>Friulian</t>
  </si>
  <si>
    <t>sardu logudoresu</t>
  </si>
  <si>
    <t>Logudorese Sardinian</t>
  </si>
  <si>
    <t>sardu campidanesu</t>
  </si>
  <si>
    <t>Campidanese Sardinian</t>
  </si>
  <si>
    <t>corsu</t>
  </si>
  <si>
    <t>Corsican</t>
  </si>
  <si>
    <t>italiano</t>
  </si>
  <si>
    <t>Italian</t>
  </si>
  <si>
    <t>abbruzzese</t>
  </si>
  <si>
    <t>Abruzzese</t>
  </si>
  <si>
    <t>campane-molisane</t>
  </si>
  <si>
    <t>Campano-Molisan</t>
  </si>
  <si>
    <t>pugghiese</t>
  </si>
  <si>
    <t>Pugliese</t>
  </si>
  <si>
    <t>sicilianu</t>
  </si>
  <si>
    <t>Sicilian</t>
  </si>
  <si>
    <t>vèneto</t>
  </si>
  <si>
    <t>Venetan</t>
  </si>
  <si>
    <t>armãneashti</t>
  </si>
  <si>
    <t>Aromanian</t>
  </si>
  <si>
    <t>română</t>
  </si>
  <si>
    <t>Romanian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</si>
</sst>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8" x14ac:knownFonts="1">
    <font>
      <sz val="11"/>
      <color theme="1"/>
      <name val="Calibri"/>
      <family val="2"/>
      <scheme val="minor"/>
    </font>
    <font>
      <b/>
      <sz val="12"/>
      <color rgb="FF000000"/>
      <name val="Tahoma"/>
      <family val="2"/>
    </font>
    <font>
      <sz val="14"/>
      <color rgb="FF000000"/>
      <name val="Tahoma"/>
      <family val="2"/>
    </font>
    <font>
      <sz val="12"/>
      <color rgb="FF000000"/>
      <name val="Tahoma"/>
      <family val="2"/>
    </font>
    <font>
      <i/>
      <sz val="12"/>
      <color rgb="FF000000"/>
      <name val="Tahoma"/>
      <family val="2"/>
    </font>
    <font>
      <sz val="12"/>
      <color rgb="FF50164a"/>
      <name val="Tahoma"/>
      <family val="2"/>
    </font>
    <font>
      <u/>
      <sz val="11"/>
      <color rgb="FF000000"/>
      <name val="Aptos Narrow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color rgb="FF000000"/>
      <name val="Tahoma"/>
      <family val="2"/>
    </font>
    <font>
      <u/>
      <sz val="12"/>
      <color rgb="FF000000"/>
      <name val="Tahoma"/>
      <family val="2"/>
    </font>
    <font>
      <sz val="11"/>
      <color rgb="FF000000"/>
      <name val="Tahoma"/>
      <family val="2"/>
    </font>
    <font>
      <sz val="9"/>
      <color rgb="FF000000"/>
      <name val="Tahoma"/>
      <family val="2"/>
    </font>
    <font>
      <i/>
      <sz val="11"/>
      <color rgb="FF000000"/>
      <name val="Tahoma"/>
      <family val="2"/>
    </font>
    <font>
      <sz val="8"/>
      <color rgb="FF000000"/>
      <name val="Tahoma"/>
      <family val="2"/>
    </font>
    <font>
      <u/>
      <sz val="11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cd0cd"/>
      </patternFill>
    </fill>
    <fill>
      <patternFill patternType="solid">
        <fgColor rgb="FFfcddcd"/>
      </patternFill>
    </fill>
    <fill>
      <patternFill patternType="solid">
        <fgColor rgb="FFfff2cc"/>
      </patternFill>
    </fill>
    <fill>
      <patternFill patternType="solid">
        <fgColor rgb="FFfdfacc"/>
      </patternFill>
    </fill>
    <fill>
      <patternFill patternType="solid">
        <fgColor rgb="FFf6fdcc"/>
      </patternFill>
    </fill>
    <fill>
      <patternFill patternType="solid">
        <fgColor rgb="FFe3f1cd"/>
      </patternFill>
    </fill>
    <fill>
      <patternFill patternType="solid">
        <fgColor rgb="FFd9ead3"/>
      </patternFill>
    </fill>
    <fill>
      <patternFill patternType="solid">
        <fgColor rgb="FFcfefe8"/>
      </patternFill>
    </fill>
    <fill>
      <patternFill patternType="solid">
        <fgColor rgb="FFd0e0e3"/>
      </patternFill>
    </fill>
    <fill>
      <patternFill patternType="solid">
        <fgColor rgb="FFd8ccc2"/>
      </patternFill>
    </fill>
    <fill>
      <patternFill patternType="solid">
        <fgColor rgb="FFc9daf8"/>
      </patternFill>
    </fill>
    <fill>
      <patternFill patternType="solid">
        <fgColor rgb="FFcfe2f3"/>
      </patternFill>
    </fill>
    <fill>
      <patternFill patternType="solid">
        <fgColor rgb="FFd5d5f8"/>
      </patternFill>
    </fill>
    <fill>
      <patternFill patternType="solid">
        <fgColor rgb="FFd9d2e9"/>
      </patternFill>
    </fill>
    <fill>
      <patternFill patternType="solid">
        <fgColor rgb="FFebd1e8"/>
      </patternFill>
    </fill>
    <fill>
      <patternFill patternType="solid">
        <fgColor rgb="FFffff00"/>
      </patternFill>
    </fill>
    <fill>
      <patternFill patternType="solid">
        <fgColor rgb="FFe9caf1"/>
      </patternFill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e59edd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6c6c6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9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2" applyBorder="1" fontId="3" applyFont="1" fillId="0" applyAlignment="1">
      <alignment horizontal="center" vertical="top" wrapText="1"/>
    </xf>
    <xf xfId="0" numFmtId="0" borderId="2" applyBorder="1" fontId="3" applyFont="1" fillId="0" applyAlignment="1">
      <alignment horizontal="center" wrapText="1"/>
    </xf>
    <xf xfId="0" numFmtId="0" borderId="1" applyBorder="1" fontId="4" applyFont="1" fillId="0" applyAlignment="1">
      <alignment horizontal="center"/>
    </xf>
    <xf xfId="0" numFmtId="4" applyNumberFormat="1" borderId="3" applyBorder="1" fontId="3" applyFont="1" fillId="2" applyFill="1" applyAlignment="1">
      <alignment horizontal="center" wrapText="1"/>
    </xf>
    <xf xfId="0" numFmtId="0" borderId="3" applyBorder="1" fontId="3" applyFont="1" fillId="3" applyFill="1" applyAlignment="1">
      <alignment horizontal="center" wrapText="1"/>
    </xf>
    <xf xfId="0" numFmtId="0" borderId="3" applyBorder="1" fontId="3" applyFont="1" fillId="3" applyFill="1" applyAlignment="1">
      <alignment horizontal="center"/>
    </xf>
    <xf xfId="0" numFmtId="0" borderId="3" applyBorder="1" fontId="3" applyFont="1" fillId="4" applyFill="1" applyAlignment="1">
      <alignment horizontal="center" wrapText="1"/>
    </xf>
    <xf xfId="0" numFmtId="0" borderId="3" applyBorder="1" fontId="3" applyFont="1" fillId="5" applyFill="1" applyAlignment="1">
      <alignment horizontal="center" wrapText="1"/>
    </xf>
    <xf xfId="0" numFmtId="0" borderId="3" applyBorder="1" fontId="3" applyFont="1" fillId="6" applyFill="1" applyAlignment="1">
      <alignment horizontal="center"/>
    </xf>
    <xf xfId="0" numFmtId="0" borderId="3" applyBorder="1" fontId="3" applyFont="1" fillId="7" applyFill="1" applyAlignment="1">
      <alignment horizontal="center"/>
    </xf>
    <xf xfId="0" numFmtId="0" borderId="3" applyBorder="1" fontId="3" applyFont="1" fillId="8" applyFill="1" applyAlignment="1">
      <alignment horizontal="center" wrapText="1"/>
    </xf>
    <xf xfId="0" numFmtId="0" borderId="3" applyBorder="1" fontId="3" applyFont="1" fillId="9" applyFill="1" applyAlignment="1">
      <alignment horizontal="center" wrapText="1"/>
    </xf>
    <xf xfId="0" numFmtId="0" borderId="3" applyBorder="1" fontId="3" applyFont="1" fillId="9" applyFill="1" applyAlignment="1">
      <alignment horizontal="center"/>
    </xf>
    <xf xfId="0" numFmtId="0" borderId="3" applyBorder="1" fontId="3" applyFont="1" fillId="10" applyFill="1" applyAlignment="1">
      <alignment horizontal="center"/>
    </xf>
    <xf xfId="0" numFmtId="0" borderId="3" applyBorder="1" fontId="3" applyFont="1" fillId="11" applyFill="1" applyAlignment="1">
      <alignment horizontal="center"/>
    </xf>
    <xf xfId="0" numFmtId="0" borderId="3" applyBorder="1" fontId="3" applyFont="1" fillId="12" applyFill="1" applyAlignment="1">
      <alignment horizontal="center"/>
    </xf>
    <xf xfId="0" numFmtId="0" borderId="3" applyBorder="1" fontId="3" applyFont="1" fillId="13" applyFill="1" applyAlignment="1">
      <alignment horizontal="center" wrapText="1"/>
    </xf>
    <xf xfId="0" numFmtId="0" borderId="3" applyBorder="1" fontId="3" applyFont="1" fillId="14" applyFill="1" applyAlignment="1">
      <alignment horizontal="center"/>
    </xf>
    <xf xfId="0" numFmtId="0" borderId="3" applyBorder="1" fontId="3" applyFont="1" fillId="15" applyFill="1" applyAlignment="1">
      <alignment horizontal="center"/>
    </xf>
    <xf xfId="0" numFmtId="0" borderId="3" applyBorder="1" fontId="3" applyFont="1" fillId="16" applyFill="1" applyAlignment="1">
      <alignment horizontal="center"/>
    </xf>
    <xf xfId="0" numFmtId="0" borderId="3" applyBorder="1" fontId="3" applyFont="1" fillId="17" applyFill="1" applyAlignment="1">
      <alignment horizontal="center"/>
    </xf>
    <xf xfId="0" numFmtId="0" borderId="3" applyBorder="1" fontId="3" applyFont="1" fillId="18" applyFill="1" applyAlignment="1">
      <alignment horizontal="center"/>
    </xf>
    <xf xfId="0" numFmtId="0" borderId="1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4" applyBorder="1" fontId="3" applyFont="1" fillId="0" applyAlignment="1">
      <alignment horizontal="center"/>
    </xf>
    <xf xfId="0" numFmtId="0" borderId="4" applyBorder="1" fontId="3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4" applyNumberFormat="1" borderId="2" applyBorder="1" fontId="5" applyFont="1" fillId="0" applyAlignment="1">
      <alignment horizontal="center"/>
    </xf>
    <xf xfId="0" numFmtId="0" borderId="2" applyBorder="1" fontId="5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5" applyBorder="1" fontId="3" applyFont="1" fillId="19" applyFill="1" applyAlignment="1">
      <alignment horizontal="center"/>
    </xf>
    <xf xfId="0" numFmtId="4" applyNumberFormat="1" borderId="1" applyBorder="1" fontId="3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2" applyBorder="1" fontId="3" applyFont="1" fillId="0" applyAlignment="1">
      <alignment horizontal="center" vertical="top" wrapText="1"/>
    </xf>
    <xf xfId="0" numFmtId="4" applyNumberFormat="1" borderId="2" applyBorder="1" fontId="3" applyFont="1" fillId="0" applyAlignment="1">
      <alignment horizontal="center" wrapText="1"/>
    </xf>
    <xf xfId="0" numFmtId="4" applyNumberFormat="1" borderId="3" applyBorder="1" fontId="3" applyFont="1" fillId="3" applyFill="1" applyAlignment="1">
      <alignment horizontal="center" wrapText="1"/>
    </xf>
    <xf xfId="0" numFmtId="4" applyNumberFormat="1" borderId="3" applyBorder="1" fontId="3" applyFont="1" fillId="3" applyFill="1" applyAlignment="1">
      <alignment horizontal="center"/>
    </xf>
    <xf xfId="0" numFmtId="4" applyNumberFormat="1" borderId="3" applyBorder="1" fontId="3" applyFont="1" fillId="4" applyFill="1" applyAlignment="1">
      <alignment horizontal="center" wrapText="1"/>
    </xf>
    <xf xfId="0" numFmtId="4" applyNumberFormat="1" borderId="3" applyBorder="1" fontId="3" applyFont="1" fillId="5" applyFill="1" applyAlignment="1">
      <alignment horizontal="center" wrapText="1"/>
    </xf>
    <xf xfId="0" numFmtId="4" applyNumberFormat="1" borderId="3" applyBorder="1" fontId="3" applyFont="1" fillId="7" applyFill="1" applyAlignment="1">
      <alignment horizontal="center"/>
    </xf>
    <xf xfId="0" numFmtId="4" applyNumberFormat="1" borderId="3" applyBorder="1" fontId="3" applyFont="1" fillId="9" applyFill="1" applyAlignment="1">
      <alignment horizontal="center" wrapText="1"/>
    </xf>
    <xf xfId="0" numFmtId="4" applyNumberFormat="1" borderId="3" applyBorder="1" fontId="3" applyFont="1" fillId="14" applyFill="1" applyAlignment="1">
      <alignment horizontal="center"/>
    </xf>
    <xf xfId="0" numFmtId="4" applyNumberFormat="1" borderId="3" applyBorder="1" fontId="3" applyFont="1" fillId="18" applyFill="1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7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4" applyNumberFormat="1" borderId="2" applyBorder="1" fontId="3" applyFont="1" fillId="2" applyFill="1" applyAlignment="1">
      <alignment horizontal="center" wrapText="1"/>
    </xf>
    <xf xfId="0" numFmtId="0" borderId="2" applyBorder="1" fontId="3" applyFont="1" fillId="3" applyFill="1" applyAlignment="1">
      <alignment horizontal="center" wrapText="1"/>
    </xf>
    <xf xfId="0" numFmtId="0" borderId="2" applyBorder="1" fontId="3" applyFont="1" fillId="3" applyFill="1" applyAlignment="1">
      <alignment horizontal="center"/>
    </xf>
    <xf xfId="0" numFmtId="0" borderId="2" applyBorder="1" fontId="3" applyFont="1" fillId="4" applyFill="1" applyAlignment="1">
      <alignment horizontal="center" wrapText="1"/>
    </xf>
    <xf xfId="0" numFmtId="0" borderId="2" applyBorder="1" fontId="3" applyFont="1" fillId="5" applyFill="1" applyAlignment="1">
      <alignment horizontal="center" wrapText="1"/>
    </xf>
    <xf xfId="0" numFmtId="0" borderId="2" applyBorder="1" fontId="3" applyFont="1" fillId="5" applyFill="1" applyAlignment="1">
      <alignment horizontal="center"/>
    </xf>
    <xf xfId="0" numFmtId="0" borderId="2" applyBorder="1" fontId="3" applyFont="1" fillId="6" applyFill="1" applyAlignment="1">
      <alignment horizontal="center"/>
    </xf>
    <xf xfId="0" numFmtId="0" borderId="2" applyBorder="1" fontId="3" applyFont="1" fillId="7" applyFill="1" applyAlignment="1">
      <alignment horizontal="center"/>
    </xf>
    <xf xfId="0" numFmtId="0" borderId="2" applyBorder="1" fontId="3" applyFont="1" fillId="8" applyFill="1" applyAlignment="1">
      <alignment horizontal="center" wrapText="1"/>
    </xf>
    <xf xfId="0" numFmtId="0" borderId="2" applyBorder="1" fontId="3" applyFont="1" fillId="9" applyFill="1" applyAlignment="1">
      <alignment horizontal="center"/>
    </xf>
    <xf xfId="0" numFmtId="0" borderId="2" applyBorder="1" fontId="3" applyFont="1" fillId="9" applyFill="1" applyAlignment="1">
      <alignment horizontal="center" wrapText="1"/>
    </xf>
    <xf xfId="0" numFmtId="0" borderId="2" applyBorder="1" fontId="3" applyFont="1" fillId="10" applyFill="1" applyAlignment="1">
      <alignment horizontal="center"/>
    </xf>
    <xf xfId="0" numFmtId="0" borderId="2" applyBorder="1" fontId="3" applyFont="1" fillId="11" applyFill="1" applyAlignment="1">
      <alignment horizontal="center"/>
    </xf>
    <xf xfId="0" numFmtId="0" borderId="2" applyBorder="1" fontId="3" applyFont="1" fillId="12" applyFill="1" applyAlignment="1">
      <alignment horizontal="center"/>
    </xf>
    <xf xfId="0" numFmtId="0" borderId="2" applyBorder="1" fontId="3" applyFont="1" fillId="13" applyFill="1" applyAlignment="1">
      <alignment horizontal="center" wrapText="1"/>
    </xf>
    <xf xfId="0" numFmtId="3" applyNumberFormat="1" borderId="2" applyBorder="1" fontId="3" applyFont="1" fillId="14" applyFill="1" applyAlignment="1">
      <alignment horizontal="center"/>
    </xf>
    <xf xfId="0" numFmtId="3" applyNumberFormat="1" borderId="2" applyBorder="1" fontId="3" applyFont="1" fillId="15" applyFill="1" applyAlignment="1">
      <alignment horizontal="center"/>
    </xf>
    <xf xfId="0" numFmtId="3" applyNumberFormat="1" borderId="2" applyBorder="1" fontId="3" applyFont="1" fillId="16" applyFill="1" applyAlignment="1">
      <alignment horizontal="center"/>
    </xf>
    <xf xfId="0" numFmtId="3" applyNumberFormat="1" borderId="2" applyBorder="1" fontId="3" applyFont="1" fillId="17" applyFill="1" applyAlignment="1">
      <alignment horizontal="center"/>
    </xf>
    <xf xfId="0" numFmtId="3" applyNumberFormat="1" borderId="2" applyBorder="1" fontId="3" applyFont="1" fillId="20" applyFill="1" applyAlignment="1">
      <alignment horizontal="center"/>
    </xf>
    <xf xfId="0" numFmtId="3" applyNumberFormat="1" borderId="2" applyBorder="1" fontId="3" applyFont="1" fillId="18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4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6" applyBorder="1" fontId="1" applyFont="1" fillId="0" applyAlignment="1">
      <alignment horizontal="center"/>
    </xf>
    <xf xfId="0" numFmtId="4" applyNumberFormat="1" borderId="6" applyBorder="1" fontId="1" applyFont="1" fillId="0" applyAlignment="1">
      <alignment horizontal="center"/>
    </xf>
    <xf xfId="0" numFmtId="0" borderId="7" applyBorder="1" fontId="3" applyFont="1" fillId="0" applyAlignment="1">
      <alignment horizontal="center" vertical="top" wrapText="1"/>
    </xf>
    <xf xfId="0" numFmtId="4" applyNumberFormat="1" borderId="8" applyBorder="1" fontId="3" applyFont="1" fillId="0" applyAlignment="1">
      <alignment horizontal="center" wrapText="1"/>
    </xf>
    <xf xfId="0" numFmtId="0" borderId="8" applyBorder="1" fontId="3" applyFont="1" fillId="0" applyAlignment="1">
      <alignment horizontal="center" wrapText="1"/>
    </xf>
    <xf xfId="0" numFmtId="0" borderId="9" applyBorder="1" fontId="3" applyFont="1" fillId="0" applyAlignment="1">
      <alignment horizontal="center" wrapText="1"/>
    </xf>
    <xf xfId="0" numFmtId="0" borderId="10" applyBorder="1" fontId="3" applyFont="1" fillId="0" applyAlignment="1">
      <alignment horizontal="center" wrapText="1"/>
    </xf>
    <xf xfId="0" numFmtId="4" applyNumberFormat="1" borderId="6" applyBorder="1" fontId="3" applyFont="1" fillId="0" applyAlignment="1">
      <alignment horizontal="center" wrapText="1"/>
    </xf>
    <xf xfId="0" numFmtId="0" borderId="6" applyBorder="1" fontId="3" applyFont="1" fillId="0" applyAlignment="1">
      <alignment horizontal="center" wrapText="1"/>
    </xf>
    <xf xfId="0" numFmtId="0" borderId="11" applyBorder="1" fontId="3" applyFont="1" fillId="0" applyAlignment="1">
      <alignment horizontal="center" wrapText="1"/>
    </xf>
    <xf xfId="0" numFmtId="4" applyNumberFormat="1" borderId="2" applyBorder="1" fontId="3" applyFont="1" fillId="3" applyFill="1" applyAlignment="1">
      <alignment horizontal="center" wrapText="1"/>
    </xf>
    <xf xfId="0" numFmtId="4" applyNumberFormat="1" borderId="2" applyBorder="1" fontId="3" applyFont="1" fillId="5" applyFill="1" applyAlignment="1">
      <alignment horizontal="center" wrapText="1"/>
    </xf>
    <xf xfId="0" numFmtId="4" applyNumberFormat="1" borderId="2" applyBorder="1" fontId="3" applyFont="1" fillId="7" applyFill="1" applyAlignment="1">
      <alignment horizontal="center"/>
    </xf>
    <xf xfId="0" numFmtId="4" applyNumberFormat="1" borderId="2" applyBorder="1" fontId="3" applyFont="1" fillId="9" applyFill="1" applyAlignment="1">
      <alignment horizontal="center" wrapText="1"/>
    </xf>
    <xf xfId="0" numFmtId="4" applyNumberFormat="1" borderId="2" applyBorder="1" fontId="3" applyFont="1" fillId="9" applyFill="1" applyAlignment="1">
      <alignment horizontal="center"/>
    </xf>
    <xf xfId="0" numFmtId="4" applyNumberFormat="1" borderId="2" applyBorder="1" fontId="3" applyFont="1" fillId="13" applyFill="1" applyAlignment="1">
      <alignment horizontal="center" wrapText="1"/>
    </xf>
    <xf xfId="0" numFmtId="0" borderId="2" applyBorder="1" fontId="3" applyFont="1" fillId="14" applyFill="1" applyAlignment="1">
      <alignment horizontal="center"/>
    </xf>
    <xf xfId="0" numFmtId="4" applyNumberFormat="1" borderId="2" applyBorder="1" fontId="3" applyFont="1" fillId="14" applyFill="1" applyAlignment="1">
      <alignment horizontal="center"/>
    </xf>
    <xf xfId="0" numFmtId="4" applyNumberFormat="1" borderId="2" applyBorder="1" fontId="3" applyFont="1" fillId="15" applyFill="1" applyAlignment="1">
      <alignment horizontal="center"/>
    </xf>
    <xf xfId="0" numFmtId="0" borderId="2" applyBorder="1" fontId="3" applyFont="1" fillId="15" applyFill="1" applyAlignment="1">
      <alignment horizontal="center"/>
    </xf>
    <xf xfId="0" numFmtId="4" applyNumberFormat="1" borderId="2" applyBorder="1" fontId="3" applyFont="1" fillId="16" applyFill="1" applyAlignment="1">
      <alignment horizontal="center"/>
    </xf>
    <xf xfId="0" numFmtId="0" borderId="2" applyBorder="1" fontId="3" applyFont="1" fillId="17" applyFill="1" applyAlignment="1">
      <alignment horizontal="center"/>
    </xf>
    <xf xfId="0" numFmtId="0" borderId="2" applyBorder="1" fontId="3" applyFont="1" fillId="18" applyFill="1" applyAlignment="1">
      <alignment horizontal="center"/>
    </xf>
    <xf xfId="0" numFmtId="4" applyNumberFormat="1" borderId="2" applyBorder="1" fontId="3" applyFont="1" fillId="18" applyFill="1" applyAlignment="1">
      <alignment horizontal="center"/>
    </xf>
    <xf xfId="0" numFmtId="4" applyNumberFormat="1" borderId="12" applyBorder="1" fontId="3" applyFont="1" fillId="19" applyFill="1" applyAlignment="1">
      <alignment horizontal="center"/>
    </xf>
    <xf xfId="0" numFmtId="4" applyNumberFormat="1" borderId="13" applyBorder="1" fontId="3" applyFont="1" fillId="0" applyAlignment="1">
      <alignment horizontal="center"/>
    </xf>
    <xf xfId="0" numFmtId="0" borderId="13" applyBorder="1" fontId="3" applyFont="1" fillId="0" applyAlignment="1">
      <alignment horizontal="center"/>
    </xf>
    <xf xfId="0" numFmtId="4" applyNumberFormat="1" borderId="11" applyBorder="1" fontId="3" applyFont="1" fillId="0" applyAlignment="1">
      <alignment horizontal="center"/>
    </xf>
    <xf xfId="0" numFmtId="3" applyNumberFormat="1" borderId="2" applyBorder="1" fontId="5" applyFont="1" fillId="0" applyAlignment="1">
      <alignment horizontal="center"/>
    </xf>
    <xf xfId="0" numFmtId="4" applyNumberFormat="1" borderId="2" applyBorder="1" fontId="9" applyFont="1" fillId="0" applyAlignment="1">
      <alignment horizontal="center"/>
    </xf>
    <xf xfId="0" numFmtId="4" applyNumberFormat="1" borderId="2" applyBorder="1" fontId="7" applyFont="1" fillId="0" applyAlignment="1">
      <alignment horizontal="center"/>
    </xf>
    <xf xfId="0" numFmtId="0" borderId="8" applyBorder="1" fontId="10" applyFont="1" fillId="0" applyAlignment="1">
      <alignment horizontal="center"/>
    </xf>
    <xf xfId="0" numFmtId="4" applyNumberFormat="1" borderId="8" applyBorder="1" fontId="10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7" applyBorder="1" fontId="3" applyFont="1" fillId="0" applyAlignment="1">
      <alignment horizontal="center" vertical="top" wrapText="1"/>
    </xf>
    <xf xfId="0" numFmtId="4" applyNumberFormat="1" borderId="9" applyBorder="1" fontId="3" applyFont="1" fillId="0" applyAlignment="1">
      <alignment horizontal="center" wrapText="1"/>
    </xf>
    <xf xfId="0" numFmtId="4" applyNumberFormat="1" borderId="10" applyBorder="1" fontId="3" applyFont="1" fillId="0" applyAlignment="1">
      <alignment horizontal="center" wrapText="1"/>
    </xf>
    <xf xfId="0" numFmtId="4" applyNumberFormat="1" borderId="11" applyBorder="1" fontId="3" applyFont="1" fillId="0" applyAlignment="1">
      <alignment horizontal="center" wrapText="1"/>
    </xf>
    <xf xfId="0" numFmtId="4" applyNumberFormat="1" borderId="2" applyBorder="1" fontId="3" applyFont="1" fillId="3" applyFill="1" applyAlignment="1">
      <alignment horizontal="center"/>
    </xf>
    <xf xfId="0" numFmtId="4" applyNumberFormat="1" borderId="2" applyBorder="1" fontId="3" applyFont="1" fillId="4" applyFill="1" applyAlignment="1">
      <alignment horizontal="center" wrapText="1"/>
    </xf>
    <xf xfId="0" numFmtId="4" applyNumberFormat="1" borderId="2" applyBorder="1" fontId="3" applyFont="1" fillId="6" applyFill="1" applyAlignment="1">
      <alignment horizontal="center"/>
    </xf>
    <xf xfId="0" numFmtId="4" applyNumberFormat="1" borderId="2" applyBorder="1" fontId="3" applyFont="1" fillId="8" applyFill="1" applyAlignment="1">
      <alignment horizontal="center" wrapText="1"/>
    </xf>
    <xf xfId="0" numFmtId="4" applyNumberFormat="1" borderId="2" applyBorder="1" fontId="3" applyFont="1" fillId="10" applyFill="1" applyAlignment="1">
      <alignment horizontal="center"/>
    </xf>
    <xf xfId="0" numFmtId="4" applyNumberFormat="1" borderId="2" applyBorder="1" fontId="11" applyFont="1" fillId="0" applyAlignment="1">
      <alignment horizontal="center"/>
    </xf>
    <xf xfId="0" numFmtId="0" borderId="2" applyBorder="1" fontId="3" applyFont="1" fillId="16" applyFill="1" applyAlignment="1">
      <alignment horizontal="center"/>
    </xf>
    <xf xfId="0" numFmtId="4" applyNumberFormat="1" borderId="1" applyBorder="1" fontId="4" applyFont="1" fillId="0" applyAlignment="1">
      <alignment horizontal="left"/>
    </xf>
    <xf xfId="0" numFmtId="4" applyNumberFormat="1" borderId="3" applyBorder="1" fontId="3" applyFont="1" fillId="8" applyFill="1" applyAlignment="1">
      <alignment horizontal="center" wrapText="1"/>
    </xf>
    <xf xfId="0" numFmtId="3" applyNumberFormat="1" borderId="13" applyBorder="1" fontId="5" applyFont="1" fillId="0" applyAlignment="1">
      <alignment horizontal="center"/>
    </xf>
    <xf xfId="0" numFmtId="4" applyNumberFormat="1" borderId="1" applyBorder="1" fontId="10" applyFont="1" fillId="0" applyAlignment="1">
      <alignment horizontal="center"/>
    </xf>
    <xf xfId="0" numFmtId="4" applyNumberFormat="1" borderId="14" applyBorder="1" fontId="3" applyFont="1" fillId="0" applyAlignment="1">
      <alignment horizontal="center"/>
    </xf>
    <xf xfId="0" numFmtId="4" applyNumberFormat="1" borderId="10" applyBorder="1" fontId="3" applyFont="1" fillId="0" applyAlignment="1">
      <alignment horizontal="center"/>
    </xf>
    <xf xfId="0" numFmtId="4" applyNumberFormat="1" borderId="4" applyBorder="1" fontId="12" applyFont="1" fillId="0" applyAlignment="1">
      <alignment horizontal="center"/>
    </xf>
    <xf xfId="0" numFmtId="4" applyNumberFormat="1" borderId="15" applyBorder="1" fontId="3" applyFont="1" fillId="0" applyAlignment="1">
      <alignment horizontal="center"/>
    </xf>
    <xf xfId="0" numFmtId="4" applyNumberFormat="1" borderId="2" applyBorder="1" fontId="3" applyFont="1" fillId="21" applyFill="1" applyAlignment="1">
      <alignment horizontal="center"/>
    </xf>
    <xf xfId="0" numFmtId="4" applyNumberFormat="1" borderId="2" applyBorder="1" fontId="5" applyFont="1" fillId="22" applyFill="1" applyAlignment="1">
      <alignment horizontal="center"/>
    </xf>
    <xf xfId="0" numFmtId="0" borderId="14" applyBorder="1" fontId="3" applyFont="1" fillId="0" applyAlignment="1">
      <alignment horizontal="center"/>
    </xf>
    <xf xfId="0" numFmtId="4" applyNumberFormat="1" borderId="12" applyBorder="1" fontId="3" applyFont="1" fillId="21" applyFill="1" applyAlignment="1">
      <alignment horizontal="center"/>
    </xf>
    <xf xfId="0" numFmtId="4" applyNumberFormat="1" borderId="2" applyBorder="1" fontId="3" applyFont="1" fillId="12" applyFill="1" applyAlignment="1">
      <alignment horizontal="center"/>
    </xf>
    <xf xfId="0" numFmtId="4" applyNumberFormat="1" borderId="4" applyBorder="1" fontId="9" applyFont="1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8" applyBorder="1" fontId="3" applyFont="1" fillId="0" applyAlignment="1">
      <alignment horizontal="center"/>
    </xf>
    <xf xfId="0" numFmtId="0" borderId="1" applyBorder="1" fontId="13" applyFont="1" fillId="0" applyAlignment="1">
      <alignment horizontal="left"/>
    </xf>
    <xf xfId="0" numFmtId="4" applyNumberFormat="1" borderId="1" applyBorder="1" fontId="4" applyFont="1" fillId="0" applyAlignment="1">
      <alignment horizontal="center"/>
    </xf>
    <xf xfId="0" numFmtId="4" applyNumberFormat="1" borderId="5" applyBorder="1" fontId="7" applyFont="1" fillId="21" applyFill="1" applyAlignment="1">
      <alignment horizontal="center"/>
    </xf>
    <xf xfId="0" numFmtId="4" applyNumberFormat="1" borderId="1" applyBorder="1" fontId="9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4" applyNumberFormat="1" borderId="5" applyBorder="1" fontId="3" applyFont="1" fillId="19" applyFill="1" applyAlignment="1">
      <alignment horizontal="center"/>
    </xf>
    <xf xfId="0" numFmtId="0" borderId="0" fontId="0" fillId="0" applyAlignment="1">
      <alignment wrapText="1"/>
    </xf>
    <xf xfId="0" numFmtId="0" borderId="1" applyBorder="1" fontId="13" applyFont="1" fillId="0" applyAlignment="1">
      <alignment horizontal="center" wrapText="1"/>
    </xf>
    <xf xfId="0" numFmtId="4" applyNumberFormat="1" borderId="1" applyBorder="1" fontId="13" applyFont="1" fillId="0" applyAlignment="1">
      <alignment horizontal="center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1" applyBorder="1" fontId="3" applyFont="1" fillId="0" applyAlignment="1">
      <alignment horizontal="center" wrapText="1"/>
    </xf>
    <xf xfId="0" numFmtId="4" applyNumberFormat="1" borderId="5" applyBorder="1" fontId="3" applyFont="1" fillId="21" applyFill="1" applyAlignment="1">
      <alignment horizontal="center"/>
    </xf>
    <xf xfId="0" numFmtId="4" applyNumberFormat="1" borderId="3" applyBorder="1" fontId="3" applyFont="1" fillId="6" applyFill="1" applyAlignment="1">
      <alignment horizontal="center"/>
    </xf>
    <xf xfId="0" numFmtId="3" applyNumberFormat="1" borderId="14" applyBorder="1" fontId="5" applyFont="1" fillId="0" applyAlignment="1">
      <alignment horizontal="center"/>
    </xf>
    <xf xfId="0" numFmtId="4" applyNumberFormat="1" borderId="0" fontId="0" fillId="0" applyAlignment="1">
      <alignment horizontal="center" wrapText="1"/>
    </xf>
    <xf xfId="0" numFmtId="4" applyNumberFormat="1" borderId="1" applyBorder="1" fontId="12" applyFont="1" fillId="0" applyAlignment="1">
      <alignment horizontal="center"/>
    </xf>
    <xf xfId="0" numFmtId="4" applyNumberFormat="1" borderId="1" applyBorder="1" fontId="7" applyFont="1" fillId="0" applyAlignment="1">
      <alignment horizontal="center"/>
    </xf>
    <xf xfId="0" numFmtId="4" applyNumberFormat="1" borderId="1" applyBorder="1" fontId="13" applyFont="1" fillId="0" applyAlignment="1">
      <alignment horizontal="center"/>
    </xf>
    <xf xfId="0" numFmtId="4" applyNumberFormat="1" borderId="3" applyBorder="1" fontId="3" applyFont="1" fillId="9" applyFill="1" applyAlignment="1">
      <alignment horizontal="center"/>
    </xf>
    <xf xfId="0" numFmtId="4" applyNumberFormat="1" borderId="3" applyBorder="1" fontId="3" applyFont="1" fillId="10" applyFill="1" applyAlignment="1">
      <alignment horizontal="center"/>
    </xf>
    <xf xfId="0" numFmtId="4" applyNumberFormat="1" borderId="3" applyBorder="1" fontId="3" applyFont="1" fillId="16" applyFill="1" applyAlignment="1">
      <alignment horizontal="center"/>
    </xf>
    <xf xfId="0" numFmtId="0" borderId="2" applyBorder="1" fontId="3" applyFont="1" fillId="22" applyFill="1" applyAlignment="1">
      <alignment horizontal="center"/>
    </xf>
    <xf xfId="0" numFmtId="0" borderId="2" applyBorder="1" fontId="5" applyFont="1" fillId="22" applyFill="1" applyAlignment="1">
      <alignment horizontal="center"/>
    </xf>
    <xf xfId="0" numFmtId="4" applyNumberFormat="1" borderId="2" applyBorder="1" fontId="3" applyFont="1" fillId="22" applyFill="1" applyAlignment="1">
      <alignment horizontal="center"/>
    </xf>
    <xf xfId="0" numFmtId="0" borderId="0" fontId="0" fillId="0" applyAlignment="1">
      <alignment horizontal="center" wrapText="1"/>
    </xf>
    <xf xfId="0" numFmtId="0" borderId="5" applyBorder="1" fontId="3" applyFont="1" fillId="21" applyFill="1" applyAlignment="1">
      <alignment horizontal="center"/>
    </xf>
    <xf xfId="0" numFmtId="4" applyNumberFormat="1" borderId="7" applyBorder="1" fontId="7" applyFont="1" fillId="0" applyAlignment="1">
      <alignment horizontal="center" vertical="top" wrapText="1"/>
    </xf>
    <xf xfId="0" numFmtId="4" applyNumberFormat="1" borderId="8" applyBorder="1" fontId="7" applyFont="1" fillId="0" applyAlignment="1">
      <alignment horizontal="center" wrapText="1"/>
    </xf>
    <xf xfId="0" numFmtId="4" applyNumberFormat="1" borderId="9" applyBorder="1" fontId="7" applyFont="1" fillId="0" applyAlignment="1">
      <alignment horizontal="center" wrapText="1"/>
    </xf>
    <xf xfId="0" numFmtId="4" applyNumberFormat="1" borderId="10" applyBorder="1" fontId="7" applyFont="1" fillId="0" applyAlignment="1">
      <alignment horizontal="center" wrapText="1"/>
    </xf>
    <xf xfId="0" numFmtId="4" applyNumberFormat="1" borderId="6" applyBorder="1" fontId="7" applyFont="1" fillId="0" applyAlignment="1">
      <alignment horizontal="center" wrapText="1"/>
    </xf>
    <xf xfId="0" numFmtId="4" applyNumberFormat="1" borderId="11" applyBorder="1" fontId="7" applyFont="1" fillId="0" applyAlignment="1">
      <alignment horizontal="center" wrapText="1"/>
    </xf>
    <xf xfId="0" numFmtId="4" applyNumberFormat="1" borderId="4" applyBorder="1" fontId="7" applyFont="1" fillId="0" applyAlignment="1">
      <alignment horizontal="center"/>
    </xf>
    <xf xfId="0" numFmtId="4" applyNumberFormat="1" borderId="1" applyBorder="1" fontId="3" applyFont="1" fillId="0" applyAlignment="1">
      <alignment horizontal="center" wrapText="1"/>
    </xf>
    <xf xfId="0" numFmtId="4" applyNumberFormat="1" borderId="16" applyBorder="1" fontId="3" applyFont="1" fillId="7" applyFill="1" applyAlignment="1">
      <alignment horizontal="center"/>
    </xf>
    <xf xfId="0" numFmtId="4" applyNumberFormat="1" borderId="3" applyBorder="1" fontId="3" applyFont="1" fillId="11" applyFill="1" applyAlignment="1">
      <alignment horizontal="center"/>
    </xf>
    <xf xfId="0" numFmtId="4" applyNumberFormat="1" borderId="8" applyBorder="1" fontId="10" applyFont="1" fillId="0" applyAlignment="1">
      <alignment horizontal="left"/>
    </xf>
    <xf xfId="0" numFmtId="4" applyNumberFormat="1" borderId="8" applyBorder="1" fontId="3" applyFont="1" fillId="0" applyAlignment="1">
      <alignment horizontal="left"/>
    </xf>
    <xf xfId="0" numFmtId="0" borderId="1" applyBorder="1" fontId="7" applyFont="1" fillId="0" applyAlignment="1">
      <alignment horizontal="center" wrapText="1"/>
    </xf>
    <xf xfId="0" numFmtId="4" applyNumberFormat="1" borderId="5" applyBorder="1" fontId="3" applyFont="1" fillId="23" applyFill="1" applyAlignment="1">
      <alignment horizontal="center"/>
    </xf>
    <xf xfId="0" numFmtId="0" borderId="5" applyBorder="1" fontId="3" applyFont="1" fillId="23" applyFill="1" applyAlignment="1">
      <alignment horizontal="center"/>
    </xf>
    <xf xfId="0" numFmtId="0" borderId="1" applyBorder="1" fontId="3" applyFont="1" fillId="0" quotePrefix="1" applyAlignment="1">
      <alignment horizontal="center"/>
    </xf>
    <xf xfId="0" numFmtId="3" applyNumberFormat="1" borderId="4" applyBorder="1" fontId="5" applyFont="1" fillId="0" applyAlignment="1">
      <alignment horizontal="center"/>
    </xf>
    <xf xfId="0" numFmtId="0" borderId="12" applyBorder="1" fontId="3" applyFont="1" fillId="22" applyFill="1" applyAlignment="1">
      <alignment horizontal="center"/>
    </xf>
    <xf xfId="0" numFmtId="4" applyNumberFormat="1" borderId="1" applyBorder="1" fontId="10" applyFont="1" fillId="0" applyAlignment="1">
      <alignment horizontal="left"/>
    </xf>
    <xf xfId="0" numFmtId="4" applyNumberFormat="1" borderId="2" applyBorder="1" fontId="3" applyFont="1" fillId="11" applyFill="1" applyAlignment="1">
      <alignment horizontal="center"/>
    </xf>
    <xf xfId="0" numFmtId="4" applyNumberFormat="1" borderId="2" applyBorder="1" fontId="3" applyFont="1" fillId="17" applyFill="1" applyAlignment="1">
      <alignment horizontal="center"/>
    </xf>
    <xf xfId="0" numFmtId="4" applyNumberFormat="1" borderId="3" applyBorder="1" fontId="3" applyFont="1" fillId="13" applyFill="1" applyAlignment="1">
      <alignment horizontal="center" wrapText="1"/>
    </xf>
    <xf xfId="0" numFmtId="4" applyNumberFormat="1" borderId="3" applyBorder="1" fontId="3" applyFont="1" fillId="15" applyFill="1" applyAlignment="1">
      <alignment horizontal="center"/>
    </xf>
    <xf xfId="0" numFmtId="4" applyNumberFormat="1" borderId="3" applyBorder="1" fontId="3" applyFont="1" fillId="17" applyFill="1" applyAlignment="1">
      <alignment horizontal="center"/>
    </xf>
    <xf xfId="0" numFmtId="0" borderId="2" applyBorder="1" fontId="7" applyFont="1" fillId="0" applyAlignment="1">
      <alignment horizontal="center"/>
    </xf>
    <xf xfId="0" numFmtId="4" applyNumberFormat="1" borderId="2" applyBorder="1" fontId="14" applyFont="1" fillId="0" applyAlignment="1">
      <alignment horizontal="center"/>
    </xf>
    <xf xfId="0" numFmtId="0" borderId="1" applyBorder="1" fontId="3" applyFont="1" fillId="0" applyAlignment="1">
      <alignment horizontal="center" vertical="top" wrapText="1"/>
    </xf>
    <xf xfId="0" numFmtId="0" borderId="1" applyBorder="1" fontId="3" applyFont="1" fillId="0" applyAlignment="1">
      <alignment horizontal="left" vertical="top"/>
    </xf>
    <xf xfId="0" numFmtId="4" applyNumberFormat="1" borderId="4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vertical="top"/>
    </xf>
    <xf xfId="0" numFmtId="4" applyNumberFormat="1" borderId="14" applyBorder="1" fontId="7" applyFont="1" fillId="0" applyAlignment="1">
      <alignment horizontal="center"/>
    </xf>
    <xf xfId="0" numFmtId="0" borderId="1" applyBorder="1" fontId="11" applyFont="1" fillId="0" applyAlignment="1">
      <alignment horizontal="center" vertical="top"/>
    </xf>
    <xf xfId="0" numFmtId="0" borderId="1" applyBorder="1" fontId="11" applyFont="1" fillId="0" applyAlignment="1">
      <alignment horizontal="center"/>
    </xf>
    <xf xfId="0" numFmtId="0" borderId="1" applyBorder="1" fontId="7" applyFont="1" fillId="0" applyAlignment="1">
      <alignment horizontal="left" vertical="top"/>
    </xf>
    <xf xfId="0" numFmtId="4" applyNumberFormat="1" borderId="1" applyBorder="1" fontId="7" applyFont="1" fillId="0" applyAlignment="1">
      <alignment horizontal="left"/>
    </xf>
    <xf xfId="0" numFmtId="0" borderId="1" applyBorder="1" fontId="15" applyFont="1" fillId="0" applyAlignment="1">
      <alignment horizontal="center"/>
    </xf>
    <xf xfId="0" numFmtId="4" applyNumberFormat="1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4" applyNumberFormat="1" borderId="16" applyBorder="1" fontId="3" applyFont="1" fillId="21" applyFill="1" applyAlignment="1">
      <alignment horizontal="center"/>
    </xf>
    <xf xfId="0" numFmtId="4" applyNumberFormat="1" borderId="12" applyBorder="1" fontId="3" applyFont="1" fillId="22" applyFill="1" applyAlignment="1">
      <alignment horizontal="center"/>
    </xf>
    <xf xfId="0" numFmtId="4" applyNumberFormat="1" borderId="17" applyBorder="1" fontId="3" applyFont="1" fillId="21" applyFill="1" applyAlignment="1">
      <alignment horizontal="center"/>
    </xf>
    <xf xfId="0" numFmtId="4" applyNumberFormat="1" borderId="16" applyBorder="1" fontId="5" applyFont="1" fillId="22" applyFill="1" applyAlignment="1">
      <alignment horizontal="center"/>
    </xf>
    <xf xfId="0" numFmtId="3" applyNumberFormat="1" borderId="12" applyBorder="1" fontId="3" applyFont="1" fillId="21" applyFill="1" applyAlignment="1">
      <alignment horizontal="center"/>
    </xf>
    <xf xfId="0" numFmtId="3" applyNumberFormat="1" borderId="17" applyBorder="1" fontId="3" applyFont="1" fillId="21" applyFill="1" applyAlignment="1">
      <alignment horizontal="center"/>
    </xf>
    <xf xfId="0" numFmtId="3" applyNumberFormat="1" borderId="2" applyBorder="1" fontId="3" applyFont="1" fillId="21" applyFill="1" applyAlignment="1">
      <alignment horizontal="center"/>
    </xf>
    <xf xfId="0" numFmtId="4" applyNumberFormat="1" borderId="3" applyBorder="1" fontId="3" applyFont="1" fillId="12" applyFill="1" applyAlignment="1">
      <alignment horizontal="center"/>
    </xf>
    <xf xfId="0" numFmtId="4" applyNumberFormat="1" borderId="8" applyBorder="1" fontId="10" applyFont="1" fillId="0" applyAlignment="1">
      <alignment horizontal="center" wrapText="1"/>
    </xf>
    <xf xfId="0" numFmtId="0" borderId="10" applyBorder="1" fontId="3" applyFont="1" fillId="0" applyAlignment="1">
      <alignment horizontal="center"/>
    </xf>
    <xf xfId="0" numFmtId="0" borderId="11" applyBorder="1" fontId="3" applyFont="1" fillId="0" applyAlignment="1">
      <alignment horizontal="center"/>
    </xf>
    <xf xfId="0" numFmtId="0" borderId="13" applyBorder="1" fontId="5" applyFont="1" fillId="0" applyAlignment="1">
      <alignment horizontal="center"/>
    </xf>
    <xf xfId="0" numFmtId="0" borderId="18" applyBorder="1" fontId="3" applyFont="1" fillId="22" applyFill="1" applyAlignment="1">
      <alignment horizontal="center"/>
    </xf>
    <xf xfId="0" numFmtId="0" borderId="19" applyBorder="1" fontId="3" applyFont="1" fillId="22" applyFill="1" applyAlignment="1">
      <alignment horizontal="center"/>
    </xf>
    <xf xfId="0" numFmtId="0" borderId="18" applyBorder="1" fontId="5" applyFont="1" fillId="22" applyFill="1" applyAlignment="1">
      <alignment horizontal="center"/>
    </xf>
    <xf xfId="0" numFmtId="4" applyNumberFormat="1" borderId="18" applyBorder="1" fontId="3" applyFont="1" fillId="22" applyFill="1" applyAlignment="1">
      <alignment horizontal="center"/>
    </xf>
    <xf xfId="0" numFmtId="4" applyNumberFormat="1" borderId="2" applyBorder="1" fontId="3" applyFont="1" fillId="19" applyFill="1" applyAlignment="1">
      <alignment horizontal="center"/>
    </xf>
    <xf xfId="0" numFmtId="3" applyNumberFormat="1" borderId="2" applyBorder="1" fontId="5" applyFont="1" fillId="19" applyFill="1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4" applyNumberFormat="1" borderId="5" applyBorder="1" fontId="7" applyFont="1" fillId="19" applyFill="1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4" applyNumberFormat="1" borderId="13" applyBorder="1" fontId="3" applyFont="1" fillId="0" applyAlignment="1">
      <alignment horizontal="center" wrapText="1"/>
    </xf>
    <xf xfId="0" numFmtId="4" applyNumberFormat="1" borderId="20" applyBorder="1" fontId="3" applyFont="1" fillId="0" applyAlignment="1">
      <alignment horizontal="center"/>
    </xf>
    <xf xfId="0" numFmtId="4" applyNumberFormat="1" borderId="21" applyBorder="1" fontId="3" applyFont="1" fillId="0" applyAlignment="1">
      <alignment horizontal="center"/>
    </xf>
    <xf xfId="0" numFmtId="4" applyNumberFormat="1" borderId="18" applyBorder="1" fontId="3" applyFont="1" fillId="21" applyFill="1" applyAlignment="1">
      <alignment horizontal="center"/>
    </xf>
    <xf xfId="0" numFmtId="4" applyNumberFormat="1" borderId="2" applyBorder="1" fontId="5" applyFont="1" fillId="21" applyFill="1" applyAlignment="1">
      <alignment horizontal="center"/>
    </xf>
    <xf xfId="0" numFmtId="4" applyNumberFormat="1" borderId="18" applyBorder="1" fontId="5" applyFont="1" fillId="21" applyFill="1" applyAlignment="1">
      <alignment horizontal="center"/>
    </xf>
    <xf xfId="0" numFmtId="0" borderId="1" applyBorder="1" fontId="3" applyFont="1" fillId="0" applyAlignment="1">
      <alignment horizontal="left" vertical="top" wrapText="1"/>
    </xf>
    <xf xfId="0" numFmtId="0" borderId="18" applyBorder="1" fontId="3" applyFont="1" fillId="21" applyFill="1" applyAlignment="1">
      <alignment horizontal="center"/>
    </xf>
    <xf xfId="0" numFmtId="0" borderId="19" applyBorder="1" fontId="3" applyFont="1" fillId="21" applyFill="1" applyAlignment="1">
      <alignment horizontal="center"/>
    </xf>
    <xf xfId="0" numFmtId="0" borderId="14" applyBorder="1" fontId="5" applyFont="1" fillId="0" applyAlignment="1">
      <alignment horizontal="center"/>
    </xf>
    <xf xfId="0" numFmtId="0" borderId="2" applyBorder="1" fontId="3" applyFont="1" fillId="21" applyFill="1" applyAlignment="1">
      <alignment horizontal="center"/>
    </xf>
    <xf xfId="0" numFmtId="0" borderId="12" applyBorder="1" fontId="3" applyFont="1" fillId="21" applyFill="1" applyAlignment="1">
      <alignment horizontal="center"/>
    </xf>
    <xf xfId="0" numFmtId="4" applyNumberFormat="1" borderId="2" applyBorder="1" fontId="12" applyFont="1" fillId="0" applyAlignment="1">
      <alignment horizontal="center"/>
    </xf>
    <xf xfId="0" numFmtId="0" borderId="1" applyBorder="1" fontId="10" applyFont="1" fillId="0" applyAlignment="1">
      <alignment horizontal="center"/>
    </xf>
    <xf xfId="0" numFmtId="0" borderId="12" applyBorder="1" fontId="3" applyFont="1" fillId="19" applyFill="1" applyAlignment="1">
      <alignment horizontal="center"/>
    </xf>
    <xf xfId="0" numFmtId="0" borderId="4" applyBorder="1" fontId="5" applyFont="1" fillId="0" applyAlignment="1">
      <alignment horizontal="center"/>
    </xf>
    <xf xfId="0" numFmtId="0" borderId="1" applyBorder="1" fontId="16" applyFont="1" fillId="0" applyAlignment="1">
      <alignment horizontal="center"/>
    </xf>
    <xf xfId="0" numFmtId="0" borderId="1" applyBorder="1" fontId="17" applyFont="1" fillId="0" applyAlignment="1">
      <alignment horizontal="center"/>
    </xf>
    <xf xfId="0" numFmtId="0" borderId="1" applyBorder="1" fontId="9" applyFont="1" fillId="0" applyAlignment="1">
      <alignment horizontal="center"/>
    </xf>
    <xf xfId="0" numFmtId="0" borderId="2" applyBorder="1" fontId="12" applyFont="1" fillId="2" applyFill="1" applyAlignment="1">
      <alignment horizontal="center" wrapText="1"/>
    </xf>
    <xf xfId="0" numFmtId="0" borderId="2" applyBorder="1" fontId="3" applyFont="1" fillId="2" applyFill="1" applyAlignment="1">
      <alignment horizontal="center" wrapText="1"/>
    </xf>
    <xf xfId="0" numFmtId="0" borderId="22" applyBorder="1" fontId="12" applyFont="1" fillId="3" applyFill="1" applyAlignment="1">
      <alignment horizontal="center"/>
    </xf>
    <xf xfId="0" numFmtId="0" borderId="23" applyBorder="1" fontId="3" applyFont="1" fillId="3" applyFill="1" applyAlignment="1">
      <alignment horizontal="center"/>
    </xf>
    <xf xfId="0" numFmtId="0" borderId="24" applyBorder="1" fontId="12" applyFont="1" fillId="3" applyFill="1" applyAlignment="1">
      <alignment horizontal="center"/>
    </xf>
    <xf xfId="0" numFmtId="0" borderId="25" applyBorder="1" fontId="3" applyFont="1" fillId="3" applyFill="1" applyAlignment="1">
      <alignment horizontal="center"/>
    </xf>
    <xf xfId="0" numFmtId="0" borderId="26" applyBorder="1" fontId="12" applyFont="1" fillId="3" applyFill="1" applyAlignment="1">
      <alignment horizontal="center"/>
    </xf>
    <xf xfId="0" numFmtId="0" borderId="27" applyBorder="1" fontId="3" applyFont="1" fillId="3" applyFill="1" applyAlignment="1">
      <alignment horizontal="center"/>
    </xf>
    <xf xfId="0" numFmtId="0" borderId="26" applyBorder="1" fontId="12" applyFont="1" fillId="4" applyFill="1" applyAlignment="1">
      <alignment horizontal="center"/>
    </xf>
    <xf xfId="0" numFmtId="0" borderId="27" applyBorder="1" fontId="3" applyFont="1" fillId="4" applyFill="1" applyAlignment="1">
      <alignment horizontal="center"/>
    </xf>
    <xf xfId="0" numFmtId="0" borderId="26" applyBorder="1" fontId="12" applyFont="1" fillId="5" applyFill="1" applyAlignment="1">
      <alignment horizontal="center" wrapText="1"/>
    </xf>
    <xf xfId="0" numFmtId="0" borderId="27" applyBorder="1" fontId="3" applyFont="1" fillId="5" applyFill="1" applyAlignment="1">
      <alignment horizontal="center" wrapText="1"/>
    </xf>
    <xf xfId="0" numFmtId="0" borderId="26" applyBorder="1" fontId="12" applyFont="1" fillId="6" applyFill="1" applyAlignment="1">
      <alignment horizontal="center"/>
    </xf>
    <xf xfId="0" numFmtId="0" borderId="27" applyBorder="1" fontId="3" applyFont="1" fillId="6" applyFill="1" applyAlignment="1">
      <alignment horizontal="center"/>
    </xf>
    <xf xfId="0" numFmtId="0" borderId="26" applyBorder="1" fontId="12" applyFont="1" fillId="7" applyFill="1" applyAlignment="1">
      <alignment horizontal="center"/>
    </xf>
    <xf xfId="0" numFmtId="0" borderId="27" applyBorder="1" fontId="3" applyFont="1" fillId="7" applyFill="1" applyAlignment="1">
      <alignment horizontal="center"/>
    </xf>
    <xf xfId="0" numFmtId="0" borderId="26" applyBorder="1" fontId="12" applyFont="1" fillId="8" applyFill="1" applyAlignment="1">
      <alignment horizontal="center" wrapText="1"/>
    </xf>
    <xf xfId="0" numFmtId="0" borderId="27" applyBorder="1" fontId="3" applyFont="1" fillId="8" applyFill="1" applyAlignment="1">
      <alignment horizontal="center" wrapText="1"/>
    </xf>
    <xf xfId="0" numFmtId="0" borderId="26" applyBorder="1" fontId="12" applyFont="1" fillId="9" applyFill="1" applyAlignment="1">
      <alignment horizontal="center"/>
    </xf>
    <xf xfId="0" numFmtId="0" borderId="27" applyBorder="1" fontId="3" applyFont="1" fillId="9" applyFill="1" applyAlignment="1">
      <alignment horizontal="center"/>
    </xf>
    <xf xfId="0" numFmtId="0" borderId="26" applyBorder="1" fontId="12" applyFont="1" fillId="10" applyFill="1" applyAlignment="1">
      <alignment horizontal="center"/>
    </xf>
    <xf xfId="0" numFmtId="0" borderId="27" applyBorder="1" fontId="3" applyFont="1" fillId="10" applyFill="1" applyAlignment="1">
      <alignment horizontal="center"/>
    </xf>
    <xf xfId="0" numFmtId="0" borderId="26" applyBorder="1" fontId="12" applyFont="1" fillId="11" applyFill="1" applyAlignment="1">
      <alignment horizontal="center"/>
    </xf>
    <xf xfId="0" numFmtId="0" borderId="27" applyBorder="1" fontId="3" applyFont="1" fillId="11" applyFill="1" applyAlignment="1">
      <alignment horizontal="center"/>
    </xf>
    <xf xfId="0" numFmtId="0" borderId="26" applyBorder="1" fontId="12" applyFont="1" fillId="12" applyFill="1" applyAlignment="1">
      <alignment horizontal="center"/>
    </xf>
    <xf xfId="0" numFmtId="0" borderId="27" applyBorder="1" fontId="3" applyFont="1" fillId="12" applyFill="1" applyAlignment="1">
      <alignment horizontal="center"/>
    </xf>
    <xf xfId="0" numFmtId="0" borderId="26" applyBorder="1" fontId="12" applyFont="1" fillId="13" applyFill="1" applyAlignment="1">
      <alignment horizontal="center"/>
    </xf>
    <xf xfId="0" numFmtId="0" borderId="27" applyBorder="1" fontId="3" applyFont="1" fillId="13" applyFill="1" applyAlignment="1">
      <alignment horizontal="center"/>
    </xf>
    <xf xfId="0" numFmtId="0" borderId="26" applyBorder="1" fontId="12" applyFont="1" fillId="14" applyFill="1" applyAlignment="1">
      <alignment horizontal="center"/>
    </xf>
    <xf xfId="0" numFmtId="0" borderId="27" applyBorder="1" fontId="3" applyFont="1" fillId="14" applyFill="1" applyAlignment="1">
      <alignment horizontal="center"/>
    </xf>
    <xf xfId="0" numFmtId="0" borderId="26" applyBorder="1" fontId="12" applyFont="1" fillId="15" applyFill="1" applyAlignment="1">
      <alignment horizontal="center"/>
    </xf>
    <xf xfId="0" numFmtId="0" borderId="27" applyBorder="1" fontId="3" applyFont="1" fillId="15" applyFill="1" applyAlignment="1">
      <alignment horizontal="center"/>
    </xf>
    <xf xfId="0" numFmtId="0" borderId="26" applyBorder="1" fontId="12" applyFont="1" fillId="16" applyFill="1" applyAlignment="1">
      <alignment horizontal="center"/>
    </xf>
    <xf xfId="0" numFmtId="0" borderId="27" applyBorder="1" fontId="3" applyFont="1" fillId="16" applyFill="1" applyAlignment="1">
      <alignment horizontal="center"/>
    </xf>
    <xf xfId="0" numFmtId="0" borderId="26" applyBorder="1" fontId="12" applyFont="1" fillId="17" applyFill="1" applyAlignment="1">
      <alignment horizontal="center"/>
    </xf>
    <xf xfId="0" numFmtId="0" borderId="27" applyBorder="1" fontId="3" applyFont="1" fillId="17" applyFill="1" applyAlignment="1">
      <alignment horizontal="center"/>
    </xf>
    <xf xfId="0" numFmtId="0" borderId="26" applyBorder="1" fontId="12" applyFont="1" fillId="18" applyFill="1" applyAlignment="1">
      <alignment horizontal="center"/>
    </xf>
    <xf xfId="0" numFmtId="0" borderId="27" applyBorder="1" fontId="3" applyFont="1" fillId="18" applyFill="1" applyAlignment="1">
      <alignment horizontal="center"/>
    </xf>
    <xf xfId="0" numFmtId="0" borderId="28" applyBorder="1" fontId="12" applyFont="1" fillId="18" applyFill="1" applyAlignment="1">
      <alignment horizontal="center"/>
    </xf>
    <xf xfId="0" numFmtId="0" borderId="29" applyBorder="1" fontId="3" applyFont="1" fillId="18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worksheets/sheet45.xml" Type="http://schemas.openxmlformats.org/officeDocument/2006/relationships/worksheet" Id="rId45"/><Relationship Target="worksheets/sheet46.xml" Type="http://schemas.openxmlformats.org/officeDocument/2006/relationships/worksheet" Id="rId46"/><Relationship Target="worksheets/sheet47.xml" Type="http://schemas.openxmlformats.org/officeDocument/2006/relationships/worksheet" Id="rId47"/><Relationship Target="worksheets/sheet48.xml" Type="http://schemas.openxmlformats.org/officeDocument/2006/relationships/worksheet" Id="rId48"/><Relationship Target="worksheets/sheet49.xml" Type="http://schemas.openxmlformats.org/officeDocument/2006/relationships/worksheet" Id="rId49"/><Relationship Target="worksheets/sheet50.xml" Type="http://schemas.openxmlformats.org/officeDocument/2006/relationships/worksheet" Id="rId50"/><Relationship Target="worksheets/sheet51.xml" Type="http://schemas.openxmlformats.org/officeDocument/2006/relationships/worksheet" Id="rId51"/><Relationship Target="worksheets/sheet52.xml" Type="http://schemas.openxmlformats.org/officeDocument/2006/relationships/worksheet" Id="rId52"/><Relationship Target="worksheets/sheet53.xml" Type="http://schemas.openxmlformats.org/officeDocument/2006/relationships/worksheet" Id="rId53"/><Relationship Target="worksheets/sheet54.xml" Type="http://schemas.openxmlformats.org/officeDocument/2006/relationships/worksheet" Id="rId54"/><Relationship Target="worksheets/sheet55.xml" Type="http://schemas.openxmlformats.org/officeDocument/2006/relationships/worksheet" Id="rId55"/><Relationship Target="worksheets/sheet56.xml" Type="http://schemas.openxmlformats.org/officeDocument/2006/relationships/worksheet" Id="rId56"/><Relationship Target="worksheets/sheet57.xml" Type="http://schemas.openxmlformats.org/officeDocument/2006/relationships/worksheet" Id="rId57"/><Relationship Target="worksheets/sheet58.xml" Type="http://schemas.openxmlformats.org/officeDocument/2006/relationships/worksheet" Id="rId58"/><Relationship Target="worksheets/sheet59.xml" Type="http://schemas.openxmlformats.org/officeDocument/2006/relationships/worksheet" Id="rId59"/><Relationship Target="worksheets/sheet60.xml" Type="http://schemas.openxmlformats.org/officeDocument/2006/relationships/worksheet" Id="rId60"/><Relationship Target="worksheets/sheet61.xml" Type="http://schemas.openxmlformats.org/officeDocument/2006/relationships/worksheet" Id="rId61"/><Relationship Target="worksheets/sheet62.xml" Type="http://schemas.openxmlformats.org/officeDocument/2006/relationships/worksheet" Id="rId62"/><Relationship Target="worksheets/sheet63.xml" Type="http://schemas.openxmlformats.org/officeDocument/2006/relationships/worksheet" Id="rId63"/><Relationship Target="worksheets/sheet64.xml" Type="http://schemas.openxmlformats.org/officeDocument/2006/relationships/worksheet" Id="rId64"/><Relationship Target="worksheets/sheet65.xml" Type="http://schemas.openxmlformats.org/officeDocument/2006/relationships/worksheet" Id="rId65"/><Relationship Target="worksheets/sheet66.xml" Type="http://schemas.openxmlformats.org/officeDocument/2006/relationships/worksheet" Id="rId66"/><Relationship Target="worksheets/sheet67.xml" Type="http://schemas.openxmlformats.org/officeDocument/2006/relationships/worksheet" Id="rId67"/><Relationship Target="worksheets/sheet68.xml" Type="http://schemas.openxmlformats.org/officeDocument/2006/relationships/worksheet" Id="rId68"/><Relationship Target="worksheets/sheet69.xml" Type="http://schemas.openxmlformats.org/officeDocument/2006/relationships/worksheet" Id="rId69"/><Relationship Target="worksheets/sheet70.xml" Type="http://schemas.openxmlformats.org/officeDocument/2006/relationships/worksheet" Id="rId70"/><Relationship Target="worksheets/sheet71.xml" Type="http://schemas.openxmlformats.org/officeDocument/2006/relationships/worksheet" Id="rId71"/><Relationship Target="worksheets/sheet72.xml" Type="http://schemas.openxmlformats.org/officeDocument/2006/relationships/worksheet" Id="rId72"/><Relationship Target="worksheets/sheet73.xml" Type="http://schemas.openxmlformats.org/officeDocument/2006/relationships/worksheet" Id="rId73"/><Relationship Target="worksheets/sheet74.xml" Type="http://schemas.openxmlformats.org/officeDocument/2006/relationships/worksheet" Id="rId74"/><Relationship Target="worksheets/sheet75.xml" Type="http://schemas.openxmlformats.org/officeDocument/2006/relationships/worksheet" Id="rId75"/><Relationship Target="worksheets/sheet76.xml" Type="http://schemas.openxmlformats.org/officeDocument/2006/relationships/worksheet" Id="rId76"/><Relationship Target="worksheets/sheet77.xml" Type="http://schemas.openxmlformats.org/officeDocument/2006/relationships/worksheet" Id="rId77"/><Relationship Target="worksheets/sheet78.xml" Type="http://schemas.openxmlformats.org/officeDocument/2006/relationships/worksheet" Id="rId78"/><Relationship Target="worksheets/sheet79.xml" Type="http://schemas.openxmlformats.org/officeDocument/2006/relationships/worksheet" Id="rId79"/><Relationship Target="worksheets/sheet80.xml" Type="http://schemas.openxmlformats.org/officeDocument/2006/relationships/worksheet" Id="rId80"/><Relationship Target="worksheets/sheet81.xml" Type="http://schemas.openxmlformats.org/officeDocument/2006/relationships/worksheet" Id="rId81"/><Relationship Target="worksheets/sheet82.xml" Type="http://schemas.openxmlformats.org/officeDocument/2006/relationships/worksheet" Id="rId82"/><Relationship Target="worksheets/sheet83.xml" Type="http://schemas.openxmlformats.org/officeDocument/2006/relationships/worksheet" Id="rId83"/><Relationship Target="worksheets/sheet84.xml" Type="http://schemas.openxmlformats.org/officeDocument/2006/relationships/worksheet" Id="rId84"/><Relationship Target="worksheets/sheet85.xml" Type="http://schemas.openxmlformats.org/officeDocument/2006/relationships/worksheet" Id="rId85"/><Relationship Target="worksheets/sheet86.xml" Type="http://schemas.openxmlformats.org/officeDocument/2006/relationships/worksheet" Id="rId86"/><Relationship Target="worksheets/sheet87.xml" Type="http://schemas.openxmlformats.org/officeDocument/2006/relationships/worksheet" Id="rId87"/><Relationship Target="worksheets/sheet88.xml" Type="http://schemas.openxmlformats.org/officeDocument/2006/relationships/worksheet" Id="rId88"/><Relationship Target="worksheets/sheet89.xml" Type="http://schemas.openxmlformats.org/officeDocument/2006/relationships/worksheet" Id="rId89"/><Relationship Target="worksheets/sheet90.xml" Type="http://schemas.openxmlformats.org/officeDocument/2006/relationships/worksheet" Id="rId90"/><Relationship Target="worksheets/sheet91.xml" Type="http://schemas.openxmlformats.org/officeDocument/2006/relationships/worksheet" Id="rId91"/><Relationship Target="worksheets/sheet92.xml" Type="http://schemas.openxmlformats.org/officeDocument/2006/relationships/worksheet" Id="rId92"/><Relationship Target="worksheets/sheet93.xml" Type="http://schemas.openxmlformats.org/officeDocument/2006/relationships/worksheet" Id="rId93"/><Relationship Target="worksheets/sheet94.xml" Type="http://schemas.openxmlformats.org/officeDocument/2006/relationships/worksheet" Id="rId94"/><Relationship Target="worksheets/sheet95.xml" Type="http://schemas.openxmlformats.org/officeDocument/2006/relationships/worksheet" Id="rId95"/><Relationship Target="worksheets/sheet96.xml" Type="http://schemas.openxmlformats.org/officeDocument/2006/relationships/worksheet" Id="rId96"/><Relationship Target="worksheets/sheet97.xml" Type="http://schemas.openxmlformats.org/officeDocument/2006/relationships/worksheet" Id="rId97"/><Relationship Target="worksheets/sheet98.xml" Type="http://schemas.openxmlformats.org/officeDocument/2006/relationships/worksheet" Id="rId98"/><Relationship Target="worksheets/sheet99.xml" Type="http://schemas.openxmlformats.org/officeDocument/2006/relationships/worksheet" Id="rId99"/><Relationship Target="worksheets/sheet100.xml" Type="http://schemas.openxmlformats.org/officeDocument/2006/relationships/worksheet" Id="rId100"/><Relationship Target="worksheets/sheet101.xml" Type="http://schemas.openxmlformats.org/officeDocument/2006/relationships/worksheet" Id="rId101"/><Relationship Target="worksheets/sheet102.xml" Type="http://schemas.openxmlformats.org/officeDocument/2006/relationships/worksheet" Id="rId102"/><Relationship Target="worksheets/sheet103.xml" Type="http://schemas.openxmlformats.org/officeDocument/2006/relationships/worksheet" Id="rId103"/><Relationship Target="worksheets/sheet104.xml" Type="http://schemas.openxmlformats.org/officeDocument/2006/relationships/worksheet" Id="rId104"/><Relationship Target="worksheets/sheet105.xml" Type="http://schemas.openxmlformats.org/officeDocument/2006/relationships/worksheet" Id="rId105"/><Relationship Target="worksheets/sheet106.xml" Type="http://schemas.openxmlformats.org/officeDocument/2006/relationships/worksheet" Id="rId106"/><Relationship Target="worksheets/sheet107.xml" Type="http://schemas.openxmlformats.org/officeDocument/2006/relationships/worksheet" Id="rId107"/><Relationship Target="worksheets/sheet108.xml" Type="http://schemas.openxmlformats.org/officeDocument/2006/relationships/worksheet" Id="rId108"/><Relationship Target="worksheets/sheet109.xml" Type="http://schemas.openxmlformats.org/officeDocument/2006/relationships/worksheet" Id="rId109"/><Relationship Target="worksheets/sheet110.xml" Type="http://schemas.openxmlformats.org/officeDocument/2006/relationships/worksheet" Id="rId110"/><Relationship Target="worksheets/sheet111.xml" Type="http://schemas.openxmlformats.org/officeDocument/2006/relationships/worksheet" Id="rId111"/><Relationship Target="worksheets/sheet112.xml" Type="http://schemas.openxmlformats.org/officeDocument/2006/relationships/worksheet" Id="rId112"/><Relationship Target="worksheets/sheet113.xml" Type="http://schemas.openxmlformats.org/officeDocument/2006/relationships/worksheet" Id="rId113"/><Relationship Target="sharedStrings.xml" Type="http://schemas.openxmlformats.org/officeDocument/2006/relationships/sharedStrings" Id="rId114"/><Relationship Target="styles.xml" Type="http://schemas.openxmlformats.org/officeDocument/2006/relationships/styles" Id="rId115"/><Relationship Target="theme/theme1.xml" Type="http://schemas.openxmlformats.org/officeDocument/2006/relationships/theme" Id="rId1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8"/>
  <sheetViews>
    <sheetView workbookViewId="0"/>
  </sheetViews>
  <sheetFormatPr defaultRowHeight="15" x14ac:dyDescent="0.25"/>
  <cols>
    <col min="1" max="1" style="44" width="6.576428571428571" customWidth="1" bestFit="1"/>
    <col min="2" max="2" style="44" width="15.862142857142858" customWidth="1" bestFit="1"/>
    <col min="3" max="3" style="44" width="24.719285714285714" customWidth="1" bestFit="1"/>
    <col min="4" max="4" style="88" width="13.576428571428572" customWidth="1" bestFit="1"/>
    <col min="5" max="5" style="88" width="13.576428571428572" customWidth="1" bestFit="1"/>
    <col min="6" max="6" style="88" width="13.576428571428572" customWidth="1" bestFit="1"/>
    <col min="7" max="7" style="88" width="13.576428571428572" customWidth="1" bestFit="1"/>
    <col min="8" max="8" style="44" width="13.576428571428572" customWidth="1" bestFit="1"/>
    <col min="9" max="9" style="88" width="13.576428571428572" customWidth="1" bestFit="1"/>
  </cols>
  <sheetData>
    <row x14ac:dyDescent="0.25" r="1" customHeight="1" ht="19.5">
      <c r="A1" s="255" t="s">
        <v>1493</v>
      </c>
      <c r="B1" s="256"/>
      <c r="C1" s="61" t="s">
        <v>1494</v>
      </c>
      <c r="D1" s="63">
        <v>1</v>
      </c>
      <c r="E1" s="63">
        <v>2</v>
      </c>
      <c r="F1" s="63" t="s">
        <v>1495</v>
      </c>
      <c r="G1" s="63" t="s">
        <v>1496</v>
      </c>
      <c r="H1" s="61" t="s">
        <v>1497</v>
      </c>
      <c r="I1" s="63">
        <v>4</v>
      </c>
    </row>
    <row x14ac:dyDescent="0.25" r="2" customHeight="1" ht="20.25">
      <c r="A2" s="257"/>
      <c r="B2" s="258" t="s">
        <v>1498</v>
      </c>
      <c r="C2" s="259" t="s">
        <v>10</v>
      </c>
      <c r="D2" s="60">
        <f>'001 B-'!B10</f>
      </c>
      <c r="E2" s="60">
        <f>'002 B-'!B10</f>
      </c>
      <c r="F2" s="60">
        <f>'003 T-'!B10</f>
      </c>
      <c r="G2" s="60">
        <f>'003 T-'!B10</f>
      </c>
      <c r="H2" s="3"/>
      <c r="I2" s="59"/>
    </row>
    <row x14ac:dyDescent="0.25" r="3" customHeight="1" ht="21">
      <c r="A3" s="62" t="s">
        <v>1499</v>
      </c>
      <c r="B3" s="260" t="s">
        <v>1500</v>
      </c>
      <c r="C3" s="261" t="s">
        <v>1501</v>
      </c>
      <c r="D3" s="60">
        <f>'001 B-'!C10</f>
      </c>
      <c r="E3" s="60">
        <f>'002 B-'!C10</f>
      </c>
      <c r="F3" s="60">
        <f>'003 T-'!C10</f>
      </c>
      <c r="G3" s="60">
        <f>'003 T-'!C10</f>
      </c>
      <c r="H3" s="3"/>
      <c r="I3" s="59"/>
    </row>
    <row x14ac:dyDescent="0.25" r="4" customHeight="1" ht="19.5">
      <c r="A4" s="3"/>
      <c r="B4" s="262" t="s">
        <v>1502</v>
      </c>
      <c r="C4" s="263" t="s">
        <v>1503</v>
      </c>
      <c r="D4" s="60">
        <f>'001 B-'!D10</f>
      </c>
      <c r="E4" s="60">
        <f>'002 B-'!D10</f>
      </c>
      <c r="F4" s="60">
        <f>'003 T-'!D10</f>
      </c>
      <c r="G4" s="60">
        <f>'003 T-'!E10</f>
      </c>
      <c r="H4" s="3"/>
      <c r="I4" s="59"/>
    </row>
    <row x14ac:dyDescent="0.25" r="5" customHeight="1" ht="20.25">
      <c r="A5" s="62" t="s">
        <v>1499</v>
      </c>
      <c r="B5" s="264" t="s">
        <v>1504</v>
      </c>
      <c r="C5" s="265" t="s">
        <v>1505</v>
      </c>
      <c r="D5" s="60">
        <f>'001 B-'!E10</f>
      </c>
      <c r="E5" s="60">
        <f>'002 B-'!E10</f>
      </c>
      <c r="F5" s="60">
        <f>'003 T-'!E10</f>
      </c>
      <c r="G5" s="60">
        <f>'003 T-'!F10</f>
      </c>
      <c r="H5" s="3"/>
      <c r="I5" s="59"/>
    </row>
    <row x14ac:dyDescent="0.25" r="6" customHeight="1" ht="20.25">
      <c r="A6" s="3"/>
      <c r="B6" s="266" t="s">
        <v>1506</v>
      </c>
      <c r="C6" s="267" t="s">
        <v>1507</v>
      </c>
      <c r="D6" s="60">
        <f>'001 B-'!F10</f>
      </c>
      <c r="E6" s="60">
        <f>'002 B-'!F10</f>
      </c>
      <c r="F6" s="60">
        <f>'003 T-'!F10</f>
      </c>
      <c r="G6" s="60">
        <f>'003 T-'!G10</f>
      </c>
      <c r="H6" s="3"/>
      <c r="I6" s="59"/>
    </row>
    <row x14ac:dyDescent="0.25" r="7" customHeight="1" ht="20.25">
      <c r="A7" s="62" t="s">
        <v>1499</v>
      </c>
      <c r="B7" s="268" t="s">
        <v>1508</v>
      </c>
      <c r="C7" s="269" t="s">
        <v>1509</v>
      </c>
      <c r="D7" s="60">
        <f>'001 B-'!G10</f>
      </c>
      <c r="E7" s="60">
        <f>'002 B-'!10</f>
      </c>
      <c r="F7" s="60">
        <f>'003 T-'!10</f>
      </c>
      <c r="G7" s="59"/>
      <c r="H7" s="3"/>
      <c r="I7" s="59"/>
    </row>
    <row x14ac:dyDescent="0.25" r="8" customHeight="1" ht="20.25">
      <c r="A8" s="3"/>
      <c r="B8" s="268" t="s">
        <v>1510</v>
      </c>
      <c r="C8" s="269" t="s">
        <v>1511</v>
      </c>
      <c r="D8" s="60">
        <f>'001 B-'!H10</f>
      </c>
      <c r="E8" s="60">
        <f>'002 B-'!10</f>
      </c>
      <c r="F8" s="60">
        <f>'003 T-'!10</f>
      </c>
      <c r="G8" s="59"/>
      <c r="H8" s="3"/>
      <c r="I8" s="59"/>
    </row>
    <row x14ac:dyDescent="0.25" r="9" customHeight="1" ht="27">
      <c r="A9" s="3"/>
      <c r="B9" s="268" t="s">
        <v>1512</v>
      </c>
      <c r="C9" s="269" t="s">
        <v>1513</v>
      </c>
      <c r="D9" s="60">
        <f>'001 B-'!I10</f>
      </c>
      <c r="E9" s="60">
        <f>'002 B-'!10</f>
      </c>
      <c r="F9" s="60">
        <f>'003 T-'!10</f>
      </c>
      <c r="G9" s="59"/>
      <c r="H9" s="3"/>
      <c r="I9" s="59"/>
    </row>
    <row x14ac:dyDescent="0.25" r="10" customHeight="1" ht="20.25">
      <c r="A10" s="3"/>
      <c r="B10" s="270" t="s">
        <v>1514</v>
      </c>
      <c r="C10" s="271" t="s">
        <v>1515</v>
      </c>
      <c r="D10" s="60">
        <f>'001 B-'!J10</f>
      </c>
      <c r="E10" s="60">
        <f>'002 B-'!10</f>
      </c>
      <c r="F10" s="60">
        <f>'003 T-'!10</f>
      </c>
      <c r="G10" s="59"/>
      <c r="H10" s="3"/>
      <c r="I10" s="59"/>
    </row>
    <row x14ac:dyDescent="0.25" r="11" customHeight="1" ht="20.25">
      <c r="A11" s="62" t="s">
        <v>1499</v>
      </c>
      <c r="B11" s="272" t="s">
        <v>1516</v>
      </c>
      <c r="C11" s="273" t="s">
        <v>1517</v>
      </c>
      <c r="D11" s="60">
        <f>'001 B-'!K10</f>
      </c>
      <c r="E11" s="60">
        <f>'002 B-'!10</f>
      </c>
      <c r="F11" s="60">
        <f>'003 T-'!10</f>
      </c>
      <c r="G11" s="59"/>
      <c r="H11" s="3"/>
      <c r="I11" s="59"/>
    </row>
    <row x14ac:dyDescent="0.25" r="12" customHeight="1" ht="20.25">
      <c r="A12" s="3"/>
      <c r="B12" s="272" t="s">
        <v>1518</v>
      </c>
      <c r="C12" s="273" t="s">
        <v>1519</v>
      </c>
      <c r="D12" s="60">
        <f>'001 B-'!L10</f>
      </c>
      <c r="E12" s="60">
        <f>'002 B-'!10</f>
      </c>
      <c r="F12" s="60">
        <f>'003 T-'!10</f>
      </c>
      <c r="G12" s="59"/>
      <c r="H12" s="3"/>
      <c r="I12" s="59"/>
    </row>
    <row x14ac:dyDescent="0.25" r="13" customHeight="1" ht="20.25">
      <c r="A13" s="3"/>
      <c r="B13" s="272" t="s">
        <v>1520</v>
      </c>
      <c r="C13" s="273" t="s">
        <v>1521</v>
      </c>
      <c r="D13" s="60">
        <f>'001 B-'!M10</f>
      </c>
      <c r="E13" s="60">
        <f>'002 B-'!10</f>
      </c>
      <c r="F13" s="60">
        <f>'003 T-'!10</f>
      </c>
      <c r="G13" s="59"/>
      <c r="H13" s="3"/>
      <c r="I13" s="59"/>
    </row>
    <row x14ac:dyDescent="0.25" r="14" customHeight="1" ht="20.25">
      <c r="A14" s="62" t="s">
        <v>1499</v>
      </c>
      <c r="B14" s="274" t="s">
        <v>1522</v>
      </c>
      <c r="C14" s="275" t="s">
        <v>1523</v>
      </c>
      <c r="D14" s="60">
        <f>'001 B-'!N10</f>
      </c>
      <c r="E14" s="60">
        <f>'002 B-'!10</f>
      </c>
      <c r="F14" s="60">
        <f>'003 T-'!10</f>
      </c>
      <c r="G14" s="59"/>
      <c r="H14" s="3"/>
      <c r="I14" s="59"/>
    </row>
    <row x14ac:dyDescent="0.25" r="15" customHeight="1" ht="20.25">
      <c r="A15" s="3"/>
      <c r="B15" s="274" t="s">
        <v>1524</v>
      </c>
      <c r="C15" s="275" t="s">
        <v>1525</v>
      </c>
      <c r="D15" s="60">
        <f>'001 B-'!O10</f>
      </c>
      <c r="E15" s="60">
        <f>'002 B-'!10</f>
      </c>
      <c r="F15" s="60">
        <f>'003 T-'!10</f>
      </c>
      <c r="G15" s="59"/>
      <c r="H15" s="3"/>
      <c r="I15" s="59"/>
    </row>
    <row x14ac:dyDescent="0.25" r="16" customHeight="1" ht="20.25">
      <c r="A16" s="3"/>
      <c r="B16" s="276" t="s">
        <v>1526</v>
      </c>
      <c r="C16" s="277" t="s">
        <v>1527</v>
      </c>
      <c r="D16" s="60">
        <f>'001 B-'!P10</f>
      </c>
      <c r="E16" s="60">
        <f>'002 B-'!10</f>
      </c>
      <c r="F16" s="60">
        <f>'003 T-'!10</f>
      </c>
      <c r="G16" s="59"/>
      <c r="H16" s="3"/>
      <c r="I16" s="59"/>
    </row>
    <row x14ac:dyDescent="0.25" r="17" customHeight="1" ht="20.25">
      <c r="A17" s="62" t="s">
        <v>1499</v>
      </c>
      <c r="B17" s="276" t="s">
        <v>1528</v>
      </c>
      <c r="C17" s="277" t="s">
        <v>1529</v>
      </c>
      <c r="D17" s="60">
        <f>'001 B-'!Q10</f>
      </c>
      <c r="E17" s="60">
        <f>'002 B-'!10</f>
      </c>
      <c r="F17" s="60">
        <f>'003 T-'!10</f>
      </c>
      <c r="G17" s="59"/>
      <c r="H17" s="3"/>
      <c r="I17" s="59"/>
    </row>
    <row x14ac:dyDescent="0.25" r="18" customHeight="1" ht="20.25">
      <c r="A18" s="3"/>
      <c r="B18" s="276" t="s">
        <v>1530</v>
      </c>
      <c r="C18" s="277" t="s">
        <v>1531</v>
      </c>
      <c r="D18" s="60">
        <f>'001 B-'!R10</f>
      </c>
      <c r="E18" s="60">
        <f>'002 B-'!10</f>
      </c>
      <c r="F18" s="60">
        <f>'003 T-'!10</f>
      </c>
      <c r="G18" s="59"/>
      <c r="H18" s="3"/>
      <c r="I18" s="59"/>
    </row>
    <row x14ac:dyDescent="0.25" r="19" customHeight="1" ht="20.25">
      <c r="A19" s="62" t="s">
        <v>1499</v>
      </c>
      <c r="B19" s="278" t="s">
        <v>1532</v>
      </c>
      <c r="C19" s="279" t="s">
        <v>1533</v>
      </c>
      <c r="D19" s="60">
        <f>'001 B-'!S10</f>
      </c>
      <c r="E19" s="60">
        <f>'002 B-'!10</f>
      </c>
      <c r="F19" s="60">
        <f>'003 T-'!10</f>
      </c>
      <c r="G19" s="59"/>
      <c r="H19" s="3"/>
      <c r="I19" s="59"/>
    </row>
    <row x14ac:dyDescent="0.25" r="20" customHeight="1" ht="20.25">
      <c r="A20" s="3"/>
      <c r="B20" s="280" t="s">
        <v>1534</v>
      </c>
      <c r="C20" s="281" t="s">
        <v>1535</v>
      </c>
      <c r="D20" s="60">
        <f>'001 B-'!T10</f>
      </c>
      <c r="E20" s="60">
        <f>'002 B-'!10</f>
      </c>
      <c r="F20" s="60">
        <f>'003 T-'!10</f>
      </c>
      <c r="G20" s="59"/>
      <c r="H20" s="3"/>
      <c r="I20" s="59"/>
    </row>
    <row x14ac:dyDescent="0.25" r="21" customHeight="1" ht="20.25">
      <c r="A21" s="62" t="s">
        <v>1499</v>
      </c>
      <c r="B21" s="280" t="s">
        <v>1536</v>
      </c>
      <c r="C21" s="281" t="s">
        <v>1537</v>
      </c>
      <c r="D21" s="60">
        <f>'001 B-'!U10</f>
      </c>
      <c r="E21" s="60">
        <f>'002 B-'!10</f>
      </c>
      <c r="F21" s="60">
        <f>'003 T-'!10</f>
      </c>
      <c r="G21" s="59"/>
      <c r="H21" s="3"/>
      <c r="I21" s="59"/>
    </row>
    <row x14ac:dyDescent="0.25" r="22" customHeight="1" ht="20.25">
      <c r="A22" s="3"/>
      <c r="B22" s="282" t="s">
        <v>1538</v>
      </c>
      <c r="C22" s="283" t="s">
        <v>1539</v>
      </c>
      <c r="D22" s="60">
        <f>'001 B-'!V10</f>
      </c>
      <c r="E22" s="60">
        <f>'002 B-'!10</f>
      </c>
      <c r="F22" s="60">
        <f>'003 T-'!10</f>
      </c>
      <c r="G22" s="59"/>
      <c r="H22" s="3"/>
      <c r="I22" s="59"/>
    </row>
    <row x14ac:dyDescent="0.25" r="23" customHeight="1" ht="20.25">
      <c r="A23" s="3"/>
      <c r="B23" s="282" t="s">
        <v>1540</v>
      </c>
      <c r="C23" s="283" t="s">
        <v>1541</v>
      </c>
      <c r="D23" s="60">
        <f>'001 B-'!W10</f>
      </c>
      <c r="E23" s="60">
        <f>'002 B-'!10</f>
      </c>
      <c r="F23" s="60">
        <f>'003 T-'!10</f>
      </c>
      <c r="G23" s="59"/>
      <c r="H23" s="3"/>
      <c r="I23" s="59"/>
    </row>
    <row x14ac:dyDescent="0.25" r="24" customHeight="1" ht="20.25">
      <c r="A24" s="3"/>
      <c r="B24" s="284" t="s">
        <v>1542</v>
      </c>
      <c r="C24" s="285" t="s">
        <v>1543</v>
      </c>
      <c r="D24" s="60">
        <f>'001 B-'!X10</f>
      </c>
      <c r="E24" s="60">
        <f>'002 B-'!10</f>
      </c>
      <c r="F24" s="60">
        <f>'003 T-'!10</f>
      </c>
      <c r="G24" s="59"/>
      <c r="H24" s="3"/>
      <c r="I24" s="59"/>
    </row>
    <row x14ac:dyDescent="0.25" r="25" customHeight="1" ht="20.25">
      <c r="A25" s="62" t="s">
        <v>1499</v>
      </c>
      <c r="B25" s="284" t="s">
        <v>1544</v>
      </c>
      <c r="C25" s="285" t="s">
        <v>1545</v>
      </c>
      <c r="D25" s="60">
        <f>'001 B-'!Y10</f>
      </c>
      <c r="E25" s="60">
        <f>'002 B-'!10</f>
      </c>
      <c r="F25" s="60">
        <f>'003 T-'!10</f>
      </c>
      <c r="G25" s="59"/>
      <c r="H25" s="3"/>
      <c r="I25" s="59"/>
    </row>
    <row x14ac:dyDescent="0.25" r="26" customHeight="1" ht="20.25">
      <c r="A26" s="3"/>
      <c r="B26" s="286" t="s">
        <v>1546</v>
      </c>
      <c r="C26" s="287" t="s">
        <v>1547</v>
      </c>
      <c r="D26" s="60">
        <f>'001 B-'!Z10</f>
      </c>
      <c r="E26" s="60">
        <f>'002 B-'!10</f>
      </c>
      <c r="F26" s="60">
        <f>'003 T-'!10</f>
      </c>
      <c r="G26" s="59"/>
      <c r="H26" s="3"/>
      <c r="I26" s="59"/>
    </row>
    <row x14ac:dyDescent="0.25" r="27" customHeight="1" ht="20.25">
      <c r="A27" s="62" t="s">
        <v>1499</v>
      </c>
      <c r="B27" s="286" t="s">
        <v>1548</v>
      </c>
      <c r="C27" s="287" t="s">
        <v>1549</v>
      </c>
      <c r="D27" s="60">
        <f>'001 B-'!AA10</f>
      </c>
      <c r="E27" s="60">
        <f>'002 B-'!10</f>
      </c>
      <c r="F27" s="60">
        <f>'003 T-'!10</f>
      </c>
      <c r="G27" s="59"/>
      <c r="H27" s="3"/>
      <c r="I27" s="59"/>
    </row>
    <row x14ac:dyDescent="0.25" r="28" customHeight="1" ht="20.25">
      <c r="A28" s="3"/>
      <c r="B28" s="288" t="s">
        <v>1550</v>
      </c>
      <c r="C28" s="289" t="s">
        <v>1551</v>
      </c>
      <c r="D28" s="60">
        <f>'001 B-'!AB10</f>
      </c>
      <c r="E28" s="60">
        <f>'002 B-'!10</f>
      </c>
      <c r="F28" s="60">
        <f>'003 T-'!10</f>
      </c>
      <c r="G28" s="59"/>
      <c r="H28" s="3"/>
      <c r="I28" s="59"/>
    </row>
    <row x14ac:dyDescent="0.25" r="29" customHeight="1" ht="20.25">
      <c r="A29" s="62" t="s">
        <v>1499</v>
      </c>
      <c r="B29" s="288" t="s">
        <v>1552</v>
      </c>
      <c r="C29" s="289" t="s">
        <v>1553</v>
      </c>
      <c r="D29" s="60">
        <f>'001 B-'!AC10</f>
      </c>
      <c r="E29" s="60">
        <f>'002 B-'!10</f>
      </c>
      <c r="F29" s="60">
        <f>'003 T-'!10</f>
      </c>
      <c r="G29" s="59"/>
      <c r="H29" s="3"/>
      <c r="I29" s="59"/>
    </row>
    <row x14ac:dyDescent="0.25" r="30" customHeight="1" ht="20.25">
      <c r="A30" s="3"/>
      <c r="B30" s="288" t="s">
        <v>1554</v>
      </c>
      <c r="C30" s="289" t="s">
        <v>1555</v>
      </c>
      <c r="D30" s="60">
        <f>'001 B-'!AD10</f>
      </c>
      <c r="E30" s="60">
        <f>'002 B-'!10</f>
      </c>
      <c r="F30" s="60">
        <f>'003 T-'!10</f>
      </c>
      <c r="G30" s="59"/>
      <c r="H30" s="3"/>
      <c r="I30" s="59"/>
    </row>
    <row x14ac:dyDescent="0.25" r="31" customHeight="1" ht="20.25">
      <c r="A31" s="62" t="s">
        <v>1499</v>
      </c>
      <c r="B31" s="290" t="s">
        <v>1556</v>
      </c>
      <c r="C31" s="291" t="s">
        <v>1557</v>
      </c>
      <c r="D31" s="60">
        <f>'001 B-'!AE10</f>
      </c>
      <c r="E31" s="60">
        <f>'002 B-'!10</f>
      </c>
      <c r="F31" s="60">
        <f>'003 T-'!10</f>
      </c>
      <c r="G31" s="59"/>
      <c r="H31" s="3"/>
      <c r="I31" s="59"/>
    </row>
    <row x14ac:dyDescent="0.25" r="32" customHeight="1" ht="20.25">
      <c r="A32" s="62" t="s">
        <v>1499</v>
      </c>
      <c r="B32" s="292" t="s">
        <v>1558</v>
      </c>
      <c r="C32" s="293" t="s">
        <v>1559</v>
      </c>
      <c r="D32" s="60">
        <f>'001 B-'!AF10</f>
      </c>
      <c r="E32" s="60">
        <f>'002 B-'!10</f>
      </c>
      <c r="F32" s="60">
        <f>'003 T-'!10</f>
      </c>
      <c r="G32" s="59"/>
      <c r="H32" s="3"/>
      <c r="I32" s="59"/>
    </row>
    <row x14ac:dyDescent="0.25" r="33" customHeight="1" ht="20.25">
      <c r="A33" s="62" t="s">
        <v>1499</v>
      </c>
      <c r="B33" s="294" t="s">
        <v>1560</v>
      </c>
      <c r="C33" s="295" t="s">
        <v>1561</v>
      </c>
      <c r="D33" s="60">
        <f>'001 B-'!AG10</f>
      </c>
      <c r="E33" s="60">
        <f>'002 B-'!10</f>
      </c>
      <c r="F33" s="60">
        <f>'003 T-'!10</f>
      </c>
      <c r="G33" s="59"/>
      <c r="H33" s="3"/>
      <c r="I33" s="59"/>
    </row>
    <row x14ac:dyDescent="0.25" r="34" customHeight="1" ht="21">
      <c r="A34" s="62" t="s">
        <v>1499</v>
      </c>
      <c r="B34" s="296" t="s">
        <v>1562</v>
      </c>
      <c r="C34" s="297" t="s">
        <v>1563</v>
      </c>
      <c r="D34" s="60">
        <f>'001 B-'!AH10</f>
      </c>
      <c r="E34" s="60">
        <f>'002 B-'!10</f>
      </c>
      <c r="F34" s="60">
        <f>'003 T-'!10</f>
      </c>
      <c r="G34" s="59"/>
      <c r="H34" s="3"/>
      <c r="I34" s="59"/>
    </row>
    <row x14ac:dyDescent="0.25" r="35" customHeight="1" ht="18.75">
      <c r="A35" s="3"/>
      <c r="B35" s="3"/>
      <c r="C35" s="3"/>
      <c r="D35" s="59"/>
      <c r="E35" s="59"/>
      <c r="F35" s="59"/>
      <c r="G35" s="59"/>
      <c r="H35" s="3"/>
      <c r="I35" s="59"/>
    </row>
    <row x14ac:dyDescent="0.25" r="36" customHeight="1" ht="18.75">
      <c r="A36" s="3"/>
      <c r="B36" s="3"/>
      <c r="C36" s="3"/>
      <c r="D36" s="59"/>
      <c r="E36" s="59"/>
      <c r="F36" s="59"/>
      <c r="G36" s="59"/>
      <c r="H36" s="3"/>
      <c r="I36" s="59"/>
    </row>
    <row x14ac:dyDescent="0.25" r="37" customHeight="1" ht="18.75">
      <c r="A37" s="3"/>
      <c r="B37" s="3"/>
      <c r="C37" s="3"/>
      <c r="D37" s="59"/>
      <c r="E37" s="59"/>
      <c r="F37" s="59"/>
      <c r="G37" s="59"/>
      <c r="H37" s="3"/>
      <c r="I37" s="59"/>
    </row>
    <row x14ac:dyDescent="0.25" r="38" customHeight="1" ht="18.75">
      <c r="A38" s="3"/>
      <c r="B38" s="3"/>
      <c r="C38" s="3"/>
      <c r="D38" s="59"/>
      <c r="E38" s="59"/>
      <c r="F38" s="59"/>
      <c r="G38" s="59"/>
      <c r="H38" s="3"/>
      <c r="I38" s="59"/>
    </row>
    <row x14ac:dyDescent="0.25" r="39" customHeight="1" ht="18.75">
      <c r="A39" s="3"/>
      <c r="B39" s="3"/>
      <c r="C39" s="3"/>
      <c r="D39" s="59"/>
      <c r="E39" s="59"/>
      <c r="F39" s="59"/>
      <c r="G39" s="59"/>
      <c r="H39" s="3"/>
      <c r="I39" s="59"/>
    </row>
    <row x14ac:dyDescent="0.25" r="40" customHeight="1" ht="18.75">
      <c r="A40" s="3"/>
      <c r="B40" s="3"/>
      <c r="C40" s="3"/>
      <c r="D40" s="59"/>
      <c r="E40" s="59"/>
      <c r="F40" s="59"/>
      <c r="G40" s="59"/>
      <c r="H40" s="3"/>
      <c r="I40" s="59"/>
    </row>
    <row x14ac:dyDescent="0.25" r="41" customHeight="1" ht="18.75">
      <c r="A41" s="3"/>
      <c r="B41" s="3"/>
      <c r="C41" s="3"/>
      <c r="D41" s="59"/>
      <c r="E41" s="59"/>
      <c r="F41" s="59"/>
      <c r="G41" s="59"/>
      <c r="H41" s="3"/>
      <c r="I41" s="59"/>
    </row>
    <row x14ac:dyDescent="0.25" r="42" customHeight="1" ht="18.75">
      <c r="A42" s="3"/>
      <c r="B42" s="3"/>
      <c r="C42" s="3"/>
      <c r="D42" s="59"/>
      <c r="E42" s="59"/>
      <c r="F42" s="59"/>
      <c r="G42" s="59"/>
      <c r="H42" s="3"/>
      <c r="I42" s="59"/>
    </row>
    <row x14ac:dyDescent="0.25" r="43" customHeight="1" ht="18.75">
      <c r="A43" s="3"/>
      <c r="B43" s="3"/>
      <c r="C43" s="3"/>
      <c r="D43" s="59"/>
      <c r="E43" s="59"/>
      <c r="F43" s="59"/>
      <c r="G43" s="59"/>
      <c r="H43" s="3"/>
      <c r="I43" s="59"/>
    </row>
    <row x14ac:dyDescent="0.25" r="44" customHeight="1" ht="18.75">
      <c r="A44" s="3"/>
      <c r="B44" s="3"/>
      <c r="C44" s="3"/>
      <c r="D44" s="59"/>
      <c r="E44" s="59"/>
      <c r="F44" s="59"/>
      <c r="G44" s="59"/>
      <c r="H44" s="3"/>
      <c r="I44" s="59"/>
    </row>
    <row x14ac:dyDescent="0.25" r="45" customHeight="1" ht="18.75">
      <c r="A45" s="3"/>
      <c r="B45" s="3"/>
      <c r="C45" s="3"/>
      <c r="D45" s="59"/>
      <c r="E45" s="59"/>
      <c r="F45" s="59"/>
      <c r="G45" s="59"/>
      <c r="H45" s="3"/>
      <c r="I45" s="59"/>
    </row>
    <row x14ac:dyDescent="0.25" r="46" customHeight="1" ht="18.75">
      <c r="A46" s="3"/>
      <c r="B46" s="3"/>
      <c r="C46" s="3"/>
      <c r="D46" s="59"/>
      <c r="E46" s="59"/>
      <c r="F46" s="59"/>
      <c r="G46" s="59"/>
      <c r="H46" s="3"/>
      <c r="I46" s="59"/>
    </row>
    <row x14ac:dyDescent="0.25" r="47" customHeight="1" ht="18.75">
      <c r="A47" s="3"/>
      <c r="B47" s="3"/>
      <c r="C47" s="3"/>
      <c r="D47" s="59"/>
      <c r="E47" s="59"/>
      <c r="F47" s="59"/>
      <c r="G47" s="59"/>
      <c r="H47" s="3"/>
      <c r="I47" s="59"/>
    </row>
    <row x14ac:dyDescent="0.25" r="48" customHeight="1" ht="18.75">
      <c r="A48" s="3"/>
      <c r="B48" s="3"/>
      <c r="C48" s="3"/>
      <c r="D48" s="59"/>
      <c r="E48" s="59"/>
      <c r="F48" s="59"/>
      <c r="G48" s="59"/>
      <c r="H48" s="3"/>
      <c r="I48" s="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5.719285714285714" customWidth="1" bestFit="1"/>
    <col min="3" max="3" style="43" width="5.719285714285714" customWidth="1" bestFit="1"/>
    <col min="4" max="4" style="43" width="5.719285714285714" customWidth="1" bestFit="1"/>
    <col min="5" max="5" style="43" width="5.719285714285714" customWidth="1" bestFit="1"/>
    <col min="6" max="6" style="43" width="5.719285714285714" customWidth="1" bestFit="1"/>
    <col min="7" max="7" style="43" width="5.719285714285714" customWidth="1" bestFit="1"/>
    <col min="8" max="8" style="43" width="5.719285714285714" customWidth="1" bestFit="1"/>
    <col min="9" max="9" style="43" width="5.719285714285714" customWidth="1" bestFit="1"/>
    <col min="10" max="10" style="43" width="5.719285714285714" customWidth="1" bestFit="1"/>
    <col min="11" max="11" style="43" width="5.719285714285714" customWidth="1" bestFit="1"/>
    <col min="12" max="12" style="43" width="5.719285714285714" customWidth="1" bestFit="1"/>
    <col min="13" max="13" style="43" width="5.719285714285714" customWidth="1" bestFit="1"/>
    <col min="14" max="14" style="43" width="5.719285714285714" customWidth="1" bestFit="1"/>
    <col min="15" max="15" style="43" width="5.719285714285714" customWidth="1" bestFit="1"/>
    <col min="16" max="16" style="43" width="5.719285714285714" customWidth="1" bestFit="1"/>
    <col min="17" max="17" style="43" width="5.719285714285714" customWidth="1" bestFit="1"/>
    <col min="18" max="18" style="43" width="5.719285714285714" customWidth="1" bestFit="1"/>
    <col min="19" max="19" style="43" width="5.719285714285714" customWidth="1" bestFit="1"/>
    <col min="20" max="20" style="43" width="5.719285714285714" customWidth="1" bestFit="1"/>
    <col min="21" max="21" style="43" width="5.719285714285714" customWidth="1" bestFit="1"/>
    <col min="22" max="22" style="43" width="5.719285714285714" customWidth="1" bestFit="1"/>
    <col min="23" max="23" style="43" width="5.719285714285714" customWidth="1" bestFit="1"/>
    <col min="24" max="24" style="43" width="5.719285714285714" customWidth="1" bestFit="1"/>
    <col min="25" max="25" style="43" width="5.719285714285714" customWidth="1" bestFit="1"/>
    <col min="26" max="26" style="43" width="5.719285714285714" customWidth="1" bestFit="1"/>
    <col min="27" max="27" style="43" width="5.719285714285714" customWidth="1" bestFit="1"/>
    <col min="28" max="28" style="44" width="5.719285714285714" customWidth="1" bestFit="1"/>
    <col min="29" max="29" style="43" width="5.719285714285714" customWidth="1" bestFit="1"/>
    <col min="30" max="30" style="44" width="5.719285714285714" customWidth="1" bestFit="1"/>
    <col min="31" max="31" style="43" width="5.719285714285714" customWidth="1" bestFit="1"/>
    <col min="32" max="32" style="43" width="5.719285714285714" customWidth="1" bestFit="1"/>
    <col min="33" max="33" style="43" width="5.719285714285714" customWidth="1" bestFit="1"/>
    <col min="34" max="34" style="43" width="5.719285714285714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1484</v>
      </c>
      <c r="C4" s="7"/>
      <c r="D4" s="7"/>
      <c r="E4" s="2"/>
      <c r="F4" s="124" t="s">
        <v>1491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140</v>
      </c>
      <c r="C8" s="33" t="s">
        <v>339</v>
      </c>
      <c r="D8" s="33" t="s">
        <v>339</v>
      </c>
      <c r="E8" s="33" t="s">
        <v>339</v>
      </c>
      <c r="F8" s="33" t="s">
        <v>339</v>
      </c>
      <c r="G8" s="33" t="s">
        <v>339</v>
      </c>
      <c r="H8" s="33" t="s">
        <v>339</v>
      </c>
      <c r="I8" s="33" t="s">
        <v>339</v>
      </c>
      <c r="J8" s="33" t="s">
        <v>339</v>
      </c>
      <c r="K8" s="33" t="s">
        <v>339</v>
      </c>
      <c r="L8" s="33" t="s">
        <v>339</v>
      </c>
      <c r="M8" s="33" t="s">
        <v>339</v>
      </c>
      <c r="N8" s="33" t="s">
        <v>339</v>
      </c>
      <c r="O8" s="33" t="s">
        <v>339</v>
      </c>
      <c r="P8" s="33" t="s">
        <v>339</v>
      </c>
      <c r="Q8" s="33" t="s">
        <v>339</v>
      </c>
      <c r="R8" s="33" t="s">
        <v>339</v>
      </c>
      <c r="S8" s="33" t="s">
        <v>339</v>
      </c>
      <c r="T8" s="33" t="s">
        <v>339</v>
      </c>
      <c r="U8" s="33" t="s">
        <v>339</v>
      </c>
      <c r="V8" s="33" t="s">
        <v>339</v>
      </c>
      <c r="W8" s="33" t="s">
        <v>339</v>
      </c>
      <c r="X8" s="33" t="s">
        <v>1486</v>
      </c>
      <c r="Y8" s="33" t="s">
        <v>339</v>
      </c>
      <c r="Z8" s="33" t="s">
        <v>339</v>
      </c>
      <c r="AA8" s="33" t="s">
        <v>339</v>
      </c>
      <c r="AB8" s="34" t="s">
        <v>1487</v>
      </c>
      <c r="AC8" s="33" t="s">
        <v>482</v>
      </c>
      <c r="AD8" s="34" t="s">
        <v>1487</v>
      </c>
      <c r="AE8" s="33" t="s">
        <v>482</v>
      </c>
      <c r="AF8" s="33" t="s">
        <v>339</v>
      </c>
      <c r="AG8" s="33" t="s">
        <v>339</v>
      </c>
      <c r="AH8" s="33" t="s">
        <v>339</v>
      </c>
    </row>
    <row x14ac:dyDescent="0.25" r="9" customHeight="1" ht="18.75">
      <c r="A9" s="30" t="s">
        <v>45</v>
      </c>
      <c r="B9" s="33" t="s">
        <v>339</v>
      </c>
      <c r="C9" s="33" t="s">
        <v>339</v>
      </c>
      <c r="D9" s="33" t="s">
        <v>339</v>
      </c>
      <c r="E9" s="33" t="s">
        <v>339</v>
      </c>
      <c r="F9" s="33" t="s">
        <v>339</v>
      </c>
      <c r="G9" s="33" t="s">
        <v>339</v>
      </c>
      <c r="H9" s="33" t="s">
        <v>339</v>
      </c>
      <c r="I9" s="33" t="s">
        <v>339</v>
      </c>
      <c r="J9" s="33" t="s">
        <v>339</v>
      </c>
      <c r="K9" s="33" t="s">
        <v>339</v>
      </c>
      <c r="L9" s="33" t="s">
        <v>339</v>
      </c>
      <c r="M9" s="33" t="s">
        <v>339</v>
      </c>
      <c r="N9" s="33" t="s">
        <v>339</v>
      </c>
      <c r="O9" s="33" t="s">
        <v>339</v>
      </c>
      <c r="P9" s="33" t="s">
        <v>339</v>
      </c>
      <c r="Q9" s="33" t="s">
        <v>339</v>
      </c>
      <c r="R9" s="33" t="s">
        <v>339</v>
      </c>
      <c r="S9" s="33" t="s">
        <v>339</v>
      </c>
      <c r="T9" s="33" t="s">
        <v>339</v>
      </c>
      <c r="U9" s="33" t="s">
        <v>339</v>
      </c>
      <c r="V9" s="33" t="s">
        <v>339</v>
      </c>
      <c r="W9" s="33" t="s">
        <v>339</v>
      </c>
      <c r="X9" s="33" t="s">
        <v>1488</v>
      </c>
      <c r="Y9" s="33" t="s">
        <v>339</v>
      </c>
      <c r="Z9" s="33" t="s">
        <v>339</v>
      </c>
      <c r="AA9" s="33" t="s">
        <v>339</v>
      </c>
      <c r="AB9" s="34"/>
      <c r="AC9" s="31" t="s">
        <v>482</v>
      </c>
      <c r="AD9" s="34"/>
      <c r="AE9" s="31" t="s">
        <v>482</v>
      </c>
      <c r="AF9" s="33" t="s">
        <v>339</v>
      </c>
      <c r="AG9" s="33" t="s">
        <v>339</v>
      </c>
      <c r="AH9" s="33" t="s">
        <v>339</v>
      </c>
    </row>
    <row x14ac:dyDescent="0.25" r="10" customHeight="1" ht="18.75">
      <c r="A10" s="35" t="s">
        <v>47</v>
      </c>
      <c r="B10" s="196">
        <v>2</v>
      </c>
      <c r="C10" s="196">
        <v>2</v>
      </c>
      <c r="D10" s="196">
        <v>2</v>
      </c>
      <c r="E10" s="196">
        <v>2</v>
      </c>
      <c r="F10" s="196">
        <v>2</v>
      </c>
      <c r="G10" s="196">
        <v>2</v>
      </c>
      <c r="H10" s="196">
        <v>2</v>
      </c>
      <c r="I10" s="196">
        <v>2</v>
      </c>
      <c r="J10" s="196">
        <v>2</v>
      </c>
      <c r="K10" s="196">
        <v>2</v>
      </c>
      <c r="L10" s="196">
        <v>2</v>
      </c>
      <c r="M10" s="196">
        <v>2</v>
      </c>
      <c r="N10" s="196">
        <v>2</v>
      </c>
      <c r="O10" s="196">
        <v>2</v>
      </c>
      <c r="P10" s="196">
        <v>2</v>
      </c>
      <c r="Q10" s="196">
        <v>2</v>
      </c>
      <c r="R10" s="196">
        <v>2</v>
      </c>
      <c r="S10" s="196">
        <v>2</v>
      </c>
      <c r="T10" s="196">
        <v>2</v>
      </c>
      <c r="U10" s="196">
        <v>2</v>
      </c>
      <c r="V10" s="196">
        <v>2</v>
      </c>
      <c r="W10" s="196">
        <v>2</v>
      </c>
      <c r="X10" s="196">
        <v>273</v>
      </c>
      <c r="Y10" s="196">
        <v>2</v>
      </c>
      <c r="Z10" s="196">
        <v>2</v>
      </c>
      <c r="AA10" s="196">
        <v>2</v>
      </c>
      <c r="AB10" s="254"/>
      <c r="AC10" s="117">
        <v>43</v>
      </c>
      <c r="AD10" s="254"/>
      <c r="AE10" s="117">
        <v>43</v>
      </c>
      <c r="AF10" s="196">
        <v>2</v>
      </c>
      <c r="AG10" s="196">
        <v>2</v>
      </c>
      <c r="AH10" s="196">
        <v>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2"/>
      <c r="AC11" s="33" t="s">
        <v>52</v>
      </c>
      <c r="AD11" s="32"/>
      <c r="AE11" s="33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2"/>
      <c r="AC12" s="31" t="s">
        <v>52</v>
      </c>
      <c r="AD12" s="32"/>
      <c r="AE12" s="31" t="s">
        <v>52</v>
      </c>
      <c r="AF12" s="31" t="s">
        <v>52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2"/>
      <c r="AC15" s="31" t="s">
        <v>140</v>
      </c>
      <c r="AD15" s="32"/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31">
        <v>3</v>
      </c>
      <c r="U16" s="31">
        <v>3</v>
      </c>
      <c r="V16" s="31">
        <v>3</v>
      </c>
      <c r="W16" s="31">
        <v>3</v>
      </c>
      <c r="X16" s="31">
        <f>AVERAGE(3,3,2.5)</f>
      </c>
      <c r="Y16" s="31">
        <v>3</v>
      </c>
      <c r="Z16" s="31">
        <v>3</v>
      </c>
      <c r="AA16" s="31">
        <v>3</v>
      </c>
      <c r="AB16" s="31"/>
      <c r="AC16" s="31">
        <v>2.5</v>
      </c>
      <c r="AD16" s="31"/>
      <c r="AE16" s="31">
        <v>2.5</v>
      </c>
      <c r="AF16" s="31">
        <v>3</v>
      </c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1406</v>
      </c>
      <c r="Y17" s="31" t="s">
        <v>138</v>
      </c>
      <c r="Z17" s="31" t="s">
        <v>138</v>
      </c>
      <c r="AA17" s="31" t="s">
        <v>138</v>
      </c>
      <c r="AB17" s="32"/>
      <c r="AC17" s="31" t="s">
        <v>169</v>
      </c>
      <c r="AD17" s="32"/>
      <c r="AE17" s="31" t="s">
        <v>169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f>AVERAGE(4,4,2)</f>
      </c>
      <c r="Y18" s="31">
        <v>4</v>
      </c>
      <c r="Z18" s="31">
        <v>4</v>
      </c>
      <c r="AA18" s="31">
        <v>4</v>
      </c>
      <c r="AB18" s="31"/>
      <c r="AC18" s="31">
        <v>2</v>
      </c>
      <c r="AD18" s="31"/>
      <c r="AE18" s="31">
        <v>2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30" t="s">
        <v>1492</v>
      </c>
      <c r="B21" s="40" t="s">
        <v>1490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2"/>
      <c r="AD21" s="3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1484</v>
      </c>
      <c r="C4" s="7"/>
      <c r="D4" s="7"/>
      <c r="E4" s="2"/>
      <c r="F4" s="124" t="s">
        <v>1485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140</v>
      </c>
      <c r="C8" s="33" t="s">
        <v>339</v>
      </c>
      <c r="D8" s="33" t="s">
        <v>339</v>
      </c>
      <c r="E8" s="33" t="s">
        <v>339</v>
      </c>
      <c r="F8" s="33" t="s">
        <v>339</v>
      </c>
      <c r="G8" s="33" t="s">
        <v>339</v>
      </c>
      <c r="H8" s="33" t="s">
        <v>339</v>
      </c>
      <c r="I8" s="33" t="s">
        <v>339</v>
      </c>
      <c r="J8" s="33" t="s">
        <v>339</v>
      </c>
      <c r="K8" s="33" t="s">
        <v>339</v>
      </c>
      <c r="L8" s="33" t="s">
        <v>339</v>
      </c>
      <c r="M8" s="33" t="s">
        <v>339</v>
      </c>
      <c r="N8" s="33" t="s">
        <v>339</v>
      </c>
      <c r="O8" s="33" t="s">
        <v>339</v>
      </c>
      <c r="P8" s="33" t="s">
        <v>339</v>
      </c>
      <c r="Q8" s="33" t="s">
        <v>339</v>
      </c>
      <c r="R8" s="33" t="s">
        <v>339</v>
      </c>
      <c r="S8" s="33" t="s">
        <v>339</v>
      </c>
      <c r="T8" s="33" t="s">
        <v>339</v>
      </c>
      <c r="U8" s="33" t="s">
        <v>339</v>
      </c>
      <c r="V8" s="33" t="s">
        <v>339</v>
      </c>
      <c r="W8" s="33" t="s">
        <v>339</v>
      </c>
      <c r="X8" s="33" t="s">
        <v>1486</v>
      </c>
      <c r="Y8" s="33" t="s">
        <v>339</v>
      </c>
      <c r="Z8" s="33" t="s">
        <v>339</v>
      </c>
      <c r="AA8" s="33" t="s">
        <v>339</v>
      </c>
      <c r="AB8" s="34" t="s">
        <v>1487</v>
      </c>
      <c r="AC8" s="33" t="s">
        <v>482</v>
      </c>
      <c r="AD8" s="34" t="s">
        <v>1487</v>
      </c>
      <c r="AE8" s="33" t="s">
        <v>482</v>
      </c>
      <c r="AF8" s="33" t="s">
        <v>339</v>
      </c>
      <c r="AG8" s="33" t="s">
        <v>339</v>
      </c>
      <c r="AH8" s="33" t="s">
        <v>339</v>
      </c>
    </row>
    <row x14ac:dyDescent="0.25" r="9" customHeight="1" ht="18.75">
      <c r="A9" s="30" t="s">
        <v>45</v>
      </c>
      <c r="B9" s="33" t="s">
        <v>339</v>
      </c>
      <c r="C9" s="33" t="s">
        <v>339</v>
      </c>
      <c r="D9" s="33" t="s">
        <v>339</v>
      </c>
      <c r="E9" s="33" t="s">
        <v>339</v>
      </c>
      <c r="F9" s="33" t="s">
        <v>339</v>
      </c>
      <c r="G9" s="33" t="s">
        <v>339</v>
      </c>
      <c r="H9" s="33" t="s">
        <v>339</v>
      </c>
      <c r="I9" s="33" t="s">
        <v>339</v>
      </c>
      <c r="J9" s="33" t="s">
        <v>339</v>
      </c>
      <c r="K9" s="33" t="s">
        <v>339</v>
      </c>
      <c r="L9" s="33" t="s">
        <v>339</v>
      </c>
      <c r="M9" s="33" t="s">
        <v>339</v>
      </c>
      <c r="N9" s="33" t="s">
        <v>339</v>
      </c>
      <c r="O9" s="33" t="s">
        <v>339</v>
      </c>
      <c r="P9" s="33" t="s">
        <v>339</v>
      </c>
      <c r="Q9" s="33" t="s">
        <v>339</v>
      </c>
      <c r="R9" s="33" t="s">
        <v>339</v>
      </c>
      <c r="S9" s="33" t="s">
        <v>339</v>
      </c>
      <c r="T9" s="33" t="s">
        <v>339</v>
      </c>
      <c r="U9" s="33" t="s">
        <v>339</v>
      </c>
      <c r="V9" s="33" t="s">
        <v>339</v>
      </c>
      <c r="W9" s="33" t="s">
        <v>339</v>
      </c>
      <c r="X9" s="33" t="s">
        <v>1488</v>
      </c>
      <c r="Y9" s="33" t="s">
        <v>339</v>
      </c>
      <c r="Z9" s="33" t="s">
        <v>339</v>
      </c>
      <c r="AA9" s="33" t="s">
        <v>339</v>
      </c>
      <c r="AB9" s="34"/>
      <c r="AC9" s="31" t="s">
        <v>482</v>
      </c>
      <c r="AD9" s="34"/>
      <c r="AE9" s="31" t="s">
        <v>482</v>
      </c>
      <c r="AF9" s="33" t="s">
        <v>339</v>
      </c>
      <c r="AG9" s="33" t="s">
        <v>339</v>
      </c>
      <c r="AH9" s="33" t="s">
        <v>339</v>
      </c>
    </row>
    <row x14ac:dyDescent="0.25" r="10" customHeight="1" ht="18.75">
      <c r="A10" s="35" t="s">
        <v>47</v>
      </c>
      <c r="B10" s="196">
        <v>2</v>
      </c>
      <c r="C10" s="196">
        <v>2</v>
      </c>
      <c r="D10" s="196">
        <v>2</v>
      </c>
      <c r="E10" s="196">
        <v>2</v>
      </c>
      <c r="F10" s="196">
        <v>2</v>
      </c>
      <c r="G10" s="196">
        <v>2</v>
      </c>
      <c r="H10" s="196">
        <v>2</v>
      </c>
      <c r="I10" s="196">
        <v>2</v>
      </c>
      <c r="J10" s="196">
        <v>2</v>
      </c>
      <c r="K10" s="196">
        <v>2</v>
      </c>
      <c r="L10" s="196">
        <v>2</v>
      </c>
      <c r="M10" s="196">
        <v>2</v>
      </c>
      <c r="N10" s="196">
        <v>2</v>
      </c>
      <c r="O10" s="196">
        <v>2</v>
      </c>
      <c r="P10" s="196">
        <v>2</v>
      </c>
      <c r="Q10" s="196">
        <v>2</v>
      </c>
      <c r="R10" s="196">
        <v>2</v>
      </c>
      <c r="S10" s="196">
        <v>2</v>
      </c>
      <c r="T10" s="196">
        <v>2</v>
      </c>
      <c r="U10" s="196">
        <v>2</v>
      </c>
      <c r="V10" s="196">
        <v>2</v>
      </c>
      <c r="W10" s="196">
        <v>2</v>
      </c>
      <c r="X10" s="196">
        <v>273</v>
      </c>
      <c r="Y10" s="196">
        <v>2</v>
      </c>
      <c r="Z10" s="196">
        <v>2</v>
      </c>
      <c r="AA10" s="196">
        <v>2</v>
      </c>
      <c r="AB10" s="254"/>
      <c r="AC10" s="117">
        <v>43</v>
      </c>
      <c r="AD10" s="254"/>
      <c r="AE10" s="117">
        <v>43</v>
      </c>
      <c r="AF10" s="196">
        <v>2</v>
      </c>
      <c r="AG10" s="196">
        <v>2</v>
      </c>
      <c r="AH10" s="196">
        <v>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2"/>
      <c r="AC11" s="33" t="s">
        <v>52</v>
      </c>
      <c r="AD11" s="32"/>
      <c r="AE11" s="33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2"/>
      <c r="AC12" s="31" t="s">
        <v>52</v>
      </c>
      <c r="AD12" s="32"/>
      <c r="AE12" s="31" t="s">
        <v>52</v>
      </c>
      <c r="AF12" s="31" t="s">
        <v>52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2"/>
      <c r="AC15" s="31" t="s">
        <v>140</v>
      </c>
      <c r="AD15" s="32"/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31">
        <v>3</v>
      </c>
      <c r="U16" s="31">
        <v>3</v>
      </c>
      <c r="V16" s="31">
        <v>3</v>
      </c>
      <c r="W16" s="31">
        <v>3</v>
      </c>
      <c r="X16" s="31">
        <f>AVERAGE(3,3,2.5)</f>
      </c>
      <c r="Y16" s="31">
        <v>3</v>
      </c>
      <c r="Z16" s="31">
        <v>3</v>
      </c>
      <c r="AA16" s="31">
        <v>3</v>
      </c>
      <c r="AB16" s="31"/>
      <c r="AC16" s="31">
        <v>2.5</v>
      </c>
      <c r="AD16" s="31"/>
      <c r="AE16" s="31">
        <v>2.5</v>
      </c>
      <c r="AF16" s="31">
        <v>3</v>
      </c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1406</v>
      </c>
      <c r="Y17" s="31" t="s">
        <v>138</v>
      </c>
      <c r="Z17" s="31" t="s">
        <v>138</v>
      </c>
      <c r="AA17" s="31" t="s">
        <v>138</v>
      </c>
      <c r="AB17" s="32"/>
      <c r="AC17" s="31" t="s">
        <v>169</v>
      </c>
      <c r="AD17" s="32"/>
      <c r="AE17" s="31" t="s">
        <v>169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f>AVERAGE(4,4,2)</f>
      </c>
      <c r="Y18" s="31">
        <v>4</v>
      </c>
      <c r="Z18" s="31">
        <v>4</v>
      </c>
      <c r="AA18" s="31">
        <v>4</v>
      </c>
      <c r="AB18" s="31"/>
      <c r="AC18" s="31">
        <v>2</v>
      </c>
      <c r="AD18" s="31"/>
      <c r="AE18" s="31">
        <v>2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30" t="s">
        <v>1489</v>
      </c>
      <c r="B21" s="40" t="s">
        <v>1490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2"/>
      <c r="AD21" s="3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8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87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4" width="13.576428571428572" customWidth="1" bestFit="1"/>
    <col min="39" max="39" style="43" width="13.576428571428572" customWidth="1" bestFit="1"/>
    <col min="40" max="40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5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3"/>
      <c r="AM1" s="2"/>
      <c r="AN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5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  <c r="AL2" s="3"/>
      <c r="AM2" s="2"/>
      <c r="AN2" s="2"/>
    </row>
    <row x14ac:dyDescent="0.25" r="3" customHeight="1" ht="18.75">
      <c r="A3" s="1" t="s">
        <v>2</v>
      </c>
      <c r="B3" s="5">
        <v>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58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3"/>
      <c r="AM3" s="2"/>
      <c r="AN3" s="2"/>
    </row>
    <row x14ac:dyDescent="0.25" r="4" customHeight="1" ht="18.75">
      <c r="A4" s="1" t="s">
        <v>4</v>
      </c>
      <c r="B4" s="7" t="s">
        <v>1468</v>
      </c>
      <c r="C4" s="7"/>
      <c r="D4" s="7"/>
      <c r="E4" s="2"/>
      <c r="F4" s="124" t="s">
        <v>1474</v>
      </c>
      <c r="G4" s="92"/>
      <c r="H4" s="92"/>
      <c r="I4" s="92"/>
      <c r="J4" s="92"/>
      <c r="K4" s="92"/>
      <c r="L4" s="92"/>
      <c r="M4" s="92"/>
      <c r="N4" s="92"/>
      <c r="O4" s="125"/>
      <c r="P4" s="58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3"/>
      <c r="AM4" s="2"/>
      <c r="AN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58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3"/>
      <c r="AM5" s="2"/>
      <c r="AN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58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3"/>
      <c r="AM6" s="2"/>
      <c r="AN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12" t="s">
        <v>41</v>
      </c>
      <c r="AK7" s="112" t="s">
        <v>42</v>
      </c>
      <c r="AL7" s="3"/>
      <c r="AM7" s="99" t="s">
        <v>12</v>
      </c>
      <c r="AN7" s="102" t="s">
        <v>25</v>
      </c>
    </row>
    <row x14ac:dyDescent="0.25" r="8" customHeight="1" ht="18.75">
      <c r="A8" s="30" t="s">
        <v>43</v>
      </c>
      <c r="B8" s="33" t="s">
        <v>141</v>
      </c>
      <c r="C8" s="33" t="s">
        <v>327</v>
      </c>
      <c r="D8" s="33" t="s">
        <v>327</v>
      </c>
      <c r="E8" s="33" t="s">
        <v>327</v>
      </c>
      <c r="F8" s="33" t="s">
        <v>327</v>
      </c>
      <c r="G8" s="33" t="s">
        <v>327</v>
      </c>
      <c r="H8" s="33" t="s">
        <v>327</v>
      </c>
      <c r="I8" s="33" t="s">
        <v>327</v>
      </c>
      <c r="J8" s="33" t="s">
        <v>327</v>
      </c>
      <c r="K8" s="33" t="s">
        <v>327</v>
      </c>
      <c r="L8" s="33" t="s">
        <v>327</v>
      </c>
      <c r="M8" s="33" t="s">
        <v>327</v>
      </c>
      <c r="N8" s="33" t="s">
        <v>327</v>
      </c>
      <c r="O8" s="33" t="s">
        <v>327</v>
      </c>
      <c r="P8" s="33" t="s">
        <v>327</v>
      </c>
      <c r="Q8" s="33" t="s">
        <v>327</v>
      </c>
      <c r="R8" s="33" t="s">
        <v>327</v>
      </c>
      <c r="S8" s="33" t="s">
        <v>327</v>
      </c>
      <c r="T8" s="33" t="s">
        <v>327</v>
      </c>
      <c r="U8" s="33" t="s">
        <v>327</v>
      </c>
      <c r="V8" s="33" t="s">
        <v>327</v>
      </c>
      <c r="W8" s="33" t="s">
        <v>327</v>
      </c>
      <c r="X8" s="33" t="s">
        <v>327</v>
      </c>
      <c r="Y8" s="33" t="s">
        <v>327</v>
      </c>
      <c r="Z8" s="33" t="s">
        <v>327</v>
      </c>
      <c r="AA8" s="33" t="s">
        <v>327</v>
      </c>
      <c r="AB8" s="33" t="s">
        <v>327</v>
      </c>
      <c r="AC8" s="33" t="s">
        <v>327</v>
      </c>
      <c r="AD8" s="33" t="s">
        <v>327</v>
      </c>
      <c r="AE8" s="33" t="s">
        <v>327</v>
      </c>
      <c r="AF8" s="33" t="s">
        <v>327</v>
      </c>
      <c r="AG8" s="33" t="s">
        <v>327</v>
      </c>
      <c r="AH8" s="33" t="s">
        <v>327</v>
      </c>
      <c r="AI8" s="3"/>
      <c r="AJ8" s="33" t="s">
        <v>286</v>
      </c>
      <c r="AK8" s="33" t="s">
        <v>329</v>
      </c>
      <c r="AL8" s="3"/>
      <c r="AM8" s="33" t="s">
        <v>327</v>
      </c>
      <c r="AN8" s="33" t="s">
        <v>327</v>
      </c>
    </row>
    <row x14ac:dyDescent="0.25" r="9" customHeight="1" ht="18.75">
      <c r="A9" s="30" t="s">
        <v>45</v>
      </c>
      <c r="B9" s="33" t="s">
        <v>142</v>
      </c>
      <c r="C9" s="33" t="s">
        <v>142</v>
      </c>
      <c r="D9" s="33" t="s">
        <v>142</v>
      </c>
      <c r="E9" s="33" t="s">
        <v>142</v>
      </c>
      <c r="F9" s="33" t="s">
        <v>142</v>
      </c>
      <c r="G9" s="33" t="s">
        <v>142</v>
      </c>
      <c r="H9" s="33" t="s">
        <v>142</v>
      </c>
      <c r="I9" s="33" t="s">
        <v>142</v>
      </c>
      <c r="J9" s="33" t="s">
        <v>142</v>
      </c>
      <c r="K9" s="33" t="s">
        <v>142</v>
      </c>
      <c r="L9" s="33" t="s">
        <v>142</v>
      </c>
      <c r="M9" s="33" t="s">
        <v>142</v>
      </c>
      <c r="N9" s="33" t="s">
        <v>142</v>
      </c>
      <c r="O9" s="33" t="s">
        <v>142</v>
      </c>
      <c r="P9" s="33" t="s">
        <v>142</v>
      </c>
      <c r="Q9" s="33" t="s">
        <v>142</v>
      </c>
      <c r="R9" s="33" t="s">
        <v>142</v>
      </c>
      <c r="S9" s="33" t="s">
        <v>142</v>
      </c>
      <c r="T9" s="33" t="s">
        <v>142</v>
      </c>
      <c r="U9" s="33" t="s">
        <v>142</v>
      </c>
      <c r="V9" s="33" t="s">
        <v>142</v>
      </c>
      <c r="W9" s="33" t="s">
        <v>142</v>
      </c>
      <c r="X9" s="33" t="s">
        <v>142</v>
      </c>
      <c r="Y9" s="33" t="s">
        <v>142</v>
      </c>
      <c r="Z9" s="33" t="s">
        <v>142</v>
      </c>
      <c r="AA9" s="33" t="s">
        <v>142</v>
      </c>
      <c r="AB9" s="33" t="s">
        <v>142</v>
      </c>
      <c r="AC9" s="33" t="s">
        <v>142</v>
      </c>
      <c r="AD9" s="33" t="s">
        <v>142</v>
      </c>
      <c r="AE9" s="33" t="s">
        <v>142</v>
      </c>
      <c r="AF9" s="33" t="s">
        <v>142</v>
      </c>
      <c r="AG9" s="33" t="s">
        <v>142</v>
      </c>
      <c r="AH9" s="33" t="s">
        <v>142</v>
      </c>
      <c r="AI9" s="3"/>
      <c r="AJ9" s="33" t="s">
        <v>293</v>
      </c>
      <c r="AK9" s="33" t="s">
        <v>293</v>
      </c>
      <c r="AL9" s="3"/>
      <c r="AM9" s="31" t="s">
        <v>294</v>
      </c>
      <c r="AN9" s="33" t="s">
        <v>293</v>
      </c>
    </row>
    <row x14ac:dyDescent="0.25" r="10" customHeight="1" ht="18.75">
      <c r="A10" s="35" t="s">
        <v>47</v>
      </c>
      <c r="B10" s="196">
        <v>5</v>
      </c>
      <c r="C10" s="196">
        <v>5</v>
      </c>
      <c r="D10" s="196">
        <v>5</v>
      </c>
      <c r="E10" s="196">
        <v>5</v>
      </c>
      <c r="F10" s="196">
        <v>5</v>
      </c>
      <c r="G10" s="196">
        <v>5</v>
      </c>
      <c r="H10" s="196">
        <v>5</v>
      </c>
      <c r="I10" s="196">
        <v>5</v>
      </c>
      <c r="J10" s="196">
        <v>5</v>
      </c>
      <c r="K10" s="196">
        <v>5</v>
      </c>
      <c r="L10" s="196">
        <v>5</v>
      </c>
      <c r="M10" s="196">
        <v>5</v>
      </c>
      <c r="N10" s="196">
        <v>5</v>
      </c>
      <c r="O10" s="196">
        <v>5</v>
      </c>
      <c r="P10" s="196">
        <v>5</v>
      </c>
      <c r="Q10" s="196">
        <v>5</v>
      </c>
      <c r="R10" s="196">
        <v>5</v>
      </c>
      <c r="S10" s="196">
        <v>5</v>
      </c>
      <c r="T10" s="196">
        <v>5</v>
      </c>
      <c r="U10" s="196">
        <v>5</v>
      </c>
      <c r="V10" s="196">
        <v>5</v>
      </c>
      <c r="W10" s="196">
        <v>5</v>
      </c>
      <c r="X10" s="196">
        <v>5</v>
      </c>
      <c r="Y10" s="196">
        <v>5</v>
      </c>
      <c r="Z10" s="196">
        <v>5</v>
      </c>
      <c r="AA10" s="196">
        <v>5</v>
      </c>
      <c r="AB10" s="196">
        <v>5</v>
      </c>
      <c r="AC10" s="196">
        <v>5</v>
      </c>
      <c r="AD10" s="196">
        <v>5</v>
      </c>
      <c r="AE10" s="196">
        <v>5</v>
      </c>
      <c r="AF10" s="196">
        <v>5</v>
      </c>
      <c r="AG10" s="196">
        <v>5</v>
      </c>
      <c r="AH10" s="196">
        <v>5</v>
      </c>
      <c r="AI10" s="3"/>
      <c r="AJ10" s="196">
        <v>26</v>
      </c>
      <c r="AK10" s="196">
        <v>26</v>
      </c>
      <c r="AL10" s="3"/>
      <c r="AM10" s="196">
        <v>34</v>
      </c>
      <c r="AN10" s="196">
        <v>26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  <c r="AK11" s="31" t="s">
        <v>52</v>
      </c>
      <c r="AL11" s="3"/>
      <c r="AM11" s="33" t="s">
        <v>52</v>
      </c>
      <c r="AN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1" t="s">
        <v>49</v>
      </c>
      <c r="AK12" s="31" t="s">
        <v>49</v>
      </c>
      <c r="AL12" s="3"/>
      <c r="AM12" s="31" t="s">
        <v>49</v>
      </c>
      <c r="AN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52</v>
      </c>
      <c r="AK13" s="31" t="s">
        <v>52</v>
      </c>
      <c r="AL13" s="3"/>
      <c r="AM13" s="31" t="s">
        <v>52</v>
      </c>
      <c r="AN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"/>
      <c r="AM14" s="31" t="s">
        <v>49</v>
      </c>
      <c r="AN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143</v>
      </c>
      <c r="AK15" s="31" t="s">
        <v>143</v>
      </c>
      <c r="AL15" s="3"/>
      <c r="AM15" s="31" t="s">
        <v>133</v>
      </c>
      <c r="AN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>
        <f>5/3</f>
      </c>
      <c r="S16" s="31">
        <f>5/3</f>
      </c>
      <c r="T16" s="31">
        <f>5/3</f>
      </c>
      <c r="U16" s="31">
        <f>5/3</f>
      </c>
      <c r="V16" s="31">
        <f>5/3</f>
      </c>
      <c r="W16" s="31">
        <f>5/3</f>
      </c>
      <c r="X16" s="31">
        <f>5/3</f>
      </c>
      <c r="Y16" s="31">
        <f>5/3</f>
      </c>
      <c r="Z16" s="31">
        <f>5/3</f>
      </c>
      <c r="AA16" s="31">
        <f>5/3</f>
      </c>
      <c r="AB16" s="31">
        <f>5/3</f>
      </c>
      <c r="AC16" s="31">
        <f>5/3</f>
      </c>
      <c r="AD16" s="31">
        <f>5/3</f>
      </c>
      <c r="AE16" s="31">
        <f>5/3</f>
      </c>
      <c r="AF16" s="31">
        <f>5/3</f>
      </c>
      <c r="AG16" s="31">
        <f>5/3</f>
      </c>
      <c r="AH16" s="31">
        <f>5/3</f>
      </c>
      <c r="AI16" s="3"/>
      <c r="AJ16" s="31">
        <f>4/3</f>
      </c>
      <c r="AK16" s="31">
        <f>4/3</f>
      </c>
      <c r="AL16" s="3"/>
      <c r="AM16" s="31">
        <v>-0.5</v>
      </c>
      <c r="AN16" s="31">
        <f>4/3</f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  <c r="AI17" s="3"/>
      <c r="AJ17" s="31" t="s">
        <v>274</v>
      </c>
      <c r="AK17" s="31" t="s">
        <v>274</v>
      </c>
      <c r="AL17" s="3"/>
      <c r="AM17" s="31" t="s">
        <v>274</v>
      </c>
      <c r="AN17" s="31" t="s">
        <v>274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  <c r="AI18" s="3"/>
      <c r="AJ18" s="31">
        <v>3</v>
      </c>
      <c r="AK18" s="31">
        <v>3</v>
      </c>
      <c r="AL18" s="3"/>
      <c r="AM18" s="31">
        <v>3</v>
      </c>
      <c r="AN18" s="31">
        <v>3</v>
      </c>
    </row>
    <row x14ac:dyDescent="0.25" r="19" customHeight="1" ht="18.75">
      <c r="A19" s="46"/>
      <c r="B19" s="2"/>
      <c r="C19" s="2"/>
      <c r="D19" s="138" t="s">
        <v>1475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5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38" t="s">
        <v>1476</v>
      </c>
      <c r="AH19" s="138"/>
      <c r="AI19" s="3"/>
      <c r="AJ19" s="138" t="s">
        <v>1477</v>
      </c>
      <c r="AK19" s="138"/>
      <c r="AL19" s="3"/>
      <c r="AM19" s="121" t="s">
        <v>1478</v>
      </c>
      <c r="AN19" s="121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58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  <c r="AL20" s="3"/>
      <c r="AM20" s="2"/>
      <c r="AN20" s="2"/>
    </row>
    <row x14ac:dyDescent="0.25" r="21" customHeight="1" ht="18.75">
      <c r="A21" s="123" t="s">
        <v>1479</v>
      </c>
      <c r="B21" s="214" t="s">
        <v>1456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58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  <c r="AL21" s="3"/>
      <c r="AM21" s="2"/>
      <c r="AN21" s="2"/>
    </row>
    <row x14ac:dyDescent="0.25" r="22" customHeight="1" ht="18.75">
      <c r="A22" s="207" t="s">
        <v>1480</v>
      </c>
      <c r="B22" s="214" t="s">
        <v>1456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58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3"/>
      <c r="AM22" s="2"/>
      <c r="AN22" s="2"/>
    </row>
    <row x14ac:dyDescent="0.25" r="23" customHeight="1" ht="18.75">
      <c r="A23" s="123"/>
      <c r="B23" s="214" t="s">
        <v>1481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58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  <c r="AK23" s="2"/>
      <c r="AL23" s="3"/>
      <c r="AM23" s="2"/>
      <c r="AN23" s="2"/>
    </row>
    <row x14ac:dyDescent="0.25" r="24" customHeight="1" ht="18.75">
      <c r="A24" s="207" t="s">
        <v>1482</v>
      </c>
      <c r="B24" s="214" t="s">
        <v>1456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8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  <c r="AK24" s="2"/>
      <c r="AL24" s="3"/>
      <c r="AM24" s="2"/>
      <c r="AN24" s="2"/>
    </row>
    <row x14ac:dyDescent="0.25" r="25" customHeight="1" ht="18.75">
      <c r="A25" s="123"/>
      <c r="B25" s="214" t="s">
        <v>1483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58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  <c r="AJ25" s="2"/>
      <c r="AK25" s="2"/>
      <c r="AL25" s="3"/>
      <c r="AM25" s="2"/>
      <c r="AN25" s="2"/>
    </row>
    <row x14ac:dyDescent="0.25" r="26" customHeight="1" ht="18.75">
      <c r="A26" s="123"/>
      <c r="B26" s="214" t="s">
        <v>1481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58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3"/>
      <c r="AJ26" s="2"/>
      <c r="AK26" s="2"/>
      <c r="AL26" s="3"/>
      <c r="AM26" s="2"/>
      <c r="AN26" s="2"/>
    </row>
    <row x14ac:dyDescent="0.25" r="27" customHeight="1" ht="18.75">
      <c r="A27" s="4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8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  <c r="AJ27" s="2"/>
      <c r="AK27" s="2"/>
      <c r="AL27" s="3"/>
      <c r="AM27" s="2"/>
      <c r="AN27" s="2"/>
    </row>
    <row x14ac:dyDescent="0.25" r="28" customHeight="1" ht="64.5">
      <c r="A28" s="215" t="s">
        <v>896</v>
      </c>
      <c r="B28" s="216" t="s">
        <v>1467</v>
      </c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  <c r="AJ28" s="2"/>
      <c r="AK28" s="2"/>
      <c r="AL28" s="3"/>
      <c r="AM28" s="2"/>
      <c r="AN28" s="2"/>
    </row>
  </sheetData>
  <mergeCells count="11">
    <mergeCell ref="B3:D3"/>
    <mergeCell ref="F3:O3"/>
    <mergeCell ref="B4:D4"/>
    <mergeCell ref="F4:O5"/>
    <mergeCell ref="B5:D5"/>
    <mergeCell ref="AG19:AH19"/>
    <mergeCell ref="AJ19:AK19"/>
    <mergeCell ref="AM19:AN19"/>
    <mergeCell ref="A22:A23"/>
    <mergeCell ref="A24:A26"/>
    <mergeCell ref="B28:N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2"/>
  <sheetViews>
    <sheetView workbookViewId="0" tabSelected="1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1468</v>
      </c>
      <c r="C4" s="7"/>
      <c r="D4" s="7"/>
      <c r="E4" s="2"/>
      <c r="F4" s="124" t="s">
        <v>1469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02" t="s">
        <v>25</v>
      </c>
    </row>
    <row x14ac:dyDescent="0.25" r="8" customHeight="1" ht="18.75">
      <c r="A8" s="30" t="s">
        <v>43</v>
      </c>
      <c r="B8" s="33" t="s">
        <v>141</v>
      </c>
      <c r="C8" s="33" t="s">
        <v>327</v>
      </c>
      <c r="D8" s="33" t="s">
        <v>327</v>
      </c>
      <c r="E8" s="33" t="s">
        <v>327</v>
      </c>
      <c r="F8" s="33" t="s">
        <v>327</v>
      </c>
      <c r="G8" s="33" t="s">
        <v>327</v>
      </c>
      <c r="H8" s="33" t="s">
        <v>327</v>
      </c>
      <c r="I8" s="33" t="s">
        <v>327</v>
      </c>
      <c r="J8" s="33" t="s">
        <v>327</v>
      </c>
      <c r="K8" s="33" t="s">
        <v>327</v>
      </c>
      <c r="L8" s="33" t="s">
        <v>327</v>
      </c>
      <c r="M8" s="33" t="s">
        <v>327</v>
      </c>
      <c r="N8" s="33" t="s">
        <v>327</v>
      </c>
      <c r="O8" s="33" t="s">
        <v>327</v>
      </c>
      <c r="P8" s="33" t="s">
        <v>327</v>
      </c>
      <c r="Q8" s="33" t="s">
        <v>327</v>
      </c>
      <c r="R8" s="33" t="s">
        <v>327</v>
      </c>
      <c r="S8" s="33" t="s">
        <v>327</v>
      </c>
      <c r="T8" s="33" t="s">
        <v>327</v>
      </c>
      <c r="U8" s="33" t="s">
        <v>327</v>
      </c>
      <c r="V8" s="33" t="s">
        <v>327</v>
      </c>
      <c r="W8" s="33" t="s">
        <v>327</v>
      </c>
      <c r="X8" s="33" t="s">
        <v>327</v>
      </c>
      <c r="Y8" s="33" t="s">
        <v>327</v>
      </c>
      <c r="Z8" s="33" t="s">
        <v>327</v>
      </c>
      <c r="AA8" s="33" t="s">
        <v>327</v>
      </c>
      <c r="AB8" s="33" t="s">
        <v>327</v>
      </c>
      <c r="AC8" s="33" t="s">
        <v>327</v>
      </c>
      <c r="AD8" s="33" t="s">
        <v>327</v>
      </c>
      <c r="AE8" s="33" t="s">
        <v>327</v>
      </c>
      <c r="AF8" s="33" t="s">
        <v>327</v>
      </c>
      <c r="AG8" s="33" t="s">
        <v>327</v>
      </c>
      <c r="AH8" s="33" t="s">
        <v>327</v>
      </c>
      <c r="AI8" s="3"/>
      <c r="AJ8" s="33" t="s">
        <v>327</v>
      </c>
    </row>
    <row x14ac:dyDescent="0.25" r="9" customHeight="1" ht="18.75">
      <c r="A9" s="30" t="s">
        <v>45</v>
      </c>
      <c r="B9" s="33" t="s">
        <v>142</v>
      </c>
      <c r="C9" s="33" t="s">
        <v>142</v>
      </c>
      <c r="D9" s="33" t="s">
        <v>142</v>
      </c>
      <c r="E9" s="33" t="s">
        <v>142</v>
      </c>
      <c r="F9" s="33" t="s">
        <v>142</v>
      </c>
      <c r="G9" s="33" t="s">
        <v>142</v>
      </c>
      <c r="H9" s="33" t="s">
        <v>142</v>
      </c>
      <c r="I9" s="33" t="s">
        <v>142</v>
      </c>
      <c r="J9" s="33" t="s">
        <v>142</v>
      </c>
      <c r="K9" s="33" t="s">
        <v>142</v>
      </c>
      <c r="L9" s="33" t="s">
        <v>142</v>
      </c>
      <c r="M9" s="33" t="s">
        <v>142</v>
      </c>
      <c r="N9" s="33" t="s">
        <v>142</v>
      </c>
      <c r="O9" s="33" t="s">
        <v>142</v>
      </c>
      <c r="P9" s="33" t="s">
        <v>142</v>
      </c>
      <c r="Q9" s="33" t="s">
        <v>142</v>
      </c>
      <c r="R9" s="33" t="s">
        <v>142</v>
      </c>
      <c r="S9" s="33" t="s">
        <v>142</v>
      </c>
      <c r="T9" s="33" t="s">
        <v>142</v>
      </c>
      <c r="U9" s="33" t="s">
        <v>142</v>
      </c>
      <c r="V9" s="33" t="s">
        <v>142</v>
      </c>
      <c r="W9" s="33" t="s">
        <v>142</v>
      </c>
      <c r="X9" s="33" t="s">
        <v>142</v>
      </c>
      <c r="Y9" s="33" t="s">
        <v>142</v>
      </c>
      <c r="Z9" s="33" t="s">
        <v>142</v>
      </c>
      <c r="AA9" s="33" t="s">
        <v>142</v>
      </c>
      <c r="AB9" s="33" t="s">
        <v>142</v>
      </c>
      <c r="AC9" s="33" t="s">
        <v>142</v>
      </c>
      <c r="AD9" s="33" t="s">
        <v>142</v>
      </c>
      <c r="AE9" s="33" t="s">
        <v>142</v>
      </c>
      <c r="AF9" s="33" t="s">
        <v>142</v>
      </c>
      <c r="AG9" s="33" t="s">
        <v>142</v>
      </c>
      <c r="AH9" s="33" t="s">
        <v>142</v>
      </c>
      <c r="AI9" s="3"/>
      <c r="AJ9" s="33" t="s">
        <v>293</v>
      </c>
    </row>
    <row x14ac:dyDescent="0.25" r="10" customHeight="1" ht="18.75">
      <c r="A10" s="35" t="s">
        <v>47</v>
      </c>
      <c r="B10" s="196">
        <v>5</v>
      </c>
      <c r="C10" s="196">
        <v>5</v>
      </c>
      <c r="D10" s="196">
        <v>5</v>
      </c>
      <c r="E10" s="196">
        <v>5</v>
      </c>
      <c r="F10" s="196">
        <v>5</v>
      </c>
      <c r="G10" s="196">
        <v>5</v>
      </c>
      <c r="H10" s="196">
        <v>5</v>
      </c>
      <c r="I10" s="196">
        <v>5</v>
      </c>
      <c r="J10" s="196">
        <v>5</v>
      </c>
      <c r="K10" s="196">
        <v>5</v>
      </c>
      <c r="L10" s="196">
        <v>5</v>
      </c>
      <c r="M10" s="196">
        <v>5</v>
      </c>
      <c r="N10" s="196">
        <v>5</v>
      </c>
      <c r="O10" s="196">
        <v>5</v>
      </c>
      <c r="P10" s="196">
        <v>5</v>
      </c>
      <c r="Q10" s="196">
        <v>5</v>
      </c>
      <c r="R10" s="196">
        <v>5</v>
      </c>
      <c r="S10" s="196">
        <v>5</v>
      </c>
      <c r="T10" s="196">
        <v>5</v>
      </c>
      <c r="U10" s="196">
        <v>5</v>
      </c>
      <c r="V10" s="196">
        <v>5</v>
      </c>
      <c r="W10" s="196">
        <v>5</v>
      </c>
      <c r="X10" s="196">
        <v>5</v>
      </c>
      <c r="Y10" s="196">
        <v>5</v>
      </c>
      <c r="Z10" s="196">
        <v>5</v>
      </c>
      <c r="AA10" s="196">
        <v>5</v>
      </c>
      <c r="AB10" s="196">
        <v>5</v>
      </c>
      <c r="AC10" s="196">
        <v>5</v>
      </c>
      <c r="AD10" s="196">
        <v>5</v>
      </c>
      <c r="AE10" s="196">
        <v>5</v>
      </c>
      <c r="AF10" s="196">
        <v>5</v>
      </c>
      <c r="AG10" s="196">
        <v>5</v>
      </c>
      <c r="AH10" s="196">
        <v>5</v>
      </c>
      <c r="AI10" s="3"/>
      <c r="AJ10" s="196">
        <v>26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>
        <f>5/3</f>
      </c>
      <c r="S16" s="31">
        <f>5/3</f>
      </c>
      <c r="T16" s="31">
        <f>5/3</f>
      </c>
      <c r="U16" s="31">
        <f>5/3</f>
      </c>
      <c r="V16" s="31">
        <f>5/3</f>
      </c>
      <c r="W16" s="31">
        <f>5/3</f>
      </c>
      <c r="X16" s="31">
        <f>5/3</f>
      </c>
      <c r="Y16" s="31">
        <f>5/3</f>
      </c>
      <c r="Z16" s="31">
        <f>5/3</f>
      </c>
      <c r="AA16" s="31">
        <f>5/3</f>
      </c>
      <c r="AB16" s="31">
        <f>5/3</f>
      </c>
      <c r="AC16" s="31">
        <f>5/3</f>
      </c>
      <c r="AD16" s="31">
        <f>5/3</f>
      </c>
      <c r="AE16" s="31">
        <f>5/3</f>
      </c>
      <c r="AF16" s="31">
        <f>5/3</f>
      </c>
      <c r="AG16" s="31">
        <f>5/3</f>
      </c>
      <c r="AH16" s="31">
        <f>5/3</f>
      </c>
      <c r="AI16" s="3"/>
      <c r="AJ16" s="31">
        <f>4/3</f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  <c r="AI17" s="3"/>
      <c r="AJ17" s="31" t="s">
        <v>274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  <c r="AI18" s="3"/>
      <c r="AJ18" s="31">
        <v>3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38" t="s">
        <v>1470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138" t="s">
        <v>1471</v>
      </c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30" t="s">
        <v>1472</v>
      </c>
      <c r="B21" s="40" t="s">
        <v>1456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</row>
    <row x14ac:dyDescent="0.25" r="22" customHeight="1" ht="18.75">
      <c r="A22" s="30" t="s">
        <v>1473</v>
      </c>
      <c r="B22" s="40" t="s">
        <v>1456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28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5.719285714285714" customWidth="1" bestFit="1"/>
    <col min="3" max="3" style="43" width="5.719285714285714" customWidth="1" bestFit="1"/>
    <col min="4" max="4" style="43" width="5.719285714285714" customWidth="1" bestFit="1"/>
    <col min="5" max="5" style="43" width="5.719285714285714" customWidth="1" bestFit="1"/>
    <col min="6" max="6" style="43" width="5.719285714285714" customWidth="1" bestFit="1"/>
    <col min="7" max="7" style="43" width="5.719285714285714" customWidth="1" bestFit="1"/>
    <col min="8" max="8" style="43" width="5.719285714285714" customWidth="1" bestFit="1"/>
    <col min="9" max="9" style="43" width="5.719285714285714" customWidth="1" bestFit="1"/>
    <col min="10" max="10" style="43" width="5.719285714285714" customWidth="1" bestFit="1"/>
    <col min="11" max="11" style="43" width="5.719285714285714" customWidth="1" bestFit="1"/>
    <col min="12" max="12" style="43" width="5.719285714285714" customWidth="1" bestFit="1"/>
    <col min="13" max="13" style="43" width="5.719285714285714" customWidth="1" bestFit="1"/>
    <col min="14" max="14" style="43" width="5.719285714285714" customWidth="1" bestFit="1"/>
    <col min="15" max="15" style="43" width="5.719285714285714" customWidth="1" bestFit="1"/>
    <col min="16" max="16" style="87" width="5.719285714285714" customWidth="1" bestFit="1"/>
    <col min="17" max="17" style="43" width="5.719285714285714" customWidth="1" bestFit="1"/>
    <col min="18" max="18" style="43" width="5.719285714285714" customWidth="1" bestFit="1"/>
    <col min="19" max="19" style="43" width="5.719285714285714" customWidth="1" bestFit="1"/>
    <col min="20" max="20" style="44" width="5.719285714285714" customWidth="1" bestFit="1"/>
    <col min="21" max="21" style="43" width="5.719285714285714" customWidth="1" bestFit="1"/>
    <col min="22" max="22" style="43" width="5.719285714285714" customWidth="1" bestFit="1"/>
    <col min="23" max="23" style="43" width="5.719285714285714" customWidth="1" bestFit="1"/>
    <col min="24" max="24" style="43" width="5.719285714285714" customWidth="1" bestFit="1"/>
    <col min="25" max="25" style="43" width="5.719285714285714" customWidth="1" bestFit="1"/>
    <col min="26" max="26" style="44" width="5.719285714285714" customWidth="1" bestFit="1"/>
    <col min="27" max="27" style="43" width="5.719285714285714" customWidth="1" bestFit="1"/>
    <col min="28" max="28" style="43" width="5.719285714285714" customWidth="1" bestFit="1"/>
    <col min="29" max="29" style="43" width="5.719285714285714" customWidth="1" bestFit="1"/>
    <col min="30" max="30" style="43" width="5.719285714285714" customWidth="1" bestFit="1"/>
    <col min="31" max="31" style="43" width="5.719285714285714" customWidth="1" bestFit="1"/>
    <col min="32" max="32" style="43" width="5.719285714285714" customWidth="1" bestFit="1"/>
    <col min="33" max="33" style="43" width="5.719285714285714" customWidth="1" bestFit="1"/>
    <col min="34" max="34" style="43" width="5.719285714285714" customWidth="1" bestFit="1"/>
    <col min="35" max="35" style="44" width="5.719285714285714" customWidth="1" bestFit="1"/>
    <col min="36" max="36" style="43" width="5.719285714285714" customWidth="1" bestFit="1"/>
    <col min="37" max="37" style="43" width="5.719285714285714" customWidth="1" bestFit="1"/>
    <col min="38" max="38" style="44" width="5.719285714285714" customWidth="1" bestFit="1"/>
    <col min="39" max="39" style="43" width="5.719285714285714" customWidth="1" bestFit="1"/>
    <col min="40" max="40" style="44" width="13.576428571428572" customWidth="1" bestFit="1" hidden="1"/>
    <col min="41" max="41" style="44" width="13.576428571428572" customWidth="1" bestFit="1" hidden="1"/>
    <col min="42" max="42" style="44" width="13.576428571428572" customWidth="1" bestFit="1" hidden="1"/>
    <col min="43" max="43" style="43" width="5.719285714285714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58"/>
      <c r="Q1" s="2"/>
      <c r="R1" s="2"/>
      <c r="S1" s="2"/>
      <c r="T1" s="3"/>
      <c r="U1" s="2"/>
      <c r="V1" s="2"/>
      <c r="W1" s="2"/>
      <c r="X1" s="2"/>
      <c r="Y1" s="2"/>
      <c r="Z1" s="3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3"/>
      <c r="AM1" s="2"/>
      <c r="AN1" s="3"/>
      <c r="AO1" s="3"/>
      <c r="AP1" s="3"/>
      <c r="AQ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58"/>
      <c r="Q2" s="2"/>
      <c r="R2" s="2"/>
      <c r="S2" s="2"/>
      <c r="T2" s="3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  <c r="AL2" s="3"/>
      <c r="AM2" s="2"/>
      <c r="AN2" s="3"/>
      <c r="AO2" s="3"/>
      <c r="AP2" s="3"/>
      <c r="AQ2" s="2"/>
    </row>
    <row x14ac:dyDescent="0.25" r="3" customHeight="1" ht="18.75">
      <c r="A3" s="1" t="s">
        <v>2</v>
      </c>
      <c r="B3" s="5">
        <v>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58"/>
      <c r="Q3" s="2"/>
      <c r="R3" s="2"/>
      <c r="S3" s="2"/>
      <c r="T3" s="3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3"/>
      <c r="AM3" s="2"/>
      <c r="AN3" s="3"/>
      <c r="AO3" s="3"/>
      <c r="AP3" s="3"/>
      <c r="AQ3" s="2"/>
    </row>
    <row x14ac:dyDescent="0.25" r="4" customHeight="1" ht="18.75">
      <c r="A4" s="1" t="s">
        <v>4</v>
      </c>
      <c r="B4" s="7" t="s">
        <v>1447</v>
      </c>
      <c r="C4" s="7"/>
      <c r="D4" s="7"/>
      <c r="E4" s="2"/>
      <c r="F4" s="124" t="s">
        <v>1457</v>
      </c>
      <c r="G4" s="92"/>
      <c r="H4" s="92"/>
      <c r="I4" s="92"/>
      <c r="J4" s="92"/>
      <c r="K4" s="92"/>
      <c r="L4" s="92"/>
      <c r="M4" s="92"/>
      <c r="N4" s="92"/>
      <c r="O4" s="125"/>
      <c r="P4" s="58"/>
      <c r="Q4" s="2"/>
      <c r="R4" s="2"/>
      <c r="S4" s="2"/>
      <c r="T4" s="3"/>
      <c r="U4" s="2"/>
      <c r="V4" s="2"/>
      <c r="W4" s="2"/>
      <c r="X4" s="2"/>
      <c r="Y4" s="2"/>
      <c r="Z4" s="3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3"/>
      <c r="AM4" s="2"/>
      <c r="AN4" s="3"/>
      <c r="AO4" s="3"/>
      <c r="AP4" s="3"/>
      <c r="AQ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58"/>
      <c r="Q5" s="2"/>
      <c r="R5" s="2"/>
      <c r="S5" s="2"/>
      <c r="T5" s="3"/>
      <c r="U5" s="2"/>
      <c r="V5" s="2"/>
      <c r="W5" s="2"/>
      <c r="X5" s="2"/>
      <c r="Y5" s="2"/>
      <c r="Z5" s="3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3"/>
      <c r="AM5" s="2"/>
      <c r="AN5" s="3"/>
      <c r="AO5" s="3"/>
      <c r="AP5" s="3"/>
      <c r="AQ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58"/>
      <c r="Q6" s="2"/>
      <c r="R6" s="2"/>
      <c r="S6" s="2"/>
      <c r="T6" s="3"/>
      <c r="U6" s="2"/>
      <c r="V6" s="2"/>
      <c r="W6" s="2"/>
      <c r="X6" s="2"/>
      <c r="Y6" s="2"/>
      <c r="Z6" s="3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3"/>
      <c r="AM6" s="2"/>
      <c r="AN6" s="3"/>
      <c r="AO6" s="3"/>
      <c r="AP6" s="3"/>
      <c r="AQ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76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56" t="s">
        <v>41</v>
      </c>
      <c r="AH7" s="56" t="s">
        <v>42</v>
      </c>
      <c r="AI7" s="3"/>
      <c r="AJ7" s="56" t="s">
        <v>41</v>
      </c>
      <c r="AK7" s="56" t="s">
        <v>42</v>
      </c>
      <c r="AL7" s="62"/>
      <c r="AM7" s="99" t="s">
        <v>12</v>
      </c>
      <c r="AN7" s="3"/>
      <c r="AO7" s="3"/>
      <c r="AP7" s="3"/>
      <c r="AQ7" s="102" t="s">
        <v>25</v>
      </c>
    </row>
    <row x14ac:dyDescent="0.25" r="8" customHeight="1" ht="18.75">
      <c r="A8" s="30" t="s">
        <v>43</v>
      </c>
      <c r="B8" s="31" t="s">
        <v>143</v>
      </c>
      <c r="C8" s="31" t="s">
        <v>312</v>
      </c>
      <c r="D8" s="31" t="s">
        <v>312</v>
      </c>
      <c r="E8" s="31" t="s">
        <v>312</v>
      </c>
      <c r="F8" s="31" t="s">
        <v>312</v>
      </c>
      <c r="G8" s="31" t="s">
        <v>312</v>
      </c>
      <c r="H8" s="31" t="s">
        <v>312</v>
      </c>
      <c r="I8" s="31" t="s">
        <v>312</v>
      </c>
      <c r="J8" s="31" t="s">
        <v>312</v>
      </c>
      <c r="K8" s="31" t="s">
        <v>312</v>
      </c>
      <c r="L8" s="31" t="s">
        <v>312</v>
      </c>
      <c r="M8" s="31" t="s">
        <v>312</v>
      </c>
      <c r="N8" s="31" t="s">
        <v>312</v>
      </c>
      <c r="O8" s="31" t="s">
        <v>312</v>
      </c>
      <c r="P8" s="31" t="s">
        <v>312</v>
      </c>
      <c r="Q8" s="31" t="s">
        <v>312</v>
      </c>
      <c r="R8" s="31" t="s">
        <v>312</v>
      </c>
      <c r="S8" s="31" t="s">
        <v>312</v>
      </c>
      <c r="T8" s="34"/>
      <c r="U8" s="31" t="s">
        <v>312</v>
      </c>
      <c r="V8" s="31" t="s">
        <v>312</v>
      </c>
      <c r="W8" s="31" t="s">
        <v>312</v>
      </c>
      <c r="X8" s="31" t="s">
        <v>312</v>
      </c>
      <c r="Y8" s="31" t="s">
        <v>312</v>
      </c>
      <c r="Z8" s="34"/>
      <c r="AA8" s="31" t="s">
        <v>312</v>
      </c>
      <c r="AB8" s="31" t="s">
        <v>312</v>
      </c>
      <c r="AC8" s="33" t="s">
        <v>312</v>
      </c>
      <c r="AD8" s="31" t="s">
        <v>312</v>
      </c>
      <c r="AE8" s="33" t="s">
        <v>312</v>
      </c>
      <c r="AF8" s="31" t="s">
        <v>312</v>
      </c>
      <c r="AG8" s="31" t="s">
        <v>312</v>
      </c>
      <c r="AH8" s="31" t="s">
        <v>312</v>
      </c>
      <c r="AI8" s="3"/>
      <c r="AJ8" s="31" t="s">
        <v>581</v>
      </c>
      <c r="AK8" s="31" t="s">
        <v>411</v>
      </c>
      <c r="AL8" s="3"/>
      <c r="AM8" s="33" t="s">
        <v>312</v>
      </c>
      <c r="AN8" s="3"/>
      <c r="AO8" s="3"/>
      <c r="AP8" s="3"/>
      <c r="AQ8" s="33" t="s">
        <v>312</v>
      </c>
    </row>
    <row x14ac:dyDescent="0.25" r="9" customHeight="1" ht="18.75">
      <c r="A9" s="30" t="s">
        <v>45</v>
      </c>
      <c r="B9" s="31" t="s">
        <v>315</v>
      </c>
      <c r="C9" s="31" t="s">
        <v>315</v>
      </c>
      <c r="D9" s="31" t="s">
        <v>315</v>
      </c>
      <c r="E9" s="31" t="s">
        <v>315</v>
      </c>
      <c r="F9" s="31" t="s">
        <v>315</v>
      </c>
      <c r="G9" s="31" t="s">
        <v>315</v>
      </c>
      <c r="H9" s="31" t="s">
        <v>315</v>
      </c>
      <c r="I9" s="31" t="s">
        <v>315</v>
      </c>
      <c r="J9" s="31" t="s">
        <v>315</v>
      </c>
      <c r="K9" s="31" t="s">
        <v>315</v>
      </c>
      <c r="L9" s="31" t="s">
        <v>315</v>
      </c>
      <c r="M9" s="31" t="s">
        <v>315</v>
      </c>
      <c r="N9" s="31" t="s">
        <v>315</v>
      </c>
      <c r="O9" s="31" t="s">
        <v>315</v>
      </c>
      <c r="P9" s="31" t="s">
        <v>315</v>
      </c>
      <c r="Q9" s="31" t="s">
        <v>315</v>
      </c>
      <c r="R9" s="31" t="s">
        <v>315</v>
      </c>
      <c r="S9" s="31" t="s">
        <v>315</v>
      </c>
      <c r="T9" s="34"/>
      <c r="U9" s="31" t="s">
        <v>315</v>
      </c>
      <c r="V9" s="31" t="s">
        <v>315</v>
      </c>
      <c r="W9" s="31" t="s">
        <v>315</v>
      </c>
      <c r="X9" s="31" t="s">
        <v>315</v>
      </c>
      <c r="Y9" s="31" t="s">
        <v>315</v>
      </c>
      <c r="Z9" s="34"/>
      <c r="AA9" s="31" t="s">
        <v>315</v>
      </c>
      <c r="AB9" s="31" t="s">
        <v>315</v>
      </c>
      <c r="AC9" s="31" t="s">
        <v>1449</v>
      </c>
      <c r="AD9" s="31" t="s">
        <v>315</v>
      </c>
      <c r="AE9" s="31" t="s">
        <v>1449</v>
      </c>
      <c r="AF9" s="31" t="s">
        <v>315</v>
      </c>
      <c r="AG9" s="31" t="s">
        <v>315</v>
      </c>
      <c r="AH9" s="31" t="s">
        <v>315</v>
      </c>
      <c r="AI9" s="3"/>
      <c r="AJ9" s="31" t="s">
        <v>582</v>
      </c>
      <c r="AK9" s="31" t="s">
        <v>409</v>
      </c>
      <c r="AL9" s="3"/>
      <c r="AM9" s="31" t="s">
        <v>272</v>
      </c>
      <c r="AN9" s="3"/>
      <c r="AO9" s="3"/>
      <c r="AP9" s="3"/>
      <c r="AQ9" s="31" t="s">
        <v>582</v>
      </c>
    </row>
    <row x14ac:dyDescent="0.25" r="10" customHeight="1" ht="18.75">
      <c r="A10" s="35" t="s">
        <v>47</v>
      </c>
      <c r="B10" s="117">
        <v>6</v>
      </c>
      <c r="C10" s="117">
        <v>6</v>
      </c>
      <c r="D10" s="117">
        <v>6</v>
      </c>
      <c r="E10" s="117">
        <v>6</v>
      </c>
      <c r="F10" s="117">
        <v>6</v>
      </c>
      <c r="G10" s="117">
        <v>6</v>
      </c>
      <c r="H10" s="117">
        <v>6</v>
      </c>
      <c r="I10" s="117">
        <v>6</v>
      </c>
      <c r="J10" s="117">
        <v>6</v>
      </c>
      <c r="K10" s="117">
        <v>6</v>
      </c>
      <c r="L10" s="117">
        <v>6</v>
      </c>
      <c r="M10" s="117">
        <v>6</v>
      </c>
      <c r="N10" s="117">
        <v>6</v>
      </c>
      <c r="O10" s="117">
        <v>6</v>
      </c>
      <c r="P10" s="117">
        <v>6</v>
      </c>
      <c r="Q10" s="117">
        <v>6</v>
      </c>
      <c r="R10" s="117">
        <v>6</v>
      </c>
      <c r="S10" s="117">
        <v>6</v>
      </c>
      <c r="T10" s="254"/>
      <c r="U10" s="117">
        <v>6</v>
      </c>
      <c r="V10" s="117">
        <v>6</v>
      </c>
      <c r="W10" s="117">
        <v>6</v>
      </c>
      <c r="X10" s="117">
        <v>6</v>
      </c>
      <c r="Y10" s="117">
        <v>6</v>
      </c>
      <c r="Z10" s="254"/>
      <c r="AA10" s="117">
        <v>6</v>
      </c>
      <c r="AB10" s="117">
        <v>6</v>
      </c>
      <c r="AC10" s="196">
        <v>101</v>
      </c>
      <c r="AD10" s="117">
        <v>6</v>
      </c>
      <c r="AE10" s="196">
        <v>101</v>
      </c>
      <c r="AF10" s="117">
        <v>6</v>
      </c>
      <c r="AG10" s="117">
        <v>6</v>
      </c>
      <c r="AH10" s="117">
        <v>6</v>
      </c>
      <c r="AI10" s="3"/>
      <c r="AJ10" s="117">
        <v>27</v>
      </c>
      <c r="AK10" s="117">
        <v>49</v>
      </c>
      <c r="AL10" s="3"/>
      <c r="AM10" s="196">
        <v>35</v>
      </c>
      <c r="AN10" s="3"/>
      <c r="AO10" s="3"/>
      <c r="AP10" s="3"/>
      <c r="AQ10" s="117">
        <v>27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2"/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  <c r="AK11" s="31" t="s">
        <v>52</v>
      </c>
      <c r="AL11" s="3"/>
      <c r="AM11" s="33" t="s">
        <v>52</v>
      </c>
      <c r="AN11" s="3"/>
      <c r="AO11" s="3"/>
      <c r="AP11" s="3"/>
      <c r="AQ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2"/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2"/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  <c r="AI12" s="3"/>
      <c r="AJ12" s="31" t="s">
        <v>52</v>
      </c>
      <c r="AK12" s="31" t="s">
        <v>52</v>
      </c>
      <c r="AL12" s="3"/>
      <c r="AM12" s="31" t="s">
        <v>52</v>
      </c>
      <c r="AN12" s="3"/>
      <c r="AO12" s="3"/>
      <c r="AP12" s="3"/>
      <c r="AQ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2"/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2"/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52</v>
      </c>
      <c r="AK13" s="31" t="s">
        <v>52</v>
      </c>
      <c r="AL13" s="3"/>
      <c r="AM13" s="31" t="s">
        <v>52</v>
      </c>
      <c r="AN13" s="3"/>
      <c r="AO13" s="3"/>
      <c r="AP13" s="3"/>
      <c r="AQ13" s="31" t="s">
        <v>52</v>
      </c>
    </row>
    <row x14ac:dyDescent="0.25" r="14" customHeight="1" ht="18.75">
      <c r="A14" s="30" t="s">
        <v>126</v>
      </c>
      <c r="B14" s="33" t="s">
        <v>49</v>
      </c>
      <c r="C14" s="33" t="s">
        <v>49</v>
      </c>
      <c r="D14" s="33" t="s">
        <v>49</v>
      </c>
      <c r="E14" s="33" t="s">
        <v>49</v>
      </c>
      <c r="F14" s="33" t="s">
        <v>49</v>
      </c>
      <c r="G14" s="33" t="s">
        <v>49</v>
      </c>
      <c r="H14" s="33" t="s">
        <v>49</v>
      </c>
      <c r="I14" s="33" t="s">
        <v>49</v>
      </c>
      <c r="J14" s="33" t="s">
        <v>49</v>
      </c>
      <c r="K14" s="33" t="s">
        <v>49</v>
      </c>
      <c r="L14" s="33" t="s">
        <v>49</v>
      </c>
      <c r="M14" s="33" t="s">
        <v>49</v>
      </c>
      <c r="N14" s="33" t="s">
        <v>49</v>
      </c>
      <c r="O14" s="33" t="s">
        <v>49</v>
      </c>
      <c r="P14" s="33" t="s">
        <v>49</v>
      </c>
      <c r="Q14" s="33" t="s">
        <v>49</v>
      </c>
      <c r="R14" s="33" t="s">
        <v>49</v>
      </c>
      <c r="S14" s="33" t="s">
        <v>49</v>
      </c>
      <c r="T14" s="32"/>
      <c r="U14" s="33" t="s">
        <v>49</v>
      </c>
      <c r="V14" s="33" t="s">
        <v>49</v>
      </c>
      <c r="W14" s="33" t="s">
        <v>49</v>
      </c>
      <c r="X14" s="33" t="s">
        <v>49</v>
      </c>
      <c r="Y14" s="33" t="s">
        <v>49</v>
      </c>
      <c r="Z14" s="32"/>
      <c r="AA14" s="33" t="s">
        <v>49</v>
      </c>
      <c r="AB14" s="33" t="s">
        <v>49</v>
      </c>
      <c r="AC14" s="33" t="s">
        <v>49</v>
      </c>
      <c r="AD14" s="33" t="s">
        <v>49</v>
      </c>
      <c r="AE14" s="33" t="s">
        <v>49</v>
      </c>
      <c r="AF14" s="33" t="s">
        <v>49</v>
      </c>
      <c r="AG14" s="33" t="s">
        <v>49</v>
      </c>
      <c r="AH14" s="33" t="s">
        <v>49</v>
      </c>
      <c r="AI14" s="3"/>
      <c r="AJ14" s="31" t="s">
        <v>49</v>
      </c>
      <c r="AK14" s="31" t="s">
        <v>49</v>
      </c>
      <c r="AL14" s="3"/>
      <c r="AM14" s="31" t="s">
        <v>49</v>
      </c>
      <c r="AN14" s="3"/>
      <c r="AO14" s="3"/>
      <c r="AP14" s="3"/>
      <c r="AQ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2"/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2"/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143</v>
      </c>
      <c r="AK15" s="31" t="s">
        <v>143</v>
      </c>
      <c r="AL15" s="3"/>
      <c r="AM15" s="31" t="s">
        <v>133</v>
      </c>
      <c r="AN15" s="3"/>
      <c r="AO15" s="3"/>
      <c r="AP15" s="3"/>
      <c r="AQ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>
        <f>5/3</f>
      </c>
      <c r="S16" s="31">
        <f>5/3</f>
      </c>
      <c r="T16" s="31"/>
      <c r="U16" s="31">
        <f>5/3</f>
      </c>
      <c r="V16" s="31">
        <f>5/3</f>
      </c>
      <c r="W16" s="31">
        <f>5/3</f>
      </c>
      <c r="X16" s="31">
        <f>5/3</f>
      </c>
      <c r="Y16" s="31">
        <f>5/3</f>
      </c>
      <c r="Z16" s="31"/>
      <c r="AA16" s="31">
        <f>5/3</f>
      </c>
      <c r="AB16" s="31">
        <f>5/3</f>
      </c>
      <c r="AC16" s="31">
        <f>AVERAGE(5/3,0.75)</f>
      </c>
      <c r="AD16" s="31">
        <f>5/3</f>
      </c>
      <c r="AE16" s="31">
        <f>AVERAGE(5/3,0.75)</f>
      </c>
      <c r="AF16" s="31">
        <f>5/3</f>
      </c>
      <c r="AG16" s="31">
        <f>5/3</f>
      </c>
      <c r="AH16" s="31">
        <f>5/3</f>
      </c>
      <c r="AI16" s="3"/>
      <c r="AJ16" s="33">
        <f>4/3</f>
      </c>
      <c r="AK16" s="33">
        <f>4/3</f>
      </c>
      <c r="AL16" s="3"/>
      <c r="AM16" s="31">
        <v>-0.5</v>
      </c>
      <c r="AN16" s="3"/>
      <c r="AO16" s="3"/>
      <c r="AP16" s="3"/>
      <c r="AQ16" s="33">
        <f>4/3</f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2"/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2"/>
      <c r="AA17" s="31" t="s">
        <v>138</v>
      </c>
      <c r="AB17" s="31" t="s">
        <v>138</v>
      </c>
      <c r="AC17" s="31" t="s">
        <v>1450</v>
      </c>
      <c r="AD17" s="31" t="s">
        <v>138</v>
      </c>
      <c r="AE17" s="31" t="s">
        <v>1450</v>
      </c>
      <c r="AF17" s="31" t="s">
        <v>138</v>
      </c>
      <c r="AG17" s="31" t="s">
        <v>138</v>
      </c>
      <c r="AH17" s="31" t="s">
        <v>138</v>
      </c>
      <c r="AI17" s="3"/>
      <c r="AJ17" s="31" t="s">
        <v>274</v>
      </c>
      <c r="AK17" s="31" t="s">
        <v>169</v>
      </c>
      <c r="AL17" s="3"/>
      <c r="AM17" s="31" t="s">
        <v>274</v>
      </c>
      <c r="AN17" s="3"/>
      <c r="AO17" s="3"/>
      <c r="AP17" s="3"/>
      <c r="AQ17" s="31" t="s">
        <v>274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/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/>
      <c r="AA18" s="31">
        <v>4</v>
      </c>
      <c r="AB18" s="31">
        <v>4</v>
      </c>
      <c r="AC18" s="31">
        <f>AVERAGE(4,0.875)</f>
      </c>
      <c r="AD18" s="31">
        <v>4</v>
      </c>
      <c r="AE18" s="31">
        <f>AVERAGE(4,0.875)</f>
      </c>
      <c r="AF18" s="31">
        <v>4</v>
      </c>
      <c r="AG18" s="31">
        <v>4</v>
      </c>
      <c r="AH18" s="31">
        <v>4</v>
      </c>
      <c r="AI18" s="3"/>
      <c r="AJ18" s="31">
        <v>3</v>
      </c>
      <c r="AK18" s="31">
        <v>2</v>
      </c>
      <c r="AL18" s="3"/>
      <c r="AM18" s="31">
        <v>3</v>
      </c>
      <c r="AN18" s="3"/>
      <c r="AO18" s="3"/>
      <c r="AP18" s="3"/>
      <c r="AQ18" s="31">
        <v>3</v>
      </c>
    </row>
    <row x14ac:dyDescent="0.25" r="19" customHeight="1" ht="18.75">
      <c r="A19" s="46"/>
      <c r="B19" s="2"/>
      <c r="C19" s="2"/>
      <c r="D19" s="138" t="s">
        <v>1458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58"/>
      <c r="Q19" s="138" t="s">
        <v>1458</v>
      </c>
      <c r="R19" s="2"/>
      <c r="S19" s="2"/>
      <c r="T19" s="3"/>
      <c r="U19" s="2"/>
      <c r="V19" s="2"/>
      <c r="W19" s="2"/>
      <c r="X19" s="2"/>
      <c r="Y19" s="2"/>
      <c r="Z19" s="3"/>
      <c r="AA19" s="2"/>
      <c r="AB19" s="2"/>
      <c r="AC19" s="2"/>
      <c r="AD19" s="2"/>
      <c r="AE19" s="2"/>
      <c r="AF19" s="2"/>
      <c r="AG19" s="138" t="s">
        <v>1459</v>
      </c>
      <c r="AH19" s="138"/>
      <c r="AI19" s="3"/>
      <c r="AJ19" s="138" t="s">
        <v>1460</v>
      </c>
      <c r="AK19" s="138"/>
      <c r="AL19" s="3"/>
      <c r="AM19" s="138" t="s">
        <v>1461</v>
      </c>
      <c r="AN19" s="3"/>
      <c r="AO19" s="3"/>
      <c r="AP19" s="3"/>
      <c r="AQ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58"/>
      <c r="Q20" s="2"/>
      <c r="R20" s="2"/>
      <c r="S20" s="2"/>
      <c r="T20" s="3"/>
      <c r="U20" s="2"/>
      <c r="V20" s="2"/>
      <c r="W20" s="2"/>
      <c r="X20" s="2"/>
      <c r="Y20" s="2"/>
      <c r="Z20" s="3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  <c r="AL20" s="3"/>
      <c r="AM20" s="2"/>
      <c r="AN20" s="3"/>
      <c r="AO20" s="3"/>
      <c r="AP20" s="3"/>
      <c r="AQ20" s="2"/>
    </row>
    <row x14ac:dyDescent="0.25" r="21" customHeight="1" ht="18.75">
      <c r="A21" s="123" t="s">
        <v>1462</v>
      </c>
      <c r="B21" s="214" t="s">
        <v>1454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58"/>
      <c r="Q21" s="2"/>
      <c r="R21" s="2"/>
      <c r="S21" s="2"/>
      <c r="T21" s="3"/>
      <c r="U21" s="2"/>
      <c r="V21" s="2"/>
      <c r="W21" s="2"/>
      <c r="X21" s="2"/>
      <c r="Y21" s="2"/>
      <c r="Z21" s="3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  <c r="AL21" s="3"/>
      <c r="AM21" s="2"/>
      <c r="AN21" s="3"/>
      <c r="AO21" s="3"/>
      <c r="AP21" s="3"/>
      <c r="AQ21" s="2"/>
    </row>
    <row x14ac:dyDescent="0.25" r="22" customHeight="1" ht="18.75">
      <c r="A22" s="207" t="s">
        <v>1463</v>
      </c>
      <c r="B22" s="214" t="s">
        <v>1454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58"/>
      <c r="Q22" s="2"/>
      <c r="R22" s="2"/>
      <c r="S22" s="2"/>
      <c r="T22" s="3"/>
      <c r="U22" s="2"/>
      <c r="V22" s="2"/>
      <c r="W22" s="2"/>
      <c r="X22" s="2"/>
      <c r="Y22" s="2"/>
      <c r="Z22" s="3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3"/>
      <c r="AM22" s="2"/>
      <c r="AN22" s="3"/>
      <c r="AO22" s="3"/>
      <c r="AP22" s="3"/>
      <c r="AQ22" s="2"/>
    </row>
    <row x14ac:dyDescent="0.25" r="23" customHeight="1" ht="18.75">
      <c r="A23" s="123"/>
      <c r="B23" s="214" t="s">
        <v>1464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58"/>
      <c r="Q23" s="2"/>
      <c r="R23" s="2"/>
      <c r="S23" s="2"/>
      <c r="T23" s="3"/>
      <c r="U23" s="2"/>
      <c r="V23" s="2"/>
      <c r="W23" s="2"/>
      <c r="X23" s="2"/>
      <c r="Y23" s="2"/>
      <c r="Z23" s="3"/>
      <c r="AA23" s="2"/>
      <c r="AB23" s="2"/>
      <c r="AC23" s="2"/>
      <c r="AD23" s="2"/>
      <c r="AE23" s="2"/>
      <c r="AF23" s="2"/>
      <c r="AG23" s="2"/>
      <c r="AH23" s="2"/>
      <c r="AI23" s="3"/>
      <c r="AJ23" s="2"/>
      <c r="AK23" s="2"/>
      <c r="AL23" s="3"/>
      <c r="AM23" s="2"/>
      <c r="AN23" s="3"/>
      <c r="AO23" s="3"/>
      <c r="AP23" s="3"/>
      <c r="AQ23" s="2"/>
    </row>
    <row x14ac:dyDescent="0.25" r="24" customHeight="1" ht="18.75">
      <c r="A24" s="207" t="s">
        <v>1465</v>
      </c>
      <c r="B24" s="214" t="s">
        <v>1454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8"/>
      <c r="Q24" s="2"/>
      <c r="R24" s="2"/>
      <c r="S24" s="2"/>
      <c r="T24" s="3"/>
      <c r="U24" s="2"/>
      <c r="V24" s="2"/>
      <c r="W24" s="2"/>
      <c r="X24" s="2"/>
      <c r="Y24" s="2"/>
      <c r="Z24" s="3"/>
      <c r="AA24" s="2"/>
      <c r="AB24" s="2"/>
      <c r="AC24" s="2"/>
      <c r="AD24" s="2"/>
      <c r="AE24" s="2"/>
      <c r="AF24" s="2"/>
      <c r="AG24" s="2"/>
      <c r="AH24" s="2"/>
      <c r="AI24" s="3"/>
      <c r="AJ24" s="2"/>
      <c r="AK24" s="2"/>
      <c r="AL24" s="3"/>
      <c r="AM24" s="2"/>
      <c r="AN24" s="3"/>
      <c r="AO24" s="3"/>
      <c r="AP24" s="3"/>
      <c r="AQ24" s="2"/>
    </row>
    <row x14ac:dyDescent="0.25" r="25" customHeight="1" ht="18.75">
      <c r="A25" s="123"/>
      <c r="B25" s="214" t="s">
        <v>914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58"/>
      <c r="Q25" s="2"/>
      <c r="R25" s="2"/>
      <c r="S25" s="2"/>
      <c r="T25" s="3"/>
      <c r="U25" s="2"/>
      <c r="V25" s="2"/>
      <c r="W25" s="2"/>
      <c r="X25" s="2"/>
      <c r="Y25" s="2"/>
      <c r="Z25" s="3"/>
      <c r="AA25" s="2"/>
      <c r="AB25" s="2"/>
      <c r="AC25" s="2"/>
      <c r="AD25" s="2"/>
      <c r="AE25" s="2"/>
      <c r="AF25" s="2"/>
      <c r="AG25" s="2"/>
      <c r="AH25" s="2"/>
      <c r="AI25" s="3"/>
      <c r="AJ25" s="2"/>
      <c r="AK25" s="2"/>
      <c r="AL25" s="3"/>
      <c r="AM25" s="2"/>
      <c r="AN25" s="3"/>
      <c r="AO25" s="3"/>
      <c r="AP25" s="3"/>
      <c r="AQ25" s="2"/>
    </row>
    <row x14ac:dyDescent="0.25" r="26" customHeight="1" ht="18.75">
      <c r="A26" s="123"/>
      <c r="B26" s="214" t="s">
        <v>1466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58"/>
      <c r="Q26" s="2"/>
      <c r="R26" s="2"/>
      <c r="S26" s="2"/>
      <c r="T26" s="3"/>
      <c r="U26" s="2"/>
      <c r="V26" s="2"/>
      <c r="W26" s="2"/>
      <c r="X26" s="2"/>
      <c r="Y26" s="2"/>
      <c r="Z26" s="3"/>
      <c r="AA26" s="2"/>
      <c r="AB26" s="2"/>
      <c r="AC26" s="2"/>
      <c r="AD26" s="2"/>
      <c r="AE26" s="2"/>
      <c r="AF26" s="2"/>
      <c r="AG26" s="2"/>
      <c r="AH26" s="2"/>
      <c r="AI26" s="3"/>
      <c r="AJ26" s="2"/>
      <c r="AK26" s="2"/>
      <c r="AL26" s="3"/>
      <c r="AM26" s="2"/>
      <c r="AN26" s="3"/>
      <c r="AO26" s="3"/>
      <c r="AP26" s="3"/>
      <c r="AQ26" s="2"/>
    </row>
    <row x14ac:dyDescent="0.25" r="27" customHeight="1" ht="18.75">
      <c r="A27" s="4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8"/>
      <c r="Q27" s="2"/>
      <c r="R27" s="2"/>
      <c r="S27" s="2"/>
      <c r="T27" s="3"/>
      <c r="U27" s="2"/>
      <c r="V27" s="2"/>
      <c r="W27" s="2"/>
      <c r="X27" s="2"/>
      <c r="Y27" s="2"/>
      <c r="Z27" s="3"/>
      <c r="AA27" s="2"/>
      <c r="AB27" s="2"/>
      <c r="AC27" s="2"/>
      <c r="AD27" s="2"/>
      <c r="AE27" s="2"/>
      <c r="AF27" s="2"/>
      <c r="AG27" s="2"/>
      <c r="AH27" s="2"/>
      <c r="AI27" s="3"/>
      <c r="AJ27" s="2"/>
      <c r="AK27" s="2"/>
      <c r="AL27" s="3"/>
      <c r="AM27" s="2"/>
      <c r="AN27" s="3"/>
      <c r="AO27" s="3"/>
      <c r="AP27" s="3"/>
      <c r="AQ27" s="2"/>
    </row>
    <row x14ac:dyDescent="0.25" r="28" customHeight="1" ht="65.25">
      <c r="A28" s="215" t="s">
        <v>896</v>
      </c>
      <c r="B28" s="216" t="s">
        <v>1467</v>
      </c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"/>
      <c r="R28" s="2"/>
      <c r="S28" s="2"/>
      <c r="T28" s="3"/>
      <c r="U28" s="2"/>
      <c r="V28" s="2"/>
      <c r="W28" s="2"/>
      <c r="X28" s="2"/>
      <c r="Y28" s="2"/>
      <c r="Z28" s="3"/>
      <c r="AA28" s="2"/>
      <c r="AB28" s="2"/>
      <c r="AC28" s="2"/>
      <c r="AD28" s="2"/>
      <c r="AE28" s="2"/>
      <c r="AF28" s="2"/>
      <c r="AG28" s="2"/>
      <c r="AH28" s="2"/>
      <c r="AI28" s="3"/>
      <c r="AJ28" s="2"/>
      <c r="AK28" s="2"/>
      <c r="AL28" s="3"/>
      <c r="AM28" s="2"/>
      <c r="AN28" s="3"/>
      <c r="AO28" s="3"/>
      <c r="AP28" s="3"/>
      <c r="AQ28" s="2"/>
    </row>
  </sheetData>
  <mergeCells count="10">
    <mergeCell ref="B3:D3"/>
    <mergeCell ref="F3:O3"/>
    <mergeCell ref="B4:D4"/>
    <mergeCell ref="F4:O5"/>
    <mergeCell ref="B5:D5"/>
    <mergeCell ref="AG19:AH19"/>
    <mergeCell ref="AJ19:AK19"/>
    <mergeCell ref="A22:A23"/>
    <mergeCell ref="A24:A26"/>
    <mergeCell ref="B28:N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2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2"/>
      <c r="X1" s="2"/>
      <c r="Y1" s="2"/>
      <c r="Z1" s="3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3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1447</v>
      </c>
      <c r="C4" s="7"/>
      <c r="D4" s="7"/>
      <c r="E4" s="2"/>
      <c r="F4" s="124" t="s">
        <v>1448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3"/>
      <c r="U4" s="2"/>
      <c r="V4" s="2"/>
      <c r="W4" s="2"/>
      <c r="X4" s="2"/>
      <c r="Y4" s="2"/>
      <c r="Z4" s="3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3"/>
      <c r="U5" s="2"/>
      <c r="V5" s="2"/>
      <c r="W5" s="2"/>
      <c r="X5" s="2"/>
      <c r="Y5" s="2"/>
      <c r="Z5" s="3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"/>
      <c r="V6" s="2"/>
      <c r="W6" s="2"/>
      <c r="X6" s="2"/>
      <c r="Y6" s="2"/>
      <c r="Z6" s="3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76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02" t="s">
        <v>25</v>
      </c>
    </row>
    <row x14ac:dyDescent="0.25" r="8" customHeight="1" ht="18.75">
      <c r="A8" s="30" t="s">
        <v>43</v>
      </c>
      <c r="B8" s="33" t="s">
        <v>143</v>
      </c>
      <c r="C8" s="33" t="s">
        <v>312</v>
      </c>
      <c r="D8" s="33" t="s">
        <v>312</v>
      </c>
      <c r="E8" s="33" t="s">
        <v>312</v>
      </c>
      <c r="F8" s="33" t="s">
        <v>312</v>
      </c>
      <c r="G8" s="33" t="s">
        <v>312</v>
      </c>
      <c r="H8" s="33" t="s">
        <v>312</v>
      </c>
      <c r="I8" s="33" t="s">
        <v>312</v>
      </c>
      <c r="J8" s="33" t="s">
        <v>312</v>
      </c>
      <c r="K8" s="33" t="s">
        <v>312</v>
      </c>
      <c r="L8" s="33" t="s">
        <v>312</v>
      </c>
      <c r="M8" s="33" t="s">
        <v>312</v>
      </c>
      <c r="N8" s="33" t="s">
        <v>312</v>
      </c>
      <c r="O8" s="33" t="s">
        <v>312</v>
      </c>
      <c r="P8" s="33" t="s">
        <v>312</v>
      </c>
      <c r="Q8" s="33" t="s">
        <v>312</v>
      </c>
      <c r="R8" s="33" t="s">
        <v>312</v>
      </c>
      <c r="S8" s="33" t="s">
        <v>312</v>
      </c>
      <c r="T8" s="34"/>
      <c r="U8" s="33" t="s">
        <v>312</v>
      </c>
      <c r="V8" s="31" t="s">
        <v>312</v>
      </c>
      <c r="W8" s="31" t="s">
        <v>312</v>
      </c>
      <c r="X8" s="33" t="s">
        <v>312</v>
      </c>
      <c r="Y8" s="33" t="s">
        <v>312</v>
      </c>
      <c r="Z8" s="34"/>
      <c r="AA8" s="33" t="s">
        <v>312</v>
      </c>
      <c r="AB8" s="33" t="s">
        <v>312</v>
      </c>
      <c r="AC8" s="33" t="s">
        <v>312</v>
      </c>
      <c r="AD8" s="33" t="s">
        <v>312</v>
      </c>
      <c r="AE8" s="33" t="s">
        <v>312</v>
      </c>
      <c r="AF8" s="33" t="s">
        <v>312</v>
      </c>
      <c r="AG8" s="33" t="s">
        <v>312</v>
      </c>
      <c r="AH8" s="33" t="s">
        <v>312</v>
      </c>
      <c r="AI8" s="3"/>
      <c r="AJ8" s="33" t="s">
        <v>312</v>
      </c>
    </row>
    <row x14ac:dyDescent="0.25" r="9" customHeight="1" ht="18.75">
      <c r="A9" s="30" t="s">
        <v>45</v>
      </c>
      <c r="B9" s="33" t="s">
        <v>315</v>
      </c>
      <c r="C9" s="33" t="s">
        <v>315</v>
      </c>
      <c r="D9" s="33" t="s">
        <v>315</v>
      </c>
      <c r="E9" s="33" t="s">
        <v>315</v>
      </c>
      <c r="F9" s="33" t="s">
        <v>315</v>
      </c>
      <c r="G9" s="33" t="s">
        <v>315</v>
      </c>
      <c r="H9" s="33" t="s">
        <v>315</v>
      </c>
      <c r="I9" s="33" t="s">
        <v>315</v>
      </c>
      <c r="J9" s="33" t="s">
        <v>315</v>
      </c>
      <c r="K9" s="33" t="s">
        <v>315</v>
      </c>
      <c r="L9" s="33" t="s">
        <v>315</v>
      </c>
      <c r="M9" s="33" t="s">
        <v>315</v>
      </c>
      <c r="N9" s="33" t="s">
        <v>315</v>
      </c>
      <c r="O9" s="33" t="s">
        <v>315</v>
      </c>
      <c r="P9" s="33" t="s">
        <v>315</v>
      </c>
      <c r="Q9" s="33" t="s">
        <v>315</v>
      </c>
      <c r="R9" s="33" t="s">
        <v>315</v>
      </c>
      <c r="S9" s="33" t="s">
        <v>315</v>
      </c>
      <c r="T9" s="34"/>
      <c r="U9" s="33" t="s">
        <v>315</v>
      </c>
      <c r="V9" s="31" t="s">
        <v>315</v>
      </c>
      <c r="W9" s="31" t="s">
        <v>315</v>
      </c>
      <c r="X9" s="33" t="s">
        <v>315</v>
      </c>
      <c r="Y9" s="33" t="s">
        <v>315</v>
      </c>
      <c r="Z9" s="34"/>
      <c r="AA9" s="33" t="s">
        <v>315</v>
      </c>
      <c r="AB9" s="33" t="s">
        <v>315</v>
      </c>
      <c r="AC9" s="31" t="s">
        <v>1449</v>
      </c>
      <c r="AD9" s="33" t="s">
        <v>315</v>
      </c>
      <c r="AE9" s="31" t="s">
        <v>1449</v>
      </c>
      <c r="AF9" s="33" t="s">
        <v>315</v>
      </c>
      <c r="AG9" s="33" t="s">
        <v>315</v>
      </c>
      <c r="AH9" s="33" t="s">
        <v>315</v>
      </c>
      <c r="AI9" s="3"/>
      <c r="AJ9" s="33" t="s">
        <v>582</v>
      </c>
    </row>
    <row x14ac:dyDescent="0.25" r="10" customHeight="1" ht="18.75">
      <c r="A10" s="35" t="s">
        <v>47</v>
      </c>
      <c r="B10" s="117">
        <v>6</v>
      </c>
      <c r="C10" s="117">
        <v>6</v>
      </c>
      <c r="D10" s="117">
        <v>6</v>
      </c>
      <c r="E10" s="117">
        <v>6</v>
      </c>
      <c r="F10" s="117">
        <v>6</v>
      </c>
      <c r="G10" s="117">
        <v>6</v>
      </c>
      <c r="H10" s="117">
        <v>6</v>
      </c>
      <c r="I10" s="117">
        <v>6</v>
      </c>
      <c r="J10" s="117">
        <v>6</v>
      </c>
      <c r="K10" s="117">
        <v>6</v>
      </c>
      <c r="L10" s="117">
        <v>6</v>
      </c>
      <c r="M10" s="117">
        <v>6</v>
      </c>
      <c r="N10" s="117">
        <v>6</v>
      </c>
      <c r="O10" s="117">
        <v>6</v>
      </c>
      <c r="P10" s="117">
        <v>6</v>
      </c>
      <c r="Q10" s="117">
        <v>6</v>
      </c>
      <c r="R10" s="117">
        <v>6</v>
      </c>
      <c r="S10" s="117">
        <v>6</v>
      </c>
      <c r="T10" s="254"/>
      <c r="U10" s="117">
        <v>6</v>
      </c>
      <c r="V10" s="117">
        <v>6</v>
      </c>
      <c r="W10" s="117">
        <v>6</v>
      </c>
      <c r="X10" s="117">
        <v>6</v>
      </c>
      <c r="Y10" s="117">
        <v>6</v>
      </c>
      <c r="Z10" s="254"/>
      <c r="AA10" s="117">
        <v>6</v>
      </c>
      <c r="AB10" s="117">
        <v>6</v>
      </c>
      <c r="AC10" s="196">
        <v>101</v>
      </c>
      <c r="AD10" s="117">
        <v>6</v>
      </c>
      <c r="AE10" s="196">
        <v>101</v>
      </c>
      <c r="AF10" s="117">
        <v>6</v>
      </c>
      <c r="AG10" s="117">
        <v>6</v>
      </c>
      <c r="AH10" s="117">
        <v>6</v>
      </c>
      <c r="AI10" s="3"/>
      <c r="AJ10" s="196">
        <v>27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2"/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2"/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2"/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  <c r="AI12" s="3"/>
      <c r="AJ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2"/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2"/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2"/>
      <c r="U14" s="31" t="s">
        <v>49</v>
      </c>
      <c r="V14" s="33" t="s">
        <v>49</v>
      </c>
      <c r="W14" s="33" t="s">
        <v>49</v>
      </c>
      <c r="X14" s="31" t="s">
        <v>49</v>
      </c>
      <c r="Y14" s="31" t="s">
        <v>49</v>
      </c>
      <c r="Z14" s="32"/>
      <c r="AA14" s="31" t="s">
        <v>49</v>
      </c>
      <c r="AB14" s="31" t="s">
        <v>49</v>
      </c>
      <c r="AC14" s="33" t="s">
        <v>49</v>
      </c>
      <c r="AD14" s="31" t="s">
        <v>49</v>
      </c>
      <c r="AE14" s="33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2"/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2"/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>
        <f>5/3</f>
      </c>
      <c r="S16" s="31">
        <f>5/3</f>
      </c>
      <c r="T16" s="31"/>
      <c r="U16" s="31">
        <f>5/3</f>
      </c>
      <c r="V16" s="31">
        <f>5/3</f>
      </c>
      <c r="W16" s="31">
        <f>5/3</f>
      </c>
      <c r="X16" s="31">
        <f>5/3</f>
      </c>
      <c r="Y16" s="31">
        <f>5/3</f>
      </c>
      <c r="Z16" s="31"/>
      <c r="AA16" s="31">
        <f>5/3</f>
      </c>
      <c r="AB16" s="31">
        <f>5/3</f>
      </c>
      <c r="AC16" s="31">
        <f>AVERAGE(5/3,0.75)</f>
      </c>
      <c r="AD16" s="31">
        <f>5/3</f>
      </c>
      <c r="AE16" s="31">
        <f>AVERAGE(5/3,0.75)</f>
      </c>
      <c r="AF16" s="31">
        <f>5/3</f>
      </c>
      <c r="AG16" s="31">
        <f>5/3</f>
      </c>
      <c r="AH16" s="31">
        <f>5/3</f>
      </c>
      <c r="AI16" s="3"/>
      <c r="AJ16" s="31">
        <f>4/3</f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2"/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2"/>
      <c r="AA17" s="31" t="s">
        <v>138</v>
      </c>
      <c r="AB17" s="31" t="s">
        <v>138</v>
      </c>
      <c r="AC17" s="31" t="s">
        <v>1450</v>
      </c>
      <c r="AD17" s="31" t="s">
        <v>138</v>
      </c>
      <c r="AE17" s="31" t="s">
        <v>1450</v>
      </c>
      <c r="AF17" s="31" t="s">
        <v>138</v>
      </c>
      <c r="AG17" s="31" t="s">
        <v>138</v>
      </c>
      <c r="AH17" s="31" t="s">
        <v>138</v>
      </c>
      <c r="AI17" s="3"/>
      <c r="AJ17" s="31" t="s">
        <v>274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/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/>
      <c r="AA18" s="31">
        <v>4</v>
      </c>
      <c r="AB18" s="31">
        <v>4</v>
      </c>
      <c r="AC18" s="31">
        <f>AVERAGE(4,0.875)</f>
      </c>
      <c r="AD18" s="31">
        <v>4</v>
      </c>
      <c r="AE18" s="31">
        <f>AVERAGE(4,0.875)</f>
      </c>
      <c r="AF18" s="31">
        <v>4</v>
      </c>
      <c r="AG18" s="31">
        <v>4</v>
      </c>
      <c r="AH18" s="31">
        <v>4</v>
      </c>
      <c r="AI18" s="3"/>
      <c r="AJ18" s="31">
        <v>3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38" t="s">
        <v>1451</v>
      </c>
      <c r="R19" s="2"/>
      <c r="S19" s="2"/>
      <c r="T19" s="3"/>
      <c r="U19" s="2"/>
      <c r="V19" s="2"/>
      <c r="W19" s="2"/>
      <c r="X19" s="2"/>
      <c r="Y19" s="2"/>
      <c r="Z19" s="3"/>
      <c r="AA19" s="2"/>
      <c r="AB19" s="2"/>
      <c r="AC19" s="2"/>
      <c r="AD19" s="2"/>
      <c r="AE19" s="2"/>
      <c r="AF19" s="2"/>
      <c r="AG19" s="2"/>
      <c r="AH19" s="2"/>
      <c r="AI19" s="3"/>
      <c r="AJ19" s="138" t="s">
        <v>1452</v>
      </c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2"/>
      <c r="V20" s="2"/>
      <c r="W20" s="2"/>
      <c r="X20" s="2"/>
      <c r="Y20" s="2"/>
      <c r="Z20" s="3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30" t="s">
        <v>1453</v>
      </c>
      <c r="B21" s="40" t="s">
        <v>1454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  <c r="X21" s="2"/>
      <c r="Y21" s="2"/>
      <c r="Z21" s="3"/>
      <c r="AA21" s="2"/>
      <c r="AB21" s="2"/>
      <c r="AC21" s="2"/>
      <c r="AD21" s="2"/>
      <c r="AE21" s="2"/>
      <c r="AF21" s="2"/>
      <c r="AG21" s="2"/>
      <c r="AH21" s="2"/>
      <c r="AI21" s="3"/>
      <c r="AJ21" s="2"/>
    </row>
    <row x14ac:dyDescent="0.25" r="22" customHeight="1" ht="18.75">
      <c r="A22" s="30" t="s">
        <v>1455</v>
      </c>
      <c r="B22" s="40" t="s">
        <v>1456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2"/>
      <c r="V22" s="2"/>
      <c r="W22" s="2"/>
      <c r="X22" s="2"/>
      <c r="Y22" s="2"/>
      <c r="Z22" s="3"/>
      <c r="AA22" s="2"/>
      <c r="AB22" s="2"/>
      <c r="AC22" s="2"/>
      <c r="AD22" s="2"/>
      <c r="AE22" s="2"/>
      <c r="AF22" s="2"/>
      <c r="AG22" s="2"/>
      <c r="AH22" s="2"/>
      <c r="AI22" s="3"/>
      <c r="AJ22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0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3"/>
      <c r="X1" s="2"/>
      <c r="Y1" s="2"/>
      <c r="Z1" s="3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3"/>
      <c r="X2" s="2"/>
      <c r="Y2" s="2"/>
      <c r="Z2" s="3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7</v>
      </c>
      <c r="C3" s="7"/>
      <c r="D3" s="7"/>
      <c r="E3" s="45"/>
      <c r="F3" s="45" t="s">
        <v>3</v>
      </c>
      <c r="G3" s="45"/>
      <c r="H3" s="45"/>
      <c r="I3" s="45"/>
      <c r="J3" s="45"/>
      <c r="K3" s="45"/>
      <c r="L3" s="45"/>
      <c r="M3" s="45"/>
      <c r="N3" s="45"/>
      <c r="O3" s="45"/>
      <c r="P3" s="2"/>
      <c r="Q3" s="2"/>
      <c r="R3" s="2"/>
      <c r="S3" s="2"/>
      <c r="T3" s="3"/>
      <c r="U3" s="2"/>
      <c r="V3" s="2"/>
      <c r="W3" s="3"/>
      <c r="X3" s="2"/>
      <c r="Y3" s="2"/>
      <c r="Z3" s="3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1420</v>
      </c>
      <c r="C4" s="7"/>
      <c r="D4" s="7"/>
      <c r="E4" s="2"/>
      <c r="F4" s="124" t="s">
        <v>1437</v>
      </c>
      <c r="G4" s="92"/>
      <c r="H4" s="92"/>
      <c r="I4" s="92"/>
      <c r="J4" s="92"/>
      <c r="K4" s="92"/>
      <c r="L4" s="92"/>
      <c r="M4" s="92"/>
      <c r="N4" s="92"/>
      <c r="O4" s="92"/>
      <c r="P4" s="125"/>
      <c r="Q4" s="2"/>
      <c r="R4" s="2"/>
      <c r="S4" s="2"/>
      <c r="T4" s="3"/>
      <c r="U4" s="2"/>
      <c r="V4" s="2"/>
      <c r="W4" s="3"/>
      <c r="X4" s="2"/>
      <c r="Y4" s="2"/>
      <c r="Z4" s="3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96"/>
      <c r="P5" s="127"/>
      <c r="Q5" s="2"/>
      <c r="R5" s="2"/>
      <c r="S5" s="2"/>
      <c r="T5" s="3"/>
      <c r="U5" s="2"/>
      <c r="V5" s="2"/>
      <c r="W5" s="3"/>
      <c r="X5" s="2"/>
      <c r="Y5" s="2"/>
      <c r="Z5" s="3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"/>
      <c r="V6" s="2"/>
      <c r="W6" s="3"/>
      <c r="X6" s="2"/>
      <c r="Y6" s="2"/>
      <c r="Z6" s="3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76" t="s">
        <v>28</v>
      </c>
      <c r="U7" s="199" t="s">
        <v>29</v>
      </c>
      <c r="V7" s="147" t="s">
        <v>30</v>
      </c>
      <c r="W7" s="7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562</v>
      </c>
      <c r="C8" s="31" t="s">
        <v>281</v>
      </c>
      <c r="D8" s="31" t="s">
        <v>281</v>
      </c>
      <c r="E8" s="31" t="s">
        <v>281</v>
      </c>
      <c r="F8" s="31" t="s">
        <v>281</v>
      </c>
      <c r="G8" s="31" t="s">
        <v>281</v>
      </c>
      <c r="H8" s="31" t="s">
        <v>281</v>
      </c>
      <c r="I8" s="31" t="s">
        <v>281</v>
      </c>
      <c r="J8" s="33" t="s">
        <v>281</v>
      </c>
      <c r="K8" s="31" t="s">
        <v>281</v>
      </c>
      <c r="L8" s="31" t="s">
        <v>281</v>
      </c>
      <c r="M8" s="31" t="s">
        <v>281</v>
      </c>
      <c r="N8" s="33" t="s">
        <v>281</v>
      </c>
      <c r="O8" s="33" t="s">
        <v>281</v>
      </c>
      <c r="P8" s="31" t="s">
        <v>281</v>
      </c>
      <c r="Q8" s="31" t="s">
        <v>281</v>
      </c>
      <c r="R8" s="31" t="s">
        <v>281</v>
      </c>
      <c r="S8" s="31" t="s">
        <v>281</v>
      </c>
      <c r="T8" s="34"/>
      <c r="U8" s="33" t="s">
        <v>1042</v>
      </c>
      <c r="V8" s="33" t="s">
        <v>1438</v>
      </c>
      <c r="W8" s="34" t="s">
        <v>281</v>
      </c>
      <c r="X8" s="33" t="s">
        <v>301</v>
      </c>
      <c r="Y8" s="31" t="s">
        <v>281</v>
      </c>
      <c r="Z8" s="34"/>
      <c r="AA8" s="31" t="s">
        <v>281</v>
      </c>
      <c r="AB8" s="34"/>
      <c r="AC8" s="31" t="s">
        <v>281</v>
      </c>
      <c r="AD8" s="34"/>
      <c r="AE8" s="31" t="s">
        <v>281</v>
      </c>
      <c r="AF8" s="33" t="s">
        <v>1439</v>
      </c>
      <c r="AG8" s="33" t="s">
        <v>286</v>
      </c>
      <c r="AH8" s="31" t="s">
        <v>281</v>
      </c>
    </row>
    <row x14ac:dyDescent="0.25" r="9" customHeight="1" ht="18.75">
      <c r="A9" s="30" t="s">
        <v>45</v>
      </c>
      <c r="B9" s="31" t="s">
        <v>302</v>
      </c>
      <c r="C9" s="31" t="s">
        <v>288</v>
      </c>
      <c r="D9" s="31" t="s">
        <v>207</v>
      </c>
      <c r="E9" s="31" t="s">
        <v>289</v>
      </c>
      <c r="F9" s="31" t="s">
        <v>290</v>
      </c>
      <c r="G9" s="31" t="s">
        <v>290</v>
      </c>
      <c r="H9" s="31" t="s">
        <v>211</v>
      </c>
      <c r="I9" s="31" t="s">
        <v>207</v>
      </c>
      <c r="J9" s="31" t="s">
        <v>290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31" t="s">
        <v>212</v>
      </c>
      <c r="Q9" s="31" t="s">
        <v>212</v>
      </c>
      <c r="R9" s="31" t="s">
        <v>212</v>
      </c>
      <c r="S9" s="31" t="s">
        <v>212</v>
      </c>
      <c r="T9" s="34"/>
      <c r="U9" s="31" t="s">
        <v>1440</v>
      </c>
      <c r="V9" s="31" t="s">
        <v>294</v>
      </c>
      <c r="W9" s="253" t="s">
        <v>1441</v>
      </c>
      <c r="X9" s="31" t="s">
        <v>302</v>
      </c>
      <c r="Y9" s="31" t="s">
        <v>294</v>
      </c>
      <c r="Z9" s="34"/>
      <c r="AA9" s="31" t="s">
        <v>294</v>
      </c>
      <c r="AB9" s="34"/>
      <c r="AC9" s="31" t="s">
        <v>294</v>
      </c>
      <c r="AD9" s="34"/>
      <c r="AE9" s="31" t="s">
        <v>294</v>
      </c>
      <c r="AF9" s="33" t="s">
        <v>407</v>
      </c>
      <c r="AG9" s="33" t="s">
        <v>293</v>
      </c>
      <c r="AH9" s="31" t="s">
        <v>294</v>
      </c>
    </row>
    <row x14ac:dyDescent="0.25" r="10" customHeight="1" ht="18.75">
      <c r="A10" s="35" t="s">
        <v>47</v>
      </c>
      <c r="B10" s="117">
        <v>19</v>
      </c>
      <c r="C10" s="117">
        <v>120</v>
      </c>
      <c r="D10" s="117">
        <v>50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117">
        <v>48</v>
      </c>
      <c r="S10" s="117">
        <v>48</v>
      </c>
      <c r="T10" s="254"/>
      <c r="U10" s="117">
        <v>103</v>
      </c>
      <c r="V10" s="117">
        <v>34</v>
      </c>
      <c r="W10" s="254"/>
      <c r="X10" s="117">
        <v>19</v>
      </c>
      <c r="Y10" s="117">
        <v>34</v>
      </c>
      <c r="Z10" s="254"/>
      <c r="AA10" s="117">
        <v>34</v>
      </c>
      <c r="AB10" s="254"/>
      <c r="AC10" s="117">
        <v>34</v>
      </c>
      <c r="AD10" s="254"/>
      <c r="AE10" s="117">
        <v>34</v>
      </c>
      <c r="AF10" s="196">
        <v>104</v>
      </c>
      <c r="AG10" s="196">
        <v>26</v>
      </c>
      <c r="AH10" s="117">
        <v>34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2"/>
      <c r="U11" s="31" t="s">
        <v>52</v>
      </c>
      <c r="V11" s="31" t="s">
        <v>52</v>
      </c>
      <c r="W11" s="32"/>
      <c r="X11" s="31" t="s">
        <v>52</v>
      </c>
      <c r="Y11" s="31" t="s">
        <v>52</v>
      </c>
      <c r="Z11" s="32"/>
      <c r="AA11" s="31" t="s">
        <v>52</v>
      </c>
      <c r="AB11" s="32"/>
      <c r="AC11" s="31" t="s">
        <v>52</v>
      </c>
      <c r="AD11" s="32"/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2"/>
      <c r="U12" s="31" t="s">
        <v>49</v>
      </c>
      <c r="V12" s="31" t="s">
        <v>49</v>
      </c>
      <c r="W12" s="32"/>
      <c r="X12" s="31" t="s">
        <v>49</v>
      </c>
      <c r="Y12" s="31" t="s">
        <v>49</v>
      </c>
      <c r="Z12" s="32"/>
      <c r="AA12" s="31" t="s">
        <v>49</v>
      </c>
      <c r="AB12" s="32"/>
      <c r="AC12" s="31" t="s">
        <v>49</v>
      </c>
      <c r="AD12" s="32"/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31" t="s">
        <v>52</v>
      </c>
      <c r="T13" s="32"/>
      <c r="U13" s="31" t="s">
        <v>52</v>
      </c>
      <c r="V13" s="31" t="s">
        <v>52</v>
      </c>
      <c r="W13" s="32"/>
      <c r="X13" s="31" t="s">
        <v>49</v>
      </c>
      <c r="Y13" s="31" t="s">
        <v>52</v>
      </c>
      <c r="Z13" s="32"/>
      <c r="AA13" s="31" t="s">
        <v>52</v>
      </c>
      <c r="AB13" s="32"/>
      <c r="AC13" s="31" t="s">
        <v>52</v>
      </c>
      <c r="AD13" s="32"/>
      <c r="AE13" s="31" t="s">
        <v>52</v>
      </c>
      <c r="AF13" s="48" t="s">
        <v>162</v>
      </c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2"/>
      <c r="U14" s="31" t="s">
        <v>49</v>
      </c>
      <c r="V14" s="31" t="s">
        <v>49</v>
      </c>
      <c r="W14" s="32"/>
      <c r="X14" s="31" t="s">
        <v>49</v>
      </c>
      <c r="Y14" s="31" t="s">
        <v>49</v>
      </c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2"/>
      <c r="U15" s="31" t="s">
        <v>194</v>
      </c>
      <c r="V15" s="31" t="s">
        <v>133</v>
      </c>
      <c r="W15" s="32"/>
      <c r="X15" s="31" t="s">
        <v>234</v>
      </c>
      <c r="Y15" s="31" t="s">
        <v>133</v>
      </c>
      <c r="Z15" s="32"/>
      <c r="AA15" s="31" t="s">
        <v>133</v>
      </c>
      <c r="AB15" s="32"/>
      <c r="AC15" s="31" t="s">
        <v>133</v>
      </c>
      <c r="AD15" s="32"/>
      <c r="AE15" s="31" t="s">
        <v>133</v>
      </c>
      <c r="AF15" s="31" t="s">
        <v>143</v>
      </c>
      <c r="AG15" s="31" t="s">
        <v>143</v>
      </c>
      <c r="AH15" s="31" t="s">
        <v>133</v>
      </c>
    </row>
    <row x14ac:dyDescent="0.25" r="16" customHeight="1" ht="18.75">
      <c r="A16" s="30" t="s">
        <v>128</v>
      </c>
      <c r="B16" s="31">
        <v>-3</v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>
        <f>4/3</f>
      </c>
      <c r="S16" s="31">
        <f>4/3</f>
      </c>
      <c r="T16" s="31"/>
      <c r="U16" s="31">
        <f>AVERAGE(-0.5,0.5)</f>
      </c>
      <c r="V16" s="31">
        <v>-0.5</v>
      </c>
      <c r="W16" s="31"/>
      <c r="X16" s="31">
        <v>-3</v>
      </c>
      <c r="Y16" s="31">
        <v>-0.5</v>
      </c>
      <c r="Z16" s="31"/>
      <c r="AA16" s="31">
        <v>-0.5</v>
      </c>
      <c r="AB16" s="31"/>
      <c r="AC16" s="31">
        <v>-0.5</v>
      </c>
      <c r="AD16" s="31"/>
      <c r="AE16" s="31">
        <v>-0.5</v>
      </c>
      <c r="AF16" s="31">
        <f>AVERAGE(0.5,2)</f>
      </c>
      <c r="AG16" s="31">
        <f>4/3</f>
      </c>
      <c r="AH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2"/>
      <c r="U17" s="31" t="s">
        <v>169</v>
      </c>
      <c r="V17" s="31" t="s">
        <v>274</v>
      </c>
      <c r="W17" s="32"/>
      <c r="X17" s="31" t="s">
        <v>138</v>
      </c>
      <c r="Y17" s="31" t="s">
        <v>274</v>
      </c>
      <c r="Z17" s="32"/>
      <c r="AA17" s="31" t="s">
        <v>274</v>
      </c>
      <c r="AB17" s="32"/>
      <c r="AC17" s="31" t="s">
        <v>274</v>
      </c>
      <c r="AD17" s="32"/>
      <c r="AE17" s="31" t="s">
        <v>274</v>
      </c>
      <c r="AF17" s="31" t="s">
        <v>169</v>
      </c>
      <c r="AG17" s="31" t="s">
        <v>274</v>
      </c>
      <c r="AH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/>
      <c r="U18" s="31">
        <v>2</v>
      </c>
      <c r="V18" s="31">
        <v>3</v>
      </c>
      <c r="W18" s="31"/>
      <c r="X18" s="31">
        <v>4</v>
      </c>
      <c r="Y18" s="31">
        <v>3</v>
      </c>
      <c r="Z18" s="31"/>
      <c r="AA18" s="31">
        <v>3</v>
      </c>
      <c r="AB18" s="31"/>
      <c r="AC18" s="31">
        <v>3</v>
      </c>
      <c r="AD18" s="31"/>
      <c r="AE18" s="31">
        <v>3</v>
      </c>
      <c r="AF18" s="31">
        <v>2</v>
      </c>
      <c r="AG18" s="31">
        <v>3</v>
      </c>
      <c r="AH18" s="31">
        <v>3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2"/>
      <c r="V19" s="2"/>
      <c r="W19" s="3"/>
      <c r="X19" s="2"/>
      <c r="Y19" s="2"/>
      <c r="Z19" s="3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2"/>
      <c r="V20" s="2"/>
      <c r="W20" s="3"/>
      <c r="X20" s="2"/>
      <c r="Y20" s="2"/>
      <c r="Z20" s="3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209" t="s">
        <v>1442</v>
      </c>
      <c r="B21" s="214" t="s">
        <v>1443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2"/>
      <c r="V21" s="2"/>
      <c r="W21" s="3"/>
      <c r="X21" s="2"/>
      <c r="Y21" s="2"/>
      <c r="Z21" s="3"/>
      <c r="AA21" s="2"/>
      <c r="AB21" s="3"/>
      <c r="AC21" s="2"/>
      <c r="AD21" s="3"/>
      <c r="AE21" s="2"/>
      <c r="AF21" s="2"/>
      <c r="AG21" s="2"/>
      <c r="AH21" s="2"/>
    </row>
    <row x14ac:dyDescent="0.25" r="22" customHeight="1" ht="18.75">
      <c r="A22" s="30"/>
      <c r="B22" s="214" t="s">
        <v>866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2"/>
      <c r="V22" s="2"/>
      <c r="W22" s="3"/>
      <c r="X22" s="2"/>
      <c r="Y22" s="2"/>
      <c r="Z22" s="3"/>
      <c r="AA22" s="2"/>
      <c r="AB22" s="3"/>
      <c r="AC22" s="2"/>
      <c r="AD22" s="3"/>
      <c r="AE22" s="2"/>
      <c r="AF22" s="2"/>
      <c r="AG22" s="2"/>
      <c r="AH22" s="2"/>
    </row>
    <row x14ac:dyDescent="0.25" r="23" customHeight="1" ht="18.75">
      <c r="A23" s="30"/>
      <c r="B23" s="214" t="s">
        <v>1444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/>
      <c r="U23" s="2"/>
      <c r="V23" s="2"/>
      <c r="W23" s="3"/>
      <c r="X23" s="2"/>
      <c r="Y23" s="2"/>
      <c r="Z23" s="3"/>
      <c r="AA23" s="2"/>
      <c r="AB23" s="3"/>
      <c r="AC23" s="2"/>
      <c r="AD23" s="3"/>
      <c r="AE23" s="2"/>
      <c r="AF23" s="2"/>
      <c r="AG23" s="2"/>
      <c r="AH23" s="2"/>
    </row>
    <row x14ac:dyDescent="0.25" r="24" customHeight="1" ht="18.75">
      <c r="A24" s="30"/>
      <c r="B24" s="214" t="s">
        <v>1049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/>
      <c r="U24" s="2"/>
      <c r="V24" s="2"/>
      <c r="W24" s="3"/>
      <c r="X24" s="2"/>
      <c r="Y24" s="2"/>
      <c r="Z24" s="3"/>
      <c r="AA24" s="2"/>
      <c r="AB24" s="3"/>
      <c r="AC24" s="2"/>
      <c r="AD24" s="3"/>
      <c r="AE24" s="2"/>
      <c r="AF24" s="2"/>
      <c r="AG24" s="2"/>
      <c r="AH24" s="2"/>
    </row>
    <row x14ac:dyDescent="0.25" r="25" customHeight="1" ht="18.75">
      <c r="A25" s="30"/>
      <c r="B25" s="2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"/>
      <c r="U25" s="2"/>
      <c r="V25" s="2"/>
      <c r="W25" s="3"/>
      <c r="X25" s="2"/>
      <c r="Y25" s="2"/>
      <c r="Z25" s="3"/>
      <c r="AA25" s="2"/>
      <c r="AB25" s="3"/>
      <c r="AC25" s="2"/>
      <c r="AD25" s="3"/>
      <c r="AE25" s="2"/>
      <c r="AF25" s="2"/>
      <c r="AG25" s="2"/>
      <c r="AH25" s="2"/>
    </row>
    <row x14ac:dyDescent="0.25" r="26" customHeight="1" ht="18.75">
      <c r="A26" s="209" t="s">
        <v>1445</v>
      </c>
      <c r="B26" s="214" t="s">
        <v>1446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"/>
      <c r="U26" s="2"/>
      <c r="V26" s="2"/>
      <c r="W26" s="3"/>
      <c r="X26" s="2"/>
      <c r="Y26" s="2"/>
      <c r="Z26" s="3"/>
      <c r="AA26" s="2"/>
      <c r="AB26" s="3"/>
      <c r="AC26" s="2"/>
      <c r="AD26" s="3"/>
      <c r="AE26" s="2"/>
      <c r="AF26" s="2"/>
      <c r="AG26" s="2"/>
      <c r="AH26" s="2"/>
    </row>
    <row x14ac:dyDescent="0.25" r="27" customHeight="1" ht="18.75">
      <c r="A27" s="30"/>
      <c r="B27" s="214" t="s">
        <v>866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  <c r="U27" s="2"/>
      <c r="V27" s="2"/>
      <c r="W27" s="3"/>
      <c r="X27" s="2"/>
      <c r="Y27" s="2"/>
      <c r="Z27" s="3"/>
      <c r="AA27" s="2"/>
      <c r="AB27" s="3"/>
      <c r="AC27" s="2"/>
      <c r="AD27" s="3"/>
      <c r="AE27" s="2"/>
      <c r="AF27" s="2"/>
      <c r="AG27" s="2"/>
      <c r="AH27" s="2"/>
    </row>
    <row x14ac:dyDescent="0.25" r="28" customHeight="1" ht="18.75">
      <c r="A28" s="30"/>
      <c r="B28" s="214" t="s">
        <v>1444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3"/>
      <c r="U28" s="2"/>
      <c r="V28" s="2"/>
      <c r="W28" s="3"/>
      <c r="X28" s="2"/>
      <c r="Y28" s="2"/>
      <c r="Z28" s="3"/>
      <c r="AA28" s="2"/>
      <c r="AB28" s="3"/>
      <c r="AC28" s="2"/>
      <c r="AD28" s="3"/>
      <c r="AE28" s="2"/>
      <c r="AF28" s="2"/>
      <c r="AG28" s="2"/>
      <c r="AH28" s="2"/>
    </row>
    <row x14ac:dyDescent="0.25" r="29" customHeight="1" ht="18.75">
      <c r="A29" s="30"/>
      <c r="B29" s="214" t="s">
        <v>1049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3"/>
      <c r="U29" s="2"/>
      <c r="V29" s="2"/>
      <c r="W29" s="3"/>
      <c r="X29" s="2"/>
      <c r="Y29" s="2"/>
      <c r="Z29" s="3"/>
      <c r="AA29" s="2"/>
      <c r="AB29" s="3"/>
      <c r="AC29" s="2"/>
      <c r="AD29" s="3"/>
      <c r="AE29" s="2"/>
      <c r="AF29" s="2"/>
      <c r="AG29" s="2"/>
      <c r="AH29" s="2"/>
    </row>
    <row x14ac:dyDescent="0.25" r="30" customHeight="1" ht="18.75">
      <c r="A30" s="3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  <c r="U30" s="2"/>
      <c r="V30" s="2"/>
      <c r="W30" s="3"/>
      <c r="X30" s="2"/>
      <c r="Y30" s="2"/>
      <c r="Z30" s="3"/>
      <c r="AA30" s="2"/>
      <c r="AB30" s="3"/>
      <c r="AC30" s="2"/>
      <c r="AD30" s="3"/>
      <c r="AE30" s="2"/>
      <c r="AF30" s="2"/>
      <c r="AG30" s="2"/>
      <c r="AH30" s="2"/>
    </row>
  </sheetData>
  <mergeCells count="7">
    <mergeCell ref="B3:D3"/>
    <mergeCell ref="F3:O3"/>
    <mergeCell ref="B4:D4"/>
    <mergeCell ref="F4:P5"/>
    <mergeCell ref="B5:D5"/>
    <mergeCell ref="A21:A25"/>
    <mergeCell ref="A26:A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4"/>
  <sheetViews>
    <sheetView workbookViewId="0"/>
  </sheetViews>
  <sheetFormatPr defaultRowHeight="15" x14ac:dyDescent="0.25"/>
  <cols>
    <col min="1" max="1" style="44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3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1420</v>
      </c>
      <c r="C4" s="7"/>
      <c r="D4" s="7"/>
      <c r="E4" s="2"/>
      <c r="F4" s="124" t="s">
        <v>1431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1271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3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562</v>
      </c>
      <c r="C8" s="33" t="s">
        <v>281</v>
      </c>
      <c r="D8" s="33" t="s">
        <v>281</v>
      </c>
      <c r="E8" s="33" t="s">
        <v>281</v>
      </c>
      <c r="F8" s="33" t="s">
        <v>281</v>
      </c>
      <c r="G8" s="33" t="s">
        <v>281</v>
      </c>
      <c r="H8" s="33" t="s">
        <v>281</v>
      </c>
      <c r="I8" s="33" t="s">
        <v>281</v>
      </c>
      <c r="J8" s="33" t="s">
        <v>281</v>
      </c>
      <c r="K8" s="33" t="s">
        <v>281</v>
      </c>
      <c r="L8" s="33" t="s">
        <v>281</v>
      </c>
      <c r="M8" s="33" t="s">
        <v>281</v>
      </c>
      <c r="N8" s="33" t="s">
        <v>1018</v>
      </c>
      <c r="O8" s="33" t="s">
        <v>281</v>
      </c>
      <c r="P8" s="33" t="s">
        <v>301</v>
      </c>
      <c r="Q8" s="33" t="s">
        <v>301</v>
      </c>
      <c r="R8" s="33" t="s">
        <v>1432</v>
      </c>
      <c r="S8" s="33" t="s">
        <v>301</v>
      </c>
      <c r="T8" s="33" t="s">
        <v>281</v>
      </c>
      <c r="U8" s="33" t="s">
        <v>281</v>
      </c>
      <c r="V8" s="33" t="s">
        <v>301</v>
      </c>
      <c r="W8" s="33" t="s">
        <v>1019</v>
      </c>
      <c r="X8" s="33" t="s">
        <v>281</v>
      </c>
      <c r="Y8" s="33" t="s">
        <v>281</v>
      </c>
      <c r="Z8" s="33" t="s">
        <v>281</v>
      </c>
      <c r="AA8" s="33" t="s">
        <v>281</v>
      </c>
      <c r="AB8" s="33" t="s">
        <v>281</v>
      </c>
      <c r="AC8" s="33" t="s">
        <v>281</v>
      </c>
      <c r="AD8" s="33" t="s">
        <v>281</v>
      </c>
      <c r="AE8" s="33" t="s">
        <v>281</v>
      </c>
      <c r="AF8" s="33" t="s">
        <v>281</v>
      </c>
      <c r="AG8" s="33" t="s">
        <v>281</v>
      </c>
      <c r="AH8" s="33" t="s">
        <v>281</v>
      </c>
    </row>
    <row x14ac:dyDescent="0.25" r="9" customHeight="1" ht="18.75">
      <c r="A9" s="30" t="s">
        <v>45</v>
      </c>
      <c r="B9" s="33" t="s">
        <v>302</v>
      </c>
      <c r="C9" s="33" t="s">
        <v>302</v>
      </c>
      <c r="D9" s="33" t="s">
        <v>302</v>
      </c>
      <c r="E9" s="33" t="s">
        <v>302</v>
      </c>
      <c r="F9" s="33" t="s">
        <v>302</v>
      </c>
      <c r="G9" s="33" t="s">
        <v>302</v>
      </c>
      <c r="H9" s="33" t="s">
        <v>302</v>
      </c>
      <c r="I9" s="33" t="s">
        <v>302</v>
      </c>
      <c r="J9" s="33" t="s">
        <v>302</v>
      </c>
      <c r="K9" s="33" t="s">
        <v>302</v>
      </c>
      <c r="L9" s="33" t="s">
        <v>302</v>
      </c>
      <c r="M9" s="33" t="s">
        <v>302</v>
      </c>
      <c r="N9" s="33" t="s">
        <v>1020</v>
      </c>
      <c r="O9" s="33" t="s">
        <v>302</v>
      </c>
      <c r="P9" s="33" t="s">
        <v>227</v>
      </c>
      <c r="Q9" s="33" t="s">
        <v>227</v>
      </c>
      <c r="R9" s="33" t="s">
        <v>294</v>
      </c>
      <c r="S9" s="33" t="s">
        <v>1022</v>
      </c>
      <c r="T9" s="33" t="s">
        <v>302</v>
      </c>
      <c r="U9" s="33" t="s">
        <v>302</v>
      </c>
      <c r="V9" s="33" t="s">
        <v>303</v>
      </c>
      <c r="W9" s="33" t="s">
        <v>1023</v>
      </c>
      <c r="X9" s="33" t="s">
        <v>302</v>
      </c>
      <c r="Y9" s="33" t="s">
        <v>302</v>
      </c>
      <c r="Z9" s="33" t="s">
        <v>302</v>
      </c>
      <c r="AA9" s="33" t="s">
        <v>302</v>
      </c>
      <c r="AB9" s="33" t="s">
        <v>302</v>
      </c>
      <c r="AC9" s="33" t="s">
        <v>302</v>
      </c>
      <c r="AD9" s="33" t="s">
        <v>302</v>
      </c>
      <c r="AE9" s="33" t="s">
        <v>302</v>
      </c>
      <c r="AF9" s="33" t="s">
        <v>302</v>
      </c>
      <c r="AG9" s="33" t="s">
        <v>302</v>
      </c>
      <c r="AH9" s="33" t="s">
        <v>302</v>
      </c>
    </row>
    <row x14ac:dyDescent="0.25" r="10" customHeight="1" ht="18.75">
      <c r="A10" s="35" t="s">
        <v>47</v>
      </c>
      <c r="B10" s="117">
        <v>19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105</v>
      </c>
      <c r="O10" s="117">
        <v>19</v>
      </c>
      <c r="P10" s="117">
        <v>56</v>
      </c>
      <c r="Q10" s="117">
        <v>56</v>
      </c>
      <c r="R10" s="196">
        <v>34</v>
      </c>
      <c r="S10" s="196">
        <v>106</v>
      </c>
      <c r="T10" s="117">
        <v>19</v>
      </c>
      <c r="U10" s="117">
        <v>19</v>
      </c>
      <c r="V10" s="196">
        <v>150</v>
      </c>
      <c r="W10" s="196">
        <v>152</v>
      </c>
      <c r="X10" s="117">
        <v>19</v>
      </c>
      <c r="Y10" s="117">
        <v>19</v>
      </c>
      <c r="Z10" s="117">
        <v>19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19</v>
      </c>
      <c r="AH10" s="117">
        <v>19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142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295</v>
      </c>
      <c r="O13" s="31" t="s">
        <v>49</v>
      </c>
      <c r="P13" s="31" t="s">
        <v>52</v>
      </c>
      <c r="Q13" s="31" t="s">
        <v>52</v>
      </c>
      <c r="R13" s="139" t="s">
        <v>52</v>
      </c>
      <c r="S13" s="31" t="s">
        <v>1025</v>
      </c>
      <c r="T13" s="114" t="s">
        <v>49</v>
      </c>
      <c r="U13" s="31" t="s">
        <v>49</v>
      </c>
      <c r="V13" s="31" t="s">
        <v>49</v>
      </c>
      <c r="W13" s="31" t="s">
        <v>295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3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1026</v>
      </c>
      <c r="O15" s="31" t="s">
        <v>234</v>
      </c>
      <c r="P15" s="31" t="s">
        <v>133</v>
      </c>
      <c r="Q15" s="31" t="s">
        <v>133</v>
      </c>
      <c r="R15" s="31" t="s">
        <v>133</v>
      </c>
      <c r="S15" s="31" t="s">
        <v>194</v>
      </c>
      <c r="T15" s="31" t="s">
        <v>234</v>
      </c>
      <c r="U15" s="31" t="s">
        <v>234</v>
      </c>
      <c r="V15" s="31" t="s">
        <v>304</v>
      </c>
      <c r="W15" s="31" t="s">
        <v>133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234</v>
      </c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f>AVERAGE(3,3,1)</f>
      </c>
      <c r="O16" s="31">
        <v>-3</v>
      </c>
      <c r="P16" s="31">
        <v>-0.5</v>
      </c>
      <c r="Q16" s="31">
        <v>-0.5</v>
      </c>
      <c r="R16" s="31">
        <v>-0.5</v>
      </c>
      <c r="S16" s="31">
        <f>AVERAGE(-0.5,2)</f>
      </c>
      <c r="T16" s="31">
        <v>-3</v>
      </c>
      <c r="U16" s="31">
        <v>-3</v>
      </c>
      <c r="V16" s="31">
        <v>-2.5</v>
      </c>
      <c r="W16" s="31">
        <f>AVERAGE(-2,-0.5)</f>
      </c>
      <c r="X16" s="31">
        <v>-3</v>
      </c>
      <c r="Y16" s="31">
        <v>-3</v>
      </c>
      <c r="Z16" s="31">
        <v>-3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-3</v>
      </c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1028</v>
      </c>
      <c r="O17" s="31" t="s">
        <v>138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138</v>
      </c>
      <c r="U17" s="31" t="s">
        <v>138</v>
      </c>
      <c r="V17" s="31" t="s">
        <v>138</v>
      </c>
      <c r="W17" s="31" t="s">
        <v>814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f>AVERAGE(4,4,3)</f>
      </c>
      <c r="O18" s="31">
        <v>4</v>
      </c>
      <c r="P18" s="31">
        <v>2</v>
      </c>
      <c r="Q18" s="31">
        <v>2</v>
      </c>
      <c r="R18" s="31">
        <v>3</v>
      </c>
      <c r="S18" s="31">
        <f>AVERAGE(3,2)</f>
      </c>
      <c r="T18" s="31">
        <v>4</v>
      </c>
      <c r="U18" s="31">
        <v>4</v>
      </c>
      <c r="V18" s="31">
        <v>4</v>
      </c>
      <c r="W18" s="31">
        <f>AVERAGE(4,3)</f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</row>
    <row x14ac:dyDescent="0.25" r="19" customHeight="1" ht="18.75">
      <c r="A19" s="3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207" t="s">
        <v>1433</v>
      </c>
      <c r="B21" s="40" t="s">
        <v>1186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x14ac:dyDescent="0.25" r="22" customHeight="1" ht="18.75">
      <c r="A22" s="123"/>
      <c r="B22" s="40" t="s">
        <v>1434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x14ac:dyDescent="0.25" r="23" customHeight="1" ht="17.25">
      <c r="A23" s="207" t="s">
        <v>1435</v>
      </c>
      <c r="B23" s="40" t="s">
        <v>849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x14ac:dyDescent="0.25" r="24" customHeight="1" ht="18.75">
      <c r="A24" s="123"/>
      <c r="B24" s="40" t="s">
        <v>1436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</sheetData>
  <mergeCells count="7">
    <mergeCell ref="B3:D3"/>
    <mergeCell ref="F3:O3"/>
    <mergeCell ref="B4:D4"/>
    <mergeCell ref="F4:O5"/>
    <mergeCell ref="B5:D5"/>
    <mergeCell ref="A21:A22"/>
    <mergeCell ref="A23:A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2"/>
  <sheetViews>
    <sheetView workbookViewId="0"/>
  </sheetViews>
  <sheetFormatPr defaultRowHeight="15" x14ac:dyDescent="0.25"/>
  <cols>
    <col min="1" max="1" style="44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3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9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3"/>
      <c r="W3" s="3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1420</v>
      </c>
      <c r="C4" s="7"/>
      <c r="D4" s="7"/>
      <c r="E4" s="2"/>
      <c r="F4" s="124" t="s">
        <v>1425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3"/>
      <c r="W4" s="3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1426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3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06" t="s">
        <v>35</v>
      </c>
    </row>
    <row x14ac:dyDescent="0.25" r="8" customHeight="1" ht="18.75">
      <c r="A8" s="30" t="s">
        <v>43</v>
      </c>
      <c r="B8" s="33" t="s">
        <v>562</v>
      </c>
      <c r="C8" s="33" t="s">
        <v>281</v>
      </c>
      <c r="D8" s="33" t="s">
        <v>281</v>
      </c>
      <c r="E8" s="33" t="s">
        <v>281</v>
      </c>
      <c r="F8" s="33" t="s">
        <v>281</v>
      </c>
      <c r="G8" s="33" t="s">
        <v>281</v>
      </c>
      <c r="H8" s="33" t="s">
        <v>281</v>
      </c>
      <c r="I8" s="33" t="s">
        <v>281</v>
      </c>
      <c r="J8" s="33" t="s">
        <v>281</v>
      </c>
      <c r="K8" s="33" t="s">
        <v>281</v>
      </c>
      <c r="L8" s="33" t="s">
        <v>281</v>
      </c>
      <c r="M8" s="33" t="s">
        <v>281</v>
      </c>
      <c r="N8" s="33" t="s">
        <v>281</v>
      </c>
      <c r="O8" s="33" t="s">
        <v>281</v>
      </c>
      <c r="P8" s="33" t="s">
        <v>281</v>
      </c>
      <c r="Q8" s="33" t="s">
        <v>281</v>
      </c>
      <c r="R8" s="33" t="s">
        <v>281</v>
      </c>
      <c r="S8" s="33" t="s">
        <v>281</v>
      </c>
      <c r="T8" s="33" t="s">
        <v>281</v>
      </c>
      <c r="U8" s="33" t="s">
        <v>281</v>
      </c>
      <c r="V8" s="34" t="s">
        <v>281</v>
      </c>
      <c r="W8" s="34" t="s">
        <v>281</v>
      </c>
      <c r="X8" s="33" t="s">
        <v>281</v>
      </c>
      <c r="Y8" s="33" t="s">
        <v>281</v>
      </c>
      <c r="Z8" s="33" t="s">
        <v>281</v>
      </c>
      <c r="AA8" s="33" t="s">
        <v>281</v>
      </c>
      <c r="AB8" s="33" t="s">
        <v>281</v>
      </c>
      <c r="AC8" s="33" t="s">
        <v>281</v>
      </c>
      <c r="AD8" s="33" t="s">
        <v>281</v>
      </c>
      <c r="AE8" s="33" t="s">
        <v>281</v>
      </c>
      <c r="AF8" s="33" t="s">
        <v>281</v>
      </c>
      <c r="AG8" s="33" t="s">
        <v>281</v>
      </c>
      <c r="AH8" s="33" t="s">
        <v>281</v>
      </c>
      <c r="AI8" s="3"/>
      <c r="AJ8" s="33" t="s">
        <v>268</v>
      </c>
    </row>
    <row x14ac:dyDescent="0.25" r="9" customHeight="1" ht="18.75">
      <c r="A9" s="30" t="s">
        <v>45</v>
      </c>
      <c r="B9" s="33" t="s">
        <v>302</v>
      </c>
      <c r="C9" s="33" t="s">
        <v>302</v>
      </c>
      <c r="D9" s="33" t="s">
        <v>302</v>
      </c>
      <c r="E9" s="33" t="s">
        <v>302</v>
      </c>
      <c r="F9" s="33" t="s">
        <v>302</v>
      </c>
      <c r="G9" s="33" t="s">
        <v>302</v>
      </c>
      <c r="H9" s="33" t="s">
        <v>302</v>
      </c>
      <c r="I9" s="33" t="s">
        <v>302</v>
      </c>
      <c r="J9" s="33" t="s">
        <v>302</v>
      </c>
      <c r="K9" s="33" t="s">
        <v>302</v>
      </c>
      <c r="L9" s="33" t="s">
        <v>302</v>
      </c>
      <c r="M9" s="33" t="s">
        <v>302</v>
      </c>
      <c r="N9" s="33" t="s">
        <v>302</v>
      </c>
      <c r="O9" s="33" t="s">
        <v>302</v>
      </c>
      <c r="P9" s="33" t="s">
        <v>302</v>
      </c>
      <c r="Q9" s="33" t="s">
        <v>302</v>
      </c>
      <c r="R9" s="33" t="s">
        <v>302</v>
      </c>
      <c r="S9" s="33" t="s">
        <v>302</v>
      </c>
      <c r="T9" s="33" t="s">
        <v>302</v>
      </c>
      <c r="U9" s="33" t="s">
        <v>302</v>
      </c>
      <c r="V9" s="253" t="s">
        <v>302</v>
      </c>
      <c r="W9" s="253" t="s">
        <v>302</v>
      </c>
      <c r="X9" s="33" t="s">
        <v>302</v>
      </c>
      <c r="Y9" s="33" t="s">
        <v>302</v>
      </c>
      <c r="Z9" s="33" t="s">
        <v>302</v>
      </c>
      <c r="AA9" s="33" t="s">
        <v>302</v>
      </c>
      <c r="AB9" s="33" t="s">
        <v>302</v>
      </c>
      <c r="AC9" s="33" t="s">
        <v>302</v>
      </c>
      <c r="AD9" s="33" t="s">
        <v>302</v>
      </c>
      <c r="AE9" s="33" t="s">
        <v>302</v>
      </c>
      <c r="AF9" s="33" t="s">
        <v>302</v>
      </c>
      <c r="AG9" s="33" t="s">
        <v>302</v>
      </c>
      <c r="AH9" s="33" t="s">
        <v>302</v>
      </c>
      <c r="AI9" s="3"/>
      <c r="AJ9" s="31" t="s">
        <v>511</v>
      </c>
    </row>
    <row x14ac:dyDescent="0.25" r="10" customHeight="1" ht="18.75">
      <c r="A10" s="35" t="s">
        <v>47</v>
      </c>
      <c r="B10" s="117">
        <v>19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254"/>
      <c r="W10" s="254"/>
      <c r="X10" s="117">
        <v>19</v>
      </c>
      <c r="Y10" s="117">
        <v>19</v>
      </c>
      <c r="Z10" s="117">
        <v>19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19</v>
      </c>
      <c r="AH10" s="117">
        <v>19</v>
      </c>
      <c r="AI10" s="3"/>
      <c r="AJ10" s="117">
        <v>20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2"/>
      <c r="W11" s="32"/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2"/>
      <c r="W12" s="32"/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2"/>
      <c r="W13" s="32"/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2"/>
      <c r="W14" s="32"/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2"/>
      <c r="W15" s="32"/>
      <c r="X15" s="31" t="s">
        <v>234</v>
      </c>
      <c r="Y15" s="31" t="s">
        <v>234</v>
      </c>
      <c r="Z15" s="31" t="s">
        <v>234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234</v>
      </c>
      <c r="AH15" s="31" t="s">
        <v>234</v>
      </c>
      <c r="AI15" s="3"/>
      <c r="AJ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/>
      <c r="W16" s="31"/>
      <c r="X16" s="31">
        <v>-3</v>
      </c>
      <c r="Y16" s="31">
        <v>-3</v>
      </c>
      <c r="Z16" s="31">
        <v>-3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-3</v>
      </c>
      <c r="AH16" s="31">
        <v>-3</v>
      </c>
      <c r="AI16" s="3"/>
      <c r="AJ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2"/>
      <c r="W17" s="32"/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  <c r="AI17" s="3"/>
      <c r="AJ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/>
      <c r="W18" s="31"/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  <c r="AI18" s="3"/>
      <c r="AJ18" s="31">
        <v>4</v>
      </c>
    </row>
    <row x14ac:dyDescent="0.25" r="19" customHeight="1" ht="18.75">
      <c r="A19" s="3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2"/>
      <c r="Y19" s="2"/>
      <c r="Z19" s="2"/>
      <c r="AA19" s="150" t="s">
        <v>1427</v>
      </c>
      <c r="AB19" s="2"/>
      <c r="AC19" s="2"/>
      <c r="AD19" s="2"/>
      <c r="AE19" s="2"/>
      <c r="AF19" s="2"/>
      <c r="AG19" s="2"/>
      <c r="AH19" s="2"/>
      <c r="AI19" s="3"/>
      <c r="AJ19" s="150" t="s">
        <v>1428</v>
      </c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30" t="s">
        <v>1429</v>
      </c>
      <c r="B21" s="40" t="s">
        <v>1186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</row>
    <row x14ac:dyDescent="0.25" r="22" customHeight="1" ht="18.75">
      <c r="A22" s="123" t="s">
        <v>1430</v>
      </c>
      <c r="B22" s="40" t="s">
        <v>849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4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10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1420</v>
      </c>
      <c r="C4" s="7"/>
      <c r="D4" s="7"/>
      <c r="E4" s="2"/>
      <c r="F4" s="124" t="s">
        <v>1421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1422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562</v>
      </c>
      <c r="C8" s="33" t="s">
        <v>281</v>
      </c>
      <c r="D8" s="33" t="s">
        <v>281</v>
      </c>
      <c r="E8" s="33" t="s">
        <v>281</v>
      </c>
      <c r="F8" s="33" t="s">
        <v>281</v>
      </c>
      <c r="G8" s="33" t="s">
        <v>281</v>
      </c>
      <c r="H8" s="33" t="s">
        <v>281</v>
      </c>
      <c r="I8" s="33" t="s">
        <v>281</v>
      </c>
      <c r="J8" s="33" t="s">
        <v>281</v>
      </c>
      <c r="K8" s="33" t="s">
        <v>281</v>
      </c>
      <c r="L8" s="33" t="s">
        <v>281</v>
      </c>
      <c r="M8" s="33" t="s">
        <v>281</v>
      </c>
      <c r="N8" s="33" t="s">
        <v>281</v>
      </c>
      <c r="O8" s="33" t="s">
        <v>281</v>
      </c>
      <c r="P8" s="33" t="s">
        <v>281</v>
      </c>
      <c r="Q8" s="33" t="s">
        <v>281</v>
      </c>
      <c r="R8" s="33" t="s">
        <v>281</v>
      </c>
      <c r="S8" s="33" t="s">
        <v>281</v>
      </c>
      <c r="T8" s="33" t="s">
        <v>281</v>
      </c>
      <c r="U8" s="33" t="s">
        <v>281</v>
      </c>
      <c r="V8" s="33" t="s">
        <v>1423</v>
      </c>
      <c r="W8" s="33" t="s">
        <v>281</v>
      </c>
      <c r="X8" s="33" t="s">
        <v>281</v>
      </c>
      <c r="Y8" s="33" t="s">
        <v>281</v>
      </c>
      <c r="Z8" s="33" t="s">
        <v>281</v>
      </c>
      <c r="AA8" s="33" t="s">
        <v>281</v>
      </c>
      <c r="AB8" s="33" t="s">
        <v>281</v>
      </c>
      <c r="AC8" s="33" t="s">
        <v>281</v>
      </c>
      <c r="AD8" s="33" t="s">
        <v>281</v>
      </c>
      <c r="AE8" s="33" t="s">
        <v>281</v>
      </c>
      <c r="AF8" s="33" t="s">
        <v>281</v>
      </c>
      <c r="AG8" s="33" t="s">
        <v>281</v>
      </c>
      <c r="AH8" s="33" t="s">
        <v>281</v>
      </c>
    </row>
    <row x14ac:dyDescent="0.25" r="9" customHeight="1" ht="18.75">
      <c r="A9" s="30" t="s">
        <v>45</v>
      </c>
      <c r="B9" s="33" t="s">
        <v>302</v>
      </c>
      <c r="C9" s="33" t="s">
        <v>302</v>
      </c>
      <c r="D9" s="33" t="s">
        <v>302</v>
      </c>
      <c r="E9" s="33" t="s">
        <v>302</v>
      </c>
      <c r="F9" s="33" t="s">
        <v>302</v>
      </c>
      <c r="G9" s="33" t="s">
        <v>302</v>
      </c>
      <c r="H9" s="33" t="s">
        <v>302</v>
      </c>
      <c r="I9" s="33" t="s">
        <v>302</v>
      </c>
      <c r="J9" s="33" t="s">
        <v>302</v>
      </c>
      <c r="K9" s="33" t="s">
        <v>302</v>
      </c>
      <c r="L9" s="33" t="s">
        <v>302</v>
      </c>
      <c r="M9" s="33" t="s">
        <v>302</v>
      </c>
      <c r="N9" s="33" t="s">
        <v>302</v>
      </c>
      <c r="O9" s="33" t="s">
        <v>302</v>
      </c>
      <c r="P9" s="33" t="s">
        <v>302</v>
      </c>
      <c r="Q9" s="33" t="s">
        <v>302</v>
      </c>
      <c r="R9" s="33" t="s">
        <v>302</v>
      </c>
      <c r="S9" s="33" t="s">
        <v>302</v>
      </c>
      <c r="T9" s="33" t="s">
        <v>302</v>
      </c>
      <c r="U9" s="33" t="s">
        <v>302</v>
      </c>
      <c r="V9" s="113" t="s">
        <v>281</v>
      </c>
      <c r="W9" s="33" t="s">
        <v>302</v>
      </c>
      <c r="X9" s="33" t="s">
        <v>302</v>
      </c>
      <c r="Y9" s="33" t="s">
        <v>302</v>
      </c>
      <c r="Z9" s="33" t="s">
        <v>302</v>
      </c>
      <c r="AA9" s="33" t="s">
        <v>302</v>
      </c>
      <c r="AB9" s="33" t="s">
        <v>302</v>
      </c>
      <c r="AC9" s="33" t="s">
        <v>302</v>
      </c>
      <c r="AD9" s="33" t="s">
        <v>302</v>
      </c>
      <c r="AE9" s="33" t="s">
        <v>302</v>
      </c>
      <c r="AF9" s="33" t="s">
        <v>302</v>
      </c>
      <c r="AG9" s="33" t="s">
        <v>302</v>
      </c>
      <c r="AH9" s="33" t="s">
        <v>302</v>
      </c>
    </row>
    <row x14ac:dyDescent="0.25" r="10" customHeight="1" ht="18.75">
      <c r="A10" s="35" t="s">
        <v>47</v>
      </c>
      <c r="B10" s="117">
        <v>19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235">
        <v>17</v>
      </c>
      <c r="W10" s="117">
        <v>19</v>
      </c>
      <c r="X10" s="117">
        <v>19</v>
      </c>
      <c r="Y10" s="117">
        <v>19</v>
      </c>
      <c r="Z10" s="117">
        <v>19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19</v>
      </c>
      <c r="AH10" s="117">
        <v>19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234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234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234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234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234" t="s">
        <v>133</v>
      </c>
      <c r="W15" s="31" t="s">
        <v>234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234</v>
      </c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234">
        <v>-2</v>
      </c>
      <c r="W16" s="31">
        <v>-3</v>
      </c>
      <c r="X16" s="31">
        <v>-3</v>
      </c>
      <c r="Y16" s="31">
        <v>-3</v>
      </c>
      <c r="Z16" s="31">
        <v>-3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-3</v>
      </c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234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234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1424</v>
      </c>
      <c r="B21" s="40" t="s">
        <v>1186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11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3"/>
      <c r="W3" s="3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1402</v>
      </c>
      <c r="C4" s="7"/>
      <c r="D4" s="7"/>
      <c r="E4" s="2"/>
      <c r="F4" s="124" t="s">
        <v>1417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3"/>
      <c r="W4" s="3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1364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509</v>
      </c>
      <c r="C8" s="31" t="s">
        <v>268</v>
      </c>
      <c r="D8" s="31" t="s">
        <v>268</v>
      </c>
      <c r="E8" s="31" t="s">
        <v>220</v>
      </c>
      <c r="F8" s="31" t="s">
        <v>220</v>
      </c>
      <c r="G8" s="31" t="s">
        <v>515</v>
      </c>
      <c r="H8" s="31" t="s">
        <v>515</v>
      </c>
      <c r="I8" s="31" t="s">
        <v>515</v>
      </c>
      <c r="J8" s="33" t="s">
        <v>301</v>
      </c>
      <c r="K8" s="31" t="s">
        <v>268</v>
      </c>
      <c r="L8" s="31" t="s">
        <v>268</v>
      </c>
      <c r="M8" s="31" t="s">
        <v>268</v>
      </c>
      <c r="N8" s="33" t="s">
        <v>268</v>
      </c>
      <c r="O8" s="31" t="s">
        <v>268</v>
      </c>
      <c r="P8" s="31" t="s">
        <v>268</v>
      </c>
      <c r="Q8" s="31" t="s">
        <v>268</v>
      </c>
      <c r="R8" s="33" t="s">
        <v>607</v>
      </c>
      <c r="S8" s="33" t="s">
        <v>268</v>
      </c>
      <c r="T8" s="33" t="s">
        <v>411</v>
      </c>
      <c r="U8" s="33" t="s">
        <v>801</v>
      </c>
      <c r="V8" s="34" t="s">
        <v>1415</v>
      </c>
      <c r="W8" s="34" t="s">
        <v>411</v>
      </c>
      <c r="X8" s="33" t="s">
        <v>268</v>
      </c>
      <c r="Y8" s="33" t="s">
        <v>268</v>
      </c>
      <c r="Z8" s="33" t="s">
        <v>803</v>
      </c>
      <c r="AA8" s="31" t="s">
        <v>268</v>
      </c>
      <c r="AB8" s="34"/>
      <c r="AC8" s="33" t="s">
        <v>132</v>
      </c>
      <c r="AD8" s="34"/>
      <c r="AE8" s="33" t="s">
        <v>132</v>
      </c>
      <c r="AF8" s="33" t="s">
        <v>805</v>
      </c>
      <c r="AG8" s="33" t="s">
        <v>581</v>
      </c>
      <c r="AH8" s="31" t="s">
        <v>268</v>
      </c>
    </row>
    <row x14ac:dyDescent="0.25" r="9" customHeight="1" ht="18.75">
      <c r="A9" s="30" t="s">
        <v>45</v>
      </c>
      <c r="B9" s="31" t="s">
        <v>511</v>
      </c>
      <c r="C9" s="31" t="s">
        <v>271</v>
      </c>
      <c r="D9" s="31" t="s">
        <v>271</v>
      </c>
      <c r="E9" s="33" t="s">
        <v>227</v>
      </c>
      <c r="F9" s="33" t="s">
        <v>227</v>
      </c>
      <c r="G9" s="31" t="s">
        <v>1091</v>
      </c>
      <c r="H9" s="31" t="s">
        <v>1091</v>
      </c>
      <c r="I9" s="31" t="s">
        <v>1091</v>
      </c>
      <c r="J9" s="33" t="s">
        <v>294</v>
      </c>
      <c r="K9" s="31" t="s">
        <v>271</v>
      </c>
      <c r="L9" s="31" t="s">
        <v>272</v>
      </c>
      <c r="M9" s="31" t="s">
        <v>271</v>
      </c>
      <c r="N9" s="119" t="s">
        <v>519</v>
      </c>
      <c r="O9" s="31" t="s">
        <v>271</v>
      </c>
      <c r="P9" s="31" t="s">
        <v>271</v>
      </c>
      <c r="Q9" s="31" t="s">
        <v>271</v>
      </c>
      <c r="R9" s="33" t="s">
        <v>272</v>
      </c>
      <c r="S9" s="33" t="s">
        <v>1292</v>
      </c>
      <c r="T9" s="33" t="s">
        <v>806</v>
      </c>
      <c r="U9" s="33" t="s">
        <v>807</v>
      </c>
      <c r="V9" s="34" t="s">
        <v>1418</v>
      </c>
      <c r="W9" s="34"/>
      <c r="X9" s="31" t="s">
        <v>511</v>
      </c>
      <c r="Y9" s="33" t="s">
        <v>272</v>
      </c>
      <c r="Z9" s="33" t="s">
        <v>809</v>
      </c>
      <c r="AA9" s="31" t="s">
        <v>272</v>
      </c>
      <c r="AB9" s="34"/>
      <c r="AC9" s="31" t="s">
        <v>132</v>
      </c>
      <c r="AD9" s="34"/>
      <c r="AE9" s="31" t="s">
        <v>132</v>
      </c>
      <c r="AF9" s="33" t="s">
        <v>811</v>
      </c>
      <c r="AG9" s="33" t="s">
        <v>582</v>
      </c>
      <c r="AH9" s="31" t="s">
        <v>272</v>
      </c>
    </row>
    <row x14ac:dyDescent="0.25" r="10" customHeight="1" ht="18.75">
      <c r="A10" s="35" t="s">
        <v>47</v>
      </c>
      <c r="B10" s="117">
        <v>20</v>
      </c>
      <c r="C10" s="117">
        <v>57</v>
      </c>
      <c r="D10" s="117">
        <v>57</v>
      </c>
      <c r="E10" s="117">
        <v>56</v>
      </c>
      <c r="F10" s="117">
        <v>56</v>
      </c>
      <c r="G10" s="117">
        <v>39</v>
      </c>
      <c r="H10" s="117">
        <v>39</v>
      </c>
      <c r="I10" s="117">
        <v>39</v>
      </c>
      <c r="J10" s="117">
        <v>34</v>
      </c>
      <c r="K10" s="117">
        <v>57</v>
      </c>
      <c r="L10" s="117">
        <v>35</v>
      </c>
      <c r="M10" s="117">
        <v>57</v>
      </c>
      <c r="N10" s="117">
        <v>194</v>
      </c>
      <c r="O10" s="117">
        <v>57</v>
      </c>
      <c r="P10" s="117">
        <v>57</v>
      </c>
      <c r="Q10" s="117">
        <v>57</v>
      </c>
      <c r="R10" s="117">
        <v>35</v>
      </c>
      <c r="S10" s="117">
        <v>107</v>
      </c>
      <c r="T10" s="117">
        <v>111</v>
      </c>
      <c r="U10" s="117">
        <v>108</v>
      </c>
      <c r="V10" s="37"/>
      <c r="W10" s="37"/>
      <c r="X10" s="117">
        <v>20</v>
      </c>
      <c r="Y10" s="117">
        <v>35</v>
      </c>
      <c r="Z10" s="117">
        <v>18</v>
      </c>
      <c r="AA10" s="117">
        <v>35</v>
      </c>
      <c r="AB10" s="37"/>
      <c r="AC10" s="117">
        <v>98</v>
      </c>
      <c r="AD10" s="37"/>
      <c r="AE10" s="117">
        <v>98</v>
      </c>
      <c r="AF10" s="117">
        <v>109</v>
      </c>
      <c r="AG10" s="117">
        <v>27</v>
      </c>
      <c r="AH10" s="117">
        <v>35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2"/>
      <c r="W11" s="32"/>
      <c r="X11" s="31" t="s">
        <v>52</v>
      </c>
      <c r="Y11" s="31" t="s">
        <v>52</v>
      </c>
      <c r="Z11" s="31" t="s">
        <v>52</v>
      </c>
      <c r="AA11" s="31" t="s">
        <v>52</v>
      </c>
      <c r="AB11" s="32"/>
      <c r="AC11" s="31" t="s">
        <v>52</v>
      </c>
      <c r="AD11" s="32"/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49</v>
      </c>
      <c r="F12" s="31" t="s">
        <v>49</v>
      </c>
      <c r="G12" s="31" t="s">
        <v>52</v>
      </c>
      <c r="H12" s="31" t="s">
        <v>52</v>
      </c>
      <c r="I12" s="31" t="s">
        <v>52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2"/>
      <c r="W12" s="32"/>
      <c r="X12" s="31" t="s">
        <v>52</v>
      </c>
      <c r="Y12" s="31" t="s">
        <v>52</v>
      </c>
      <c r="Z12" s="31" t="s">
        <v>52</v>
      </c>
      <c r="AA12" s="31" t="s">
        <v>52</v>
      </c>
      <c r="AB12" s="32"/>
      <c r="AC12" s="31" t="s">
        <v>52</v>
      </c>
      <c r="AD12" s="32"/>
      <c r="AE12" s="31" t="s">
        <v>52</v>
      </c>
      <c r="AF12" s="31" t="s">
        <v>49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49</v>
      </c>
      <c r="H13" s="31" t="s">
        <v>49</v>
      </c>
      <c r="I13" s="31" t="s">
        <v>49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48" t="s">
        <v>162</v>
      </c>
      <c r="T13" s="31" t="s">
        <v>52</v>
      </c>
      <c r="U13" s="31" t="s">
        <v>52</v>
      </c>
      <c r="V13" s="32"/>
      <c r="W13" s="32"/>
      <c r="X13" s="31" t="s">
        <v>49</v>
      </c>
      <c r="Y13" s="31" t="s">
        <v>52</v>
      </c>
      <c r="Z13" s="31" t="s">
        <v>49</v>
      </c>
      <c r="AA13" s="31" t="s">
        <v>52</v>
      </c>
      <c r="AB13" s="32"/>
      <c r="AC13" s="31" t="s">
        <v>49</v>
      </c>
      <c r="AD13" s="32"/>
      <c r="AE13" s="31" t="s">
        <v>49</v>
      </c>
      <c r="AF13" s="48" t="s">
        <v>162</v>
      </c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2"/>
      <c r="W14" s="32"/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31" t="s">
        <v>133</v>
      </c>
      <c r="H15" s="31" t="s">
        <v>133</v>
      </c>
      <c r="I15" s="31" t="s">
        <v>133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520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143</v>
      </c>
      <c r="T15" s="31" t="s">
        <v>143</v>
      </c>
      <c r="U15" s="31" t="s">
        <v>194</v>
      </c>
      <c r="V15" s="32"/>
      <c r="W15" s="32"/>
      <c r="X15" s="31" t="s">
        <v>234</v>
      </c>
      <c r="Y15" s="31" t="s">
        <v>133</v>
      </c>
      <c r="Z15" s="31" t="s">
        <v>133</v>
      </c>
      <c r="AA15" s="31" t="s">
        <v>133</v>
      </c>
      <c r="AB15" s="32"/>
      <c r="AC15" s="31" t="s">
        <v>133</v>
      </c>
      <c r="AD15" s="32"/>
      <c r="AE15" s="31" t="s">
        <v>133</v>
      </c>
      <c r="AF15" s="31" t="s">
        <v>143</v>
      </c>
      <c r="AG15" s="31" t="s">
        <v>143</v>
      </c>
      <c r="AH15" s="31" t="s">
        <v>133</v>
      </c>
    </row>
    <row x14ac:dyDescent="0.25" r="16" customHeight="1" ht="18.75">
      <c r="A16" s="30" t="s">
        <v>128</v>
      </c>
      <c r="B16" s="31">
        <v>-3</v>
      </c>
      <c r="C16" s="31">
        <v>-0.5</v>
      </c>
      <c r="D16" s="31">
        <v>-0.5</v>
      </c>
      <c r="E16" s="31">
        <v>-0.5</v>
      </c>
      <c r="F16" s="31">
        <v>-0.5</v>
      </c>
      <c r="G16" s="31">
        <v>-2</v>
      </c>
      <c r="H16" s="31">
        <v>-2</v>
      </c>
      <c r="I16" s="31">
        <v>-2</v>
      </c>
      <c r="J16" s="31">
        <v>-0.5</v>
      </c>
      <c r="K16" s="31">
        <v>-0.5</v>
      </c>
      <c r="L16" s="31">
        <v>-0.5</v>
      </c>
      <c r="M16" s="31">
        <v>-0.5</v>
      </c>
      <c r="N16" s="31">
        <f>AVERAGE(-0.5,-0.5,0.5)</f>
      </c>
      <c r="O16" s="31">
        <v>-0.5</v>
      </c>
      <c r="P16" s="31">
        <v>-0.5</v>
      </c>
      <c r="Q16" s="31">
        <v>-0.5</v>
      </c>
      <c r="R16" s="31">
        <v>-0.5</v>
      </c>
      <c r="S16" s="31">
        <f>AVERAGE(1,2)</f>
      </c>
      <c r="T16" s="31">
        <v>1</v>
      </c>
      <c r="U16" s="31">
        <f>AVERAGE(-0.5,1)</f>
      </c>
      <c r="V16" s="31"/>
      <c r="W16" s="31"/>
      <c r="X16" s="31">
        <v>-3</v>
      </c>
      <c r="Y16" s="31">
        <v>-0.5</v>
      </c>
      <c r="Z16" s="31">
        <v>-2</v>
      </c>
      <c r="AA16" s="31">
        <v>-0.5</v>
      </c>
      <c r="AB16" s="31"/>
      <c r="AC16" s="31">
        <v>-2</v>
      </c>
      <c r="AD16" s="31"/>
      <c r="AE16" s="31">
        <v>-2</v>
      </c>
      <c r="AF16" s="31">
        <f>AVERAGE(0.5,2)</f>
      </c>
      <c r="AG16" s="31">
        <f>4/3</f>
      </c>
      <c r="AH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274</v>
      </c>
      <c r="H17" s="31" t="s">
        <v>274</v>
      </c>
      <c r="I17" s="31" t="s">
        <v>274</v>
      </c>
      <c r="J17" s="31" t="s">
        <v>274</v>
      </c>
      <c r="K17" s="31" t="s">
        <v>169</v>
      </c>
      <c r="L17" s="31" t="s">
        <v>274</v>
      </c>
      <c r="M17" s="31" t="s">
        <v>169</v>
      </c>
      <c r="N17" s="31" t="s">
        <v>274</v>
      </c>
      <c r="O17" s="31" t="s">
        <v>169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812</v>
      </c>
      <c r="U17" s="31" t="s">
        <v>813</v>
      </c>
      <c r="V17" s="32"/>
      <c r="W17" s="32"/>
      <c r="X17" s="31" t="s">
        <v>138</v>
      </c>
      <c r="Y17" s="31" t="s">
        <v>274</v>
      </c>
      <c r="Z17" s="31" t="s">
        <v>138</v>
      </c>
      <c r="AA17" s="31" t="s">
        <v>274</v>
      </c>
      <c r="AB17" s="32"/>
      <c r="AC17" s="31" t="s">
        <v>134</v>
      </c>
      <c r="AD17" s="32"/>
      <c r="AE17" s="31" t="s">
        <v>134</v>
      </c>
      <c r="AF17" s="31" t="s">
        <v>169</v>
      </c>
      <c r="AG17" s="31" t="s">
        <v>274</v>
      </c>
      <c r="AH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3</v>
      </c>
      <c r="H18" s="31">
        <v>3</v>
      </c>
      <c r="I18" s="31">
        <v>3</v>
      </c>
      <c r="J18" s="31">
        <v>3</v>
      </c>
      <c r="K18" s="31">
        <v>2</v>
      </c>
      <c r="L18" s="31">
        <v>3</v>
      </c>
      <c r="M18" s="31">
        <v>2</v>
      </c>
      <c r="N18" s="31">
        <v>3</v>
      </c>
      <c r="O18" s="31">
        <v>2</v>
      </c>
      <c r="P18" s="31">
        <v>2</v>
      </c>
      <c r="Q18" s="31">
        <v>2</v>
      </c>
      <c r="R18" s="31">
        <v>3</v>
      </c>
      <c r="S18" s="31">
        <f>AVERAGE(3,2)</f>
      </c>
      <c r="T18" s="31">
        <f>AVERAGE(2,2,3)</f>
      </c>
      <c r="U18" s="31">
        <f>AVERAGE(3,2)</f>
      </c>
      <c r="V18" s="31"/>
      <c r="W18" s="31"/>
      <c r="X18" s="31">
        <v>4</v>
      </c>
      <c r="Y18" s="31">
        <v>3</v>
      </c>
      <c r="Z18" s="31">
        <v>4</v>
      </c>
      <c r="AA18" s="31">
        <v>3</v>
      </c>
      <c r="AB18" s="31"/>
      <c r="AC18" s="31">
        <f>1/3</f>
      </c>
      <c r="AD18" s="31"/>
      <c r="AE18" s="31">
        <f>1/3</f>
      </c>
      <c r="AF18" s="31">
        <v>2</v>
      </c>
      <c r="AG18" s="31">
        <v>3</v>
      </c>
      <c r="AH18" s="31">
        <v>3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209" t="s">
        <v>1419</v>
      </c>
      <c r="B21" s="40" t="s">
        <v>1294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3"/>
      <c r="AC21" s="2"/>
      <c r="AD21" s="3"/>
      <c r="AE21" s="2"/>
      <c r="AF21" s="2"/>
      <c r="AG21" s="2"/>
      <c r="AH21" s="2"/>
    </row>
    <row x14ac:dyDescent="0.25" r="22" customHeight="1" ht="18.75">
      <c r="A22" s="30"/>
      <c r="B22" s="40" t="s">
        <v>1295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3"/>
      <c r="AC22" s="2"/>
      <c r="AD22" s="3"/>
      <c r="AE22" s="2"/>
      <c r="AF22" s="2"/>
      <c r="AG22" s="2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12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3"/>
      <c r="W3" s="3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1402</v>
      </c>
      <c r="C4" s="7"/>
      <c r="D4" s="7"/>
      <c r="E4" s="2"/>
      <c r="F4" s="124" t="s">
        <v>1413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3"/>
      <c r="W4" s="3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1414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509</v>
      </c>
      <c r="C8" s="33" t="s">
        <v>268</v>
      </c>
      <c r="D8" s="33" t="s">
        <v>268</v>
      </c>
      <c r="E8" s="31" t="s">
        <v>220</v>
      </c>
      <c r="F8" s="31" t="s">
        <v>220</v>
      </c>
      <c r="G8" s="33" t="s">
        <v>782</v>
      </c>
      <c r="H8" s="33" t="s">
        <v>782</v>
      </c>
      <c r="I8" s="33" t="s">
        <v>782</v>
      </c>
      <c r="J8" s="33" t="s">
        <v>301</v>
      </c>
      <c r="K8" s="33" t="s">
        <v>268</v>
      </c>
      <c r="L8" s="33" t="s">
        <v>268</v>
      </c>
      <c r="M8" s="33" t="s">
        <v>268</v>
      </c>
      <c r="N8" s="33" t="s">
        <v>268</v>
      </c>
      <c r="O8" s="31" t="s">
        <v>268</v>
      </c>
      <c r="P8" s="33" t="s">
        <v>268</v>
      </c>
      <c r="Q8" s="31" t="s">
        <v>268</v>
      </c>
      <c r="R8" s="33" t="s">
        <v>607</v>
      </c>
      <c r="S8" s="33" t="s">
        <v>268</v>
      </c>
      <c r="T8" s="33" t="s">
        <v>411</v>
      </c>
      <c r="U8" s="33" t="s">
        <v>801</v>
      </c>
      <c r="V8" s="34" t="s">
        <v>1415</v>
      </c>
      <c r="W8" s="34" t="s">
        <v>411</v>
      </c>
      <c r="X8" s="33" t="s">
        <v>268</v>
      </c>
      <c r="Y8" s="33" t="s">
        <v>268</v>
      </c>
      <c r="Z8" s="33" t="s">
        <v>803</v>
      </c>
      <c r="AA8" s="33" t="s">
        <v>268</v>
      </c>
      <c r="AB8" s="34"/>
      <c r="AC8" s="33" t="s">
        <v>132</v>
      </c>
      <c r="AD8" s="34"/>
      <c r="AE8" s="33" t="s">
        <v>132</v>
      </c>
      <c r="AF8" s="33" t="s">
        <v>805</v>
      </c>
      <c r="AG8" s="33" t="s">
        <v>581</v>
      </c>
      <c r="AH8" s="33" t="s">
        <v>268</v>
      </c>
    </row>
    <row x14ac:dyDescent="0.25" r="9" customHeight="1" ht="18.75">
      <c r="A9" s="30" t="s">
        <v>45</v>
      </c>
      <c r="B9" s="33" t="s">
        <v>511</v>
      </c>
      <c r="C9" s="33" t="s">
        <v>271</v>
      </c>
      <c r="D9" s="33" t="s">
        <v>271</v>
      </c>
      <c r="E9" s="33" t="s">
        <v>227</v>
      </c>
      <c r="F9" s="33" t="s">
        <v>227</v>
      </c>
      <c r="G9" s="146" t="s">
        <v>358</v>
      </c>
      <c r="H9" s="146" t="s">
        <v>358</v>
      </c>
      <c r="I9" s="146" t="s">
        <v>358</v>
      </c>
      <c r="J9" s="33" t="s">
        <v>294</v>
      </c>
      <c r="K9" s="33" t="s">
        <v>271</v>
      </c>
      <c r="L9" s="33" t="s">
        <v>272</v>
      </c>
      <c r="M9" s="33" t="s">
        <v>271</v>
      </c>
      <c r="N9" s="119" t="s">
        <v>519</v>
      </c>
      <c r="O9" s="31" t="s">
        <v>271</v>
      </c>
      <c r="P9" s="33" t="s">
        <v>271</v>
      </c>
      <c r="Q9" s="31" t="s">
        <v>271</v>
      </c>
      <c r="R9" s="33" t="s">
        <v>272</v>
      </c>
      <c r="S9" s="33" t="s">
        <v>1292</v>
      </c>
      <c r="T9" s="33" t="s">
        <v>806</v>
      </c>
      <c r="U9" s="33" t="s">
        <v>807</v>
      </c>
      <c r="V9" s="34"/>
      <c r="W9" s="34"/>
      <c r="X9" s="31" t="s">
        <v>511</v>
      </c>
      <c r="Y9" s="33" t="s">
        <v>272</v>
      </c>
      <c r="Z9" s="33" t="s">
        <v>809</v>
      </c>
      <c r="AA9" s="33" t="s">
        <v>272</v>
      </c>
      <c r="AB9" s="34"/>
      <c r="AC9" s="31" t="s">
        <v>132</v>
      </c>
      <c r="AD9" s="34"/>
      <c r="AE9" s="31" t="s">
        <v>132</v>
      </c>
      <c r="AF9" s="33" t="s">
        <v>811</v>
      </c>
      <c r="AG9" s="33" t="s">
        <v>582</v>
      </c>
      <c r="AH9" s="33" t="s">
        <v>272</v>
      </c>
    </row>
    <row x14ac:dyDescent="0.25" r="10" customHeight="1" ht="18.75">
      <c r="A10" s="35" t="s">
        <v>47</v>
      </c>
      <c r="B10" s="117">
        <v>20</v>
      </c>
      <c r="C10" s="117">
        <v>57</v>
      </c>
      <c r="D10" s="117">
        <v>57</v>
      </c>
      <c r="E10" s="117">
        <v>56</v>
      </c>
      <c r="F10" s="117">
        <v>56</v>
      </c>
      <c r="G10" s="144"/>
      <c r="H10" s="144"/>
      <c r="I10" s="144"/>
      <c r="J10" s="117">
        <v>34</v>
      </c>
      <c r="K10" s="117">
        <v>57</v>
      </c>
      <c r="L10" s="117">
        <v>35</v>
      </c>
      <c r="M10" s="117">
        <v>57</v>
      </c>
      <c r="N10" s="117">
        <v>194</v>
      </c>
      <c r="O10" s="117">
        <v>57</v>
      </c>
      <c r="P10" s="117">
        <v>57</v>
      </c>
      <c r="Q10" s="117">
        <v>57</v>
      </c>
      <c r="R10" s="117">
        <v>35</v>
      </c>
      <c r="S10" s="117">
        <v>107</v>
      </c>
      <c r="T10" s="117">
        <v>111</v>
      </c>
      <c r="U10" s="117">
        <v>108</v>
      </c>
      <c r="V10" s="37"/>
      <c r="W10" s="37"/>
      <c r="X10" s="117">
        <v>20</v>
      </c>
      <c r="Y10" s="117">
        <v>35</v>
      </c>
      <c r="Z10" s="117">
        <v>18</v>
      </c>
      <c r="AA10" s="117">
        <v>35</v>
      </c>
      <c r="AB10" s="37"/>
      <c r="AC10" s="117">
        <v>98</v>
      </c>
      <c r="AD10" s="37"/>
      <c r="AE10" s="117">
        <v>98</v>
      </c>
      <c r="AF10" s="117">
        <v>109</v>
      </c>
      <c r="AG10" s="117">
        <v>27</v>
      </c>
      <c r="AH10" s="117">
        <v>35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143" t="s">
        <v>49</v>
      </c>
      <c r="H11" s="143" t="s">
        <v>49</v>
      </c>
      <c r="I11" s="143" t="s">
        <v>49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2"/>
      <c r="W11" s="32"/>
      <c r="X11" s="31" t="s">
        <v>52</v>
      </c>
      <c r="Y11" s="31" t="s">
        <v>52</v>
      </c>
      <c r="Z11" s="31" t="s">
        <v>52</v>
      </c>
      <c r="AA11" s="31" t="s">
        <v>52</v>
      </c>
      <c r="AB11" s="32"/>
      <c r="AC11" s="31" t="s">
        <v>52</v>
      </c>
      <c r="AD11" s="32"/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49</v>
      </c>
      <c r="F12" s="31" t="s">
        <v>49</v>
      </c>
      <c r="G12" s="143" t="s">
        <v>49</v>
      </c>
      <c r="H12" s="143" t="s">
        <v>49</v>
      </c>
      <c r="I12" s="143" t="s">
        <v>49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2"/>
      <c r="W12" s="32"/>
      <c r="X12" s="31" t="s">
        <v>52</v>
      </c>
      <c r="Y12" s="31" t="s">
        <v>52</v>
      </c>
      <c r="Z12" s="31" t="s">
        <v>52</v>
      </c>
      <c r="AA12" s="31" t="s">
        <v>52</v>
      </c>
      <c r="AB12" s="32"/>
      <c r="AC12" s="31" t="s">
        <v>52</v>
      </c>
      <c r="AD12" s="32"/>
      <c r="AE12" s="31" t="s">
        <v>52</v>
      </c>
      <c r="AF12" s="31" t="s">
        <v>49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31" t="s">
        <v>52</v>
      </c>
      <c r="G13" s="143" t="s">
        <v>49</v>
      </c>
      <c r="H13" s="143" t="s">
        <v>49</v>
      </c>
      <c r="I13" s="143" t="s">
        <v>49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48" t="s">
        <v>162</v>
      </c>
      <c r="T13" s="31" t="s">
        <v>52</v>
      </c>
      <c r="U13" s="31" t="s">
        <v>52</v>
      </c>
      <c r="V13" s="32"/>
      <c r="W13" s="32"/>
      <c r="X13" s="31" t="s">
        <v>49</v>
      </c>
      <c r="Y13" s="31" t="s">
        <v>52</v>
      </c>
      <c r="Z13" s="31" t="s">
        <v>49</v>
      </c>
      <c r="AA13" s="31" t="s">
        <v>52</v>
      </c>
      <c r="AB13" s="32"/>
      <c r="AC13" s="31" t="s">
        <v>49</v>
      </c>
      <c r="AD13" s="32"/>
      <c r="AE13" s="31" t="s">
        <v>49</v>
      </c>
      <c r="AF13" s="48" t="s">
        <v>162</v>
      </c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2"/>
      <c r="W14" s="32"/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143" t="s">
        <v>133</v>
      </c>
      <c r="H15" s="143" t="s">
        <v>133</v>
      </c>
      <c r="I15" s="143" t="s">
        <v>133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520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143</v>
      </c>
      <c r="T15" s="31" t="s">
        <v>143</v>
      </c>
      <c r="U15" s="31" t="s">
        <v>194</v>
      </c>
      <c r="V15" s="32"/>
      <c r="W15" s="32"/>
      <c r="X15" s="31" t="s">
        <v>234</v>
      </c>
      <c r="Y15" s="31" t="s">
        <v>133</v>
      </c>
      <c r="Z15" s="31" t="s">
        <v>133</v>
      </c>
      <c r="AA15" s="31" t="s">
        <v>133</v>
      </c>
      <c r="AB15" s="32"/>
      <c r="AC15" s="31" t="s">
        <v>133</v>
      </c>
      <c r="AD15" s="32"/>
      <c r="AE15" s="31" t="s">
        <v>133</v>
      </c>
      <c r="AF15" s="31" t="s">
        <v>143</v>
      </c>
      <c r="AG15" s="31" t="s">
        <v>143</v>
      </c>
      <c r="AH15" s="31" t="s">
        <v>133</v>
      </c>
    </row>
    <row x14ac:dyDescent="0.25" r="16" customHeight="1" ht="18.75">
      <c r="A16" s="30" t="s">
        <v>128</v>
      </c>
      <c r="B16" s="31">
        <v>-3</v>
      </c>
      <c r="C16" s="31">
        <v>-0.5</v>
      </c>
      <c r="D16" s="31">
        <v>-0.5</v>
      </c>
      <c r="E16" s="31">
        <v>-0.5</v>
      </c>
      <c r="F16" s="31">
        <v>-0.5</v>
      </c>
      <c r="G16" s="143">
        <v>-0.5</v>
      </c>
      <c r="H16" s="143">
        <v>-0.5</v>
      </c>
      <c r="I16" s="143">
        <v>-0.5</v>
      </c>
      <c r="J16" s="31">
        <v>-0.5</v>
      </c>
      <c r="K16" s="31">
        <v>-0.5</v>
      </c>
      <c r="L16" s="31">
        <v>-0.5</v>
      </c>
      <c r="M16" s="31">
        <v>-0.5</v>
      </c>
      <c r="N16" s="31">
        <f>AVERAGE(-0.5,-0.5,0.5)</f>
      </c>
      <c r="O16" s="31">
        <v>-0.5</v>
      </c>
      <c r="P16" s="31">
        <v>-0.5</v>
      </c>
      <c r="Q16" s="31">
        <v>-0.5</v>
      </c>
      <c r="R16" s="31">
        <v>-0.5</v>
      </c>
      <c r="S16" s="31">
        <f>AVERAGE(1,2)</f>
      </c>
      <c r="T16" s="31">
        <v>1</v>
      </c>
      <c r="U16" s="31">
        <f>AVERAGE(-0.5,1)</f>
      </c>
      <c r="V16" s="31"/>
      <c r="W16" s="31"/>
      <c r="X16" s="31">
        <v>-3</v>
      </c>
      <c r="Y16" s="31">
        <v>-0.5</v>
      </c>
      <c r="Z16" s="31">
        <v>-2</v>
      </c>
      <c r="AA16" s="31">
        <v>-0.5</v>
      </c>
      <c r="AB16" s="31"/>
      <c r="AC16" s="31">
        <v>-2</v>
      </c>
      <c r="AD16" s="31"/>
      <c r="AE16" s="31">
        <v>-2</v>
      </c>
      <c r="AF16" s="31">
        <f>AVERAGE(0.5,2)</f>
      </c>
      <c r="AG16" s="31">
        <f>4/3</f>
      </c>
      <c r="AH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146" t="s">
        <v>358</v>
      </c>
      <c r="H17" s="146" t="s">
        <v>358</v>
      </c>
      <c r="I17" s="146" t="s">
        <v>358</v>
      </c>
      <c r="J17" s="31" t="s">
        <v>274</v>
      </c>
      <c r="K17" s="31" t="s">
        <v>169</v>
      </c>
      <c r="L17" s="31" t="s">
        <v>274</v>
      </c>
      <c r="M17" s="31" t="s">
        <v>169</v>
      </c>
      <c r="N17" s="31" t="s">
        <v>274</v>
      </c>
      <c r="O17" s="31" t="s">
        <v>169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812</v>
      </c>
      <c r="U17" s="31" t="s">
        <v>813</v>
      </c>
      <c r="V17" s="32"/>
      <c r="W17" s="32"/>
      <c r="X17" s="31" t="s">
        <v>138</v>
      </c>
      <c r="Y17" s="31" t="s">
        <v>274</v>
      </c>
      <c r="Z17" s="31" t="s">
        <v>138</v>
      </c>
      <c r="AA17" s="31" t="s">
        <v>274</v>
      </c>
      <c r="AB17" s="32"/>
      <c r="AC17" s="31" t="s">
        <v>134</v>
      </c>
      <c r="AD17" s="32"/>
      <c r="AE17" s="31" t="s">
        <v>134</v>
      </c>
      <c r="AF17" s="31" t="s">
        <v>169</v>
      </c>
      <c r="AG17" s="31" t="s">
        <v>274</v>
      </c>
      <c r="AH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143">
        <v>0</v>
      </c>
      <c r="H18" s="143">
        <v>0</v>
      </c>
      <c r="I18" s="143">
        <v>0</v>
      </c>
      <c r="J18" s="31">
        <v>3</v>
      </c>
      <c r="K18" s="31">
        <v>2</v>
      </c>
      <c r="L18" s="31">
        <v>3</v>
      </c>
      <c r="M18" s="31">
        <v>2</v>
      </c>
      <c r="N18" s="31">
        <v>3</v>
      </c>
      <c r="O18" s="31">
        <v>2</v>
      </c>
      <c r="P18" s="31">
        <v>2</v>
      </c>
      <c r="Q18" s="31">
        <v>2</v>
      </c>
      <c r="R18" s="31">
        <v>3</v>
      </c>
      <c r="S18" s="31">
        <f>AVERAGE(3,2)</f>
      </c>
      <c r="T18" s="31">
        <f>AVERAGE(2,2,3)</f>
      </c>
      <c r="U18" s="31">
        <f>AVERAGE(3,2)</f>
      </c>
      <c r="V18" s="31"/>
      <c r="W18" s="31"/>
      <c r="X18" s="31">
        <v>4</v>
      </c>
      <c r="Y18" s="31">
        <v>3</v>
      </c>
      <c r="Z18" s="31">
        <v>4</v>
      </c>
      <c r="AA18" s="31">
        <v>3</v>
      </c>
      <c r="AB18" s="31"/>
      <c r="AC18" s="31">
        <f>1/3</f>
      </c>
      <c r="AD18" s="31"/>
      <c r="AE18" s="31">
        <f>1/3</f>
      </c>
      <c r="AF18" s="31">
        <v>2</v>
      </c>
      <c r="AG18" s="31">
        <v>3</v>
      </c>
      <c r="AH18" s="31">
        <v>3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209" t="s">
        <v>1416</v>
      </c>
      <c r="B21" s="40" t="s">
        <v>1294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2"/>
      <c r="Y21" s="2"/>
      <c r="Z21" s="2"/>
      <c r="AA21" s="2"/>
      <c r="AB21" s="3"/>
      <c r="AC21" s="2"/>
      <c r="AD21" s="3"/>
      <c r="AE21" s="2"/>
      <c r="AF21" s="2"/>
      <c r="AG21" s="2"/>
      <c r="AH21" s="2"/>
    </row>
    <row x14ac:dyDescent="0.25" r="22" customHeight="1" ht="18.75">
      <c r="A22" s="30"/>
      <c r="B22" s="40" t="s">
        <v>1301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2"/>
      <c r="Y22" s="2"/>
      <c r="Z22" s="2"/>
      <c r="AA22" s="2"/>
      <c r="AB22" s="3"/>
      <c r="AC22" s="2"/>
      <c r="AD22" s="3"/>
      <c r="AE22" s="2"/>
      <c r="AF22" s="2"/>
      <c r="AG22" s="2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13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1402</v>
      </c>
      <c r="C4" s="7"/>
      <c r="D4" s="7"/>
      <c r="E4" s="2"/>
      <c r="F4" s="124" t="s">
        <v>1408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1271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509</v>
      </c>
      <c r="C8" s="33" t="s">
        <v>268</v>
      </c>
      <c r="D8" s="33" t="s">
        <v>268</v>
      </c>
      <c r="E8" s="31" t="s">
        <v>837</v>
      </c>
      <c r="F8" s="33" t="s">
        <v>268</v>
      </c>
      <c r="G8" s="33" t="s">
        <v>268</v>
      </c>
      <c r="H8" s="33" t="s">
        <v>268</v>
      </c>
      <c r="I8" s="33" t="s">
        <v>268</v>
      </c>
      <c r="J8" s="33" t="s">
        <v>268</v>
      </c>
      <c r="K8" s="33" t="s">
        <v>268</v>
      </c>
      <c r="L8" s="33" t="s">
        <v>268</v>
      </c>
      <c r="M8" s="33" t="s">
        <v>268</v>
      </c>
      <c r="N8" s="33" t="s">
        <v>1409</v>
      </c>
      <c r="O8" s="33" t="s">
        <v>268</v>
      </c>
      <c r="P8" s="33" t="s">
        <v>1291</v>
      </c>
      <c r="Q8" s="33" t="s">
        <v>1291</v>
      </c>
      <c r="R8" s="33" t="s">
        <v>607</v>
      </c>
      <c r="S8" s="33" t="s">
        <v>132</v>
      </c>
      <c r="T8" s="33" t="s">
        <v>268</v>
      </c>
      <c r="U8" s="33" t="s">
        <v>268</v>
      </c>
      <c r="V8" s="33" t="s">
        <v>735</v>
      </c>
      <c r="W8" s="33" t="s">
        <v>802</v>
      </c>
      <c r="X8" s="33" t="s">
        <v>268</v>
      </c>
      <c r="Y8" s="33" t="s">
        <v>268</v>
      </c>
      <c r="Z8" s="33" t="s">
        <v>268</v>
      </c>
      <c r="AA8" s="33" t="s">
        <v>268</v>
      </c>
      <c r="AB8" s="34"/>
      <c r="AC8" s="33" t="s">
        <v>268</v>
      </c>
      <c r="AD8" s="34"/>
      <c r="AE8" s="33" t="s">
        <v>516</v>
      </c>
      <c r="AF8" s="33" t="s">
        <v>268</v>
      </c>
      <c r="AG8" s="33" t="s">
        <v>268</v>
      </c>
      <c r="AH8" s="33" t="s">
        <v>268</v>
      </c>
    </row>
    <row x14ac:dyDescent="0.25" r="9" customHeight="1" ht="18.75">
      <c r="A9" s="30" t="s">
        <v>45</v>
      </c>
      <c r="B9" s="33" t="s">
        <v>511</v>
      </c>
      <c r="C9" s="31" t="s">
        <v>511</v>
      </c>
      <c r="D9" s="31" t="s">
        <v>511</v>
      </c>
      <c r="E9" s="31" t="s">
        <v>1404</v>
      </c>
      <c r="F9" s="31" t="s">
        <v>511</v>
      </c>
      <c r="G9" s="31" t="s">
        <v>511</v>
      </c>
      <c r="H9" s="31" t="s">
        <v>511</v>
      </c>
      <c r="I9" s="31" t="s">
        <v>511</v>
      </c>
      <c r="J9" s="31" t="s">
        <v>511</v>
      </c>
      <c r="K9" s="31" t="s">
        <v>511</v>
      </c>
      <c r="L9" s="31" t="s">
        <v>511</v>
      </c>
      <c r="M9" s="31" t="s">
        <v>511</v>
      </c>
      <c r="N9" s="33" t="s">
        <v>1410</v>
      </c>
      <c r="O9" s="31" t="s">
        <v>511</v>
      </c>
      <c r="P9" s="33" t="s">
        <v>271</v>
      </c>
      <c r="Q9" s="33" t="s">
        <v>271</v>
      </c>
      <c r="R9" s="31" t="s">
        <v>272</v>
      </c>
      <c r="S9" s="33" t="s">
        <v>1292</v>
      </c>
      <c r="T9" s="31" t="s">
        <v>511</v>
      </c>
      <c r="U9" s="31" t="s">
        <v>511</v>
      </c>
      <c r="V9" s="33" t="s">
        <v>808</v>
      </c>
      <c r="W9" s="33" t="s">
        <v>808</v>
      </c>
      <c r="X9" s="31" t="s">
        <v>511</v>
      </c>
      <c r="Y9" s="31" t="s">
        <v>511</v>
      </c>
      <c r="Z9" s="31" t="s">
        <v>511</v>
      </c>
      <c r="AA9" s="31" t="s">
        <v>511</v>
      </c>
      <c r="AB9" s="32"/>
      <c r="AC9" s="31" t="s">
        <v>511</v>
      </c>
      <c r="AD9" s="34"/>
      <c r="AE9" s="31" t="s">
        <v>1405</v>
      </c>
      <c r="AF9" s="31" t="s">
        <v>511</v>
      </c>
      <c r="AG9" s="33" t="s">
        <v>511</v>
      </c>
      <c r="AH9" s="31" t="s">
        <v>511</v>
      </c>
    </row>
    <row x14ac:dyDescent="0.25" r="10" customHeight="1" ht="18.75">
      <c r="A10" s="35" t="s">
        <v>47</v>
      </c>
      <c r="B10" s="117">
        <v>20</v>
      </c>
      <c r="C10" s="117">
        <v>20</v>
      </c>
      <c r="D10" s="117">
        <v>20</v>
      </c>
      <c r="E10" s="117">
        <v>176</v>
      </c>
      <c r="F10" s="117">
        <v>20</v>
      </c>
      <c r="G10" s="117">
        <v>20</v>
      </c>
      <c r="H10" s="117">
        <v>20</v>
      </c>
      <c r="I10" s="117">
        <v>20</v>
      </c>
      <c r="J10" s="117">
        <v>20</v>
      </c>
      <c r="K10" s="117">
        <v>20</v>
      </c>
      <c r="L10" s="117">
        <v>20</v>
      </c>
      <c r="M10" s="117">
        <v>20</v>
      </c>
      <c r="N10" s="117">
        <v>110</v>
      </c>
      <c r="O10" s="117">
        <v>20</v>
      </c>
      <c r="P10" s="117">
        <v>57</v>
      </c>
      <c r="Q10" s="117">
        <v>57</v>
      </c>
      <c r="R10" s="117">
        <v>35</v>
      </c>
      <c r="S10" s="117">
        <v>107</v>
      </c>
      <c r="T10" s="117">
        <v>20</v>
      </c>
      <c r="U10" s="117">
        <v>20</v>
      </c>
      <c r="V10" s="117">
        <v>153</v>
      </c>
      <c r="W10" s="117">
        <v>153</v>
      </c>
      <c r="X10" s="117">
        <v>20</v>
      </c>
      <c r="Y10" s="117">
        <v>20</v>
      </c>
      <c r="Z10" s="117">
        <v>20</v>
      </c>
      <c r="AA10" s="117">
        <v>20</v>
      </c>
      <c r="AB10" s="37"/>
      <c r="AC10" s="117">
        <v>20</v>
      </c>
      <c r="AD10" s="37"/>
      <c r="AE10" s="117">
        <v>112</v>
      </c>
      <c r="AF10" s="117">
        <v>20</v>
      </c>
      <c r="AG10" s="117">
        <v>20</v>
      </c>
      <c r="AH10" s="117">
        <v>20</v>
      </c>
    </row>
    <row x14ac:dyDescent="0.25" r="11" customHeight="1" ht="18.75">
      <c r="A11" s="30" t="s">
        <v>123</v>
      </c>
      <c r="B11" s="31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1" t="s">
        <v>52</v>
      </c>
      <c r="O11" s="33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4"/>
      <c r="AC11" s="33" t="s">
        <v>52</v>
      </c>
      <c r="AD11" s="32"/>
      <c r="AE11" s="33" t="s">
        <v>52</v>
      </c>
      <c r="AF11" s="33" t="s">
        <v>52</v>
      </c>
      <c r="AG11" s="31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52</v>
      </c>
      <c r="C12" s="33" t="s">
        <v>52</v>
      </c>
      <c r="D12" s="33" t="s">
        <v>52</v>
      </c>
      <c r="E12" s="33" t="s">
        <v>843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1" t="s">
        <v>52</v>
      </c>
      <c r="O12" s="33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3" t="s">
        <v>52</v>
      </c>
      <c r="U12" s="33" t="s">
        <v>52</v>
      </c>
      <c r="V12" s="31" t="s">
        <v>52</v>
      </c>
      <c r="W12" s="31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4"/>
      <c r="AC12" s="33" t="s">
        <v>52</v>
      </c>
      <c r="AD12" s="32"/>
      <c r="AE12" s="33" t="s">
        <v>52</v>
      </c>
      <c r="AF12" s="33" t="s">
        <v>52</v>
      </c>
      <c r="AG12" s="31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295</v>
      </c>
      <c r="O13" s="31" t="s">
        <v>49</v>
      </c>
      <c r="P13" s="31" t="s">
        <v>52</v>
      </c>
      <c r="Q13" s="31" t="s">
        <v>52</v>
      </c>
      <c r="R13" s="31" t="s">
        <v>52</v>
      </c>
      <c r="S13" s="48" t="s">
        <v>162</v>
      </c>
      <c r="T13" s="31" t="s">
        <v>49</v>
      </c>
      <c r="U13" s="31" t="s">
        <v>49</v>
      </c>
      <c r="V13" s="31" t="s">
        <v>295</v>
      </c>
      <c r="W13" s="31" t="s">
        <v>295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844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1026</v>
      </c>
      <c r="O15" s="31" t="s">
        <v>234</v>
      </c>
      <c r="P15" s="31" t="s">
        <v>133</v>
      </c>
      <c r="Q15" s="31" t="s">
        <v>133</v>
      </c>
      <c r="R15" s="31" t="s">
        <v>133</v>
      </c>
      <c r="S15" s="31" t="s">
        <v>143</v>
      </c>
      <c r="T15" s="31" t="s">
        <v>234</v>
      </c>
      <c r="U15" s="31" t="s">
        <v>234</v>
      </c>
      <c r="V15" s="31" t="s">
        <v>133</v>
      </c>
      <c r="W15" s="31" t="s">
        <v>133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2"/>
      <c r="AC15" s="31" t="s">
        <v>234</v>
      </c>
      <c r="AD15" s="32"/>
      <c r="AE15" s="31" t="s">
        <v>304</v>
      </c>
      <c r="AF15" s="31" t="s">
        <v>234</v>
      </c>
      <c r="AG15" s="31" t="s">
        <v>234</v>
      </c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f>AVERAGE(-3,-3,-5)</f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f>AVERAGE(3,3,1)</f>
      </c>
      <c r="O16" s="31">
        <v>-3</v>
      </c>
      <c r="P16" s="31">
        <v>-0.5</v>
      </c>
      <c r="Q16" s="31">
        <v>-0.5</v>
      </c>
      <c r="R16" s="31">
        <v>-0.5</v>
      </c>
      <c r="S16" s="31">
        <f>AVERAGE(1,2)</f>
      </c>
      <c r="T16" s="31">
        <v>-3</v>
      </c>
      <c r="U16" s="31">
        <v>-3</v>
      </c>
      <c r="V16" s="31">
        <f>AVERAGE(-2,-0.5)</f>
      </c>
      <c r="W16" s="31">
        <f>AVERAGE(-2,-0.5)</f>
      </c>
      <c r="X16" s="31">
        <v>-3</v>
      </c>
      <c r="Y16" s="31">
        <v>-3</v>
      </c>
      <c r="Z16" s="31">
        <v>-3</v>
      </c>
      <c r="AA16" s="31">
        <v>-3</v>
      </c>
      <c r="AB16" s="31"/>
      <c r="AC16" s="31">
        <v>-3</v>
      </c>
      <c r="AD16" s="31"/>
      <c r="AE16" s="31">
        <f>AVERAGE(-3,-2)</f>
      </c>
      <c r="AF16" s="31">
        <v>-3</v>
      </c>
      <c r="AG16" s="31">
        <v>-3</v>
      </c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1406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1028</v>
      </c>
      <c r="O17" s="31" t="s">
        <v>138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138</v>
      </c>
      <c r="U17" s="31" t="s">
        <v>138</v>
      </c>
      <c r="V17" s="31" t="s">
        <v>814</v>
      </c>
      <c r="W17" s="31" t="s">
        <v>814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2"/>
      <c r="AC17" s="31" t="s">
        <v>138</v>
      </c>
      <c r="AD17" s="32"/>
      <c r="AE17" s="31" t="s">
        <v>321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f>AVERAGE(4,4,2)</f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f>AVERAGE(4,4,3)</f>
      </c>
      <c r="O18" s="31">
        <v>4</v>
      </c>
      <c r="P18" s="31">
        <v>2</v>
      </c>
      <c r="Q18" s="31">
        <v>2</v>
      </c>
      <c r="R18" s="31">
        <v>3</v>
      </c>
      <c r="S18" s="31">
        <f>AVERAGE(3,2)</f>
      </c>
      <c r="T18" s="31">
        <v>4</v>
      </c>
      <c r="U18" s="31">
        <v>4</v>
      </c>
      <c r="V18" s="31">
        <f>AVERAGE(4,3)</f>
      </c>
      <c r="W18" s="31">
        <f>AVERAGE(4,3)</f>
      </c>
      <c r="X18" s="31">
        <v>4</v>
      </c>
      <c r="Y18" s="31">
        <v>4</v>
      </c>
      <c r="Z18" s="31">
        <v>4</v>
      </c>
      <c r="AA18" s="31">
        <v>4</v>
      </c>
      <c r="AB18" s="31"/>
      <c r="AC18" s="31">
        <v>4</v>
      </c>
      <c r="AD18" s="31"/>
      <c r="AE18" s="31">
        <f>AVERAGE(4,1/3)</f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209" t="s">
        <v>1411</v>
      </c>
      <c r="B21" s="40" t="s">
        <v>849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2"/>
      <c r="AD21" s="3"/>
      <c r="AE21" s="2"/>
      <c r="AF21" s="2"/>
      <c r="AG21" s="2"/>
      <c r="AH21" s="2"/>
    </row>
    <row x14ac:dyDescent="0.25" r="22" customHeight="1" ht="18.75">
      <c r="A22" s="30"/>
      <c r="B22" s="40" t="s">
        <v>1412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"/>
      <c r="AC22" s="2"/>
      <c r="AD22" s="3"/>
      <c r="AE22" s="2"/>
      <c r="AF22" s="2"/>
      <c r="AG22" s="2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14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1402</v>
      </c>
      <c r="C4" s="7"/>
      <c r="D4" s="7"/>
      <c r="E4" s="2"/>
      <c r="F4" s="124" t="s">
        <v>1403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1191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509</v>
      </c>
      <c r="C8" s="33" t="s">
        <v>268</v>
      </c>
      <c r="D8" s="33" t="s">
        <v>268</v>
      </c>
      <c r="E8" s="31" t="s">
        <v>837</v>
      </c>
      <c r="F8" s="33" t="s">
        <v>268</v>
      </c>
      <c r="G8" s="33" t="s">
        <v>268</v>
      </c>
      <c r="H8" s="33" t="s">
        <v>268</v>
      </c>
      <c r="I8" s="33" t="s">
        <v>268</v>
      </c>
      <c r="J8" s="33" t="s">
        <v>268</v>
      </c>
      <c r="K8" s="33" t="s">
        <v>268</v>
      </c>
      <c r="L8" s="33" t="s">
        <v>268</v>
      </c>
      <c r="M8" s="33" t="s">
        <v>268</v>
      </c>
      <c r="N8" s="33" t="s">
        <v>268</v>
      </c>
      <c r="O8" s="33" t="s">
        <v>268</v>
      </c>
      <c r="P8" s="33" t="s">
        <v>268</v>
      </c>
      <c r="Q8" s="33" t="s">
        <v>268</v>
      </c>
      <c r="R8" s="33" t="s">
        <v>268</v>
      </c>
      <c r="S8" s="33" t="s">
        <v>268</v>
      </c>
      <c r="T8" s="33" t="s">
        <v>268</v>
      </c>
      <c r="U8" s="33" t="s">
        <v>268</v>
      </c>
      <c r="V8" s="33" t="s">
        <v>268</v>
      </c>
      <c r="W8" s="33" t="s">
        <v>268</v>
      </c>
      <c r="X8" s="33" t="s">
        <v>268</v>
      </c>
      <c r="Y8" s="33" t="s">
        <v>268</v>
      </c>
      <c r="Z8" s="33" t="s">
        <v>268</v>
      </c>
      <c r="AA8" s="33" t="s">
        <v>268</v>
      </c>
      <c r="AB8" s="34"/>
      <c r="AC8" s="33" t="s">
        <v>268</v>
      </c>
      <c r="AD8" s="34"/>
      <c r="AE8" s="33" t="s">
        <v>516</v>
      </c>
      <c r="AF8" s="33" t="s">
        <v>268</v>
      </c>
      <c r="AG8" s="33" t="s">
        <v>268</v>
      </c>
      <c r="AH8" s="33" t="s">
        <v>268</v>
      </c>
    </row>
    <row x14ac:dyDescent="0.25" r="9" customHeight="1" ht="18.75">
      <c r="A9" s="30" t="s">
        <v>45</v>
      </c>
      <c r="B9" s="33" t="s">
        <v>511</v>
      </c>
      <c r="C9" s="31" t="s">
        <v>511</v>
      </c>
      <c r="D9" s="31" t="s">
        <v>511</v>
      </c>
      <c r="E9" s="31" t="s">
        <v>1404</v>
      </c>
      <c r="F9" s="31" t="s">
        <v>511</v>
      </c>
      <c r="G9" s="31" t="s">
        <v>511</v>
      </c>
      <c r="H9" s="31" t="s">
        <v>511</v>
      </c>
      <c r="I9" s="31" t="s">
        <v>511</v>
      </c>
      <c r="J9" s="31" t="s">
        <v>511</v>
      </c>
      <c r="K9" s="31" t="s">
        <v>511</v>
      </c>
      <c r="L9" s="31" t="s">
        <v>511</v>
      </c>
      <c r="M9" s="31" t="s">
        <v>511</v>
      </c>
      <c r="N9" s="31" t="s">
        <v>511</v>
      </c>
      <c r="O9" s="31" t="s">
        <v>511</v>
      </c>
      <c r="P9" s="31" t="s">
        <v>511</v>
      </c>
      <c r="Q9" s="31" t="s">
        <v>511</v>
      </c>
      <c r="R9" s="31" t="s">
        <v>511</v>
      </c>
      <c r="S9" s="31" t="s">
        <v>511</v>
      </c>
      <c r="T9" s="31" t="s">
        <v>511</v>
      </c>
      <c r="U9" s="31" t="s">
        <v>511</v>
      </c>
      <c r="V9" s="31" t="s">
        <v>511</v>
      </c>
      <c r="W9" s="31" t="s">
        <v>511</v>
      </c>
      <c r="X9" s="31" t="s">
        <v>511</v>
      </c>
      <c r="Y9" s="31" t="s">
        <v>511</v>
      </c>
      <c r="Z9" s="31" t="s">
        <v>511</v>
      </c>
      <c r="AA9" s="31" t="s">
        <v>511</v>
      </c>
      <c r="AB9" s="34"/>
      <c r="AC9" s="31" t="s">
        <v>511</v>
      </c>
      <c r="AD9" s="34"/>
      <c r="AE9" s="31" t="s">
        <v>1405</v>
      </c>
      <c r="AF9" s="31" t="s">
        <v>511</v>
      </c>
      <c r="AG9" s="31" t="s">
        <v>511</v>
      </c>
      <c r="AH9" s="31" t="s">
        <v>511</v>
      </c>
    </row>
    <row x14ac:dyDescent="0.25" r="10" customHeight="1" ht="18.75">
      <c r="A10" s="35" t="s">
        <v>47</v>
      </c>
      <c r="B10" s="117">
        <v>20</v>
      </c>
      <c r="C10" s="117">
        <v>20</v>
      </c>
      <c r="D10" s="117">
        <v>20</v>
      </c>
      <c r="E10" s="117">
        <v>176</v>
      </c>
      <c r="F10" s="117">
        <v>20</v>
      </c>
      <c r="G10" s="117">
        <v>20</v>
      </c>
      <c r="H10" s="117">
        <v>20</v>
      </c>
      <c r="I10" s="117">
        <v>20</v>
      </c>
      <c r="J10" s="117">
        <v>20</v>
      </c>
      <c r="K10" s="117">
        <v>20</v>
      </c>
      <c r="L10" s="117">
        <v>20</v>
      </c>
      <c r="M10" s="117">
        <v>20</v>
      </c>
      <c r="N10" s="117">
        <v>20</v>
      </c>
      <c r="O10" s="117">
        <v>20</v>
      </c>
      <c r="P10" s="117">
        <v>20</v>
      </c>
      <c r="Q10" s="117">
        <v>20</v>
      </c>
      <c r="R10" s="117">
        <v>20</v>
      </c>
      <c r="S10" s="117">
        <v>20</v>
      </c>
      <c r="T10" s="117">
        <v>20</v>
      </c>
      <c r="U10" s="117">
        <v>20</v>
      </c>
      <c r="V10" s="117">
        <v>20</v>
      </c>
      <c r="W10" s="117">
        <v>20</v>
      </c>
      <c r="X10" s="117">
        <v>20</v>
      </c>
      <c r="Y10" s="117">
        <v>20</v>
      </c>
      <c r="Z10" s="117">
        <v>20</v>
      </c>
      <c r="AA10" s="117">
        <v>20</v>
      </c>
      <c r="AB10" s="34"/>
      <c r="AC10" s="117">
        <v>20</v>
      </c>
      <c r="AD10" s="34"/>
      <c r="AE10" s="117">
        <v>112</v>
      </c>
      <c r="AF10" s="117">
        <v>20</v>
      </c>
      <c r="AG10" s="117">
        <v>20</v>
      </c>
      <c r="AH10" s="117">
        <v>20</v>
      </c>
    </row>
    <row x14ac:dyDescent="0.25" r="11" customHeight="1" ht="18.75">
      <c r="A11" s="30" t="s">
        <v>123</v>
      </c>
      <c r="B11" s="31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2"/>
      <c r="AC11" s="33" t="s">
        <v>52</v>
      </c>
      <c r="AD11" s="32"/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52</v>
      </c>
      <c r="C12" s="33" t="s">
        <v>52</v>
      </c>
      <c r="D12" s="33" t="s">
        <v>52</v>
      </c>
      <c r="E12" s="33" t="s">
        <v>843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2"/>
      <c r="AC12" s="33" t="s">
        <v>52</v>
      </c>
      <c r="AD12" s="32"/>
      <c r="AE12" s="33" t="s">
        <v>52</v>
      </c>
      <c r="AF12" s="33" t="s">
        <v>52</v>
      </c>
      <c r="AG12" s="33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844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1" t="s">
        <v>234</v>
      </c>
      <c r="W15" s="31" t="s">
        <v>234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2"/>
      <c r="AC15" s="31" t="s">
        <v>234</v>
      </c>
      <c r="AD15" s="32"/>
      <c r="AE15" s="31" t="s">
        <v>304</v>
      </c>
      <c r="AF15" s="31" t="s">
        <v>234</v>
      </c>
      <c r="AG15" s="31" t="s">
        <v>234</v>
      </c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f>AVERAGE(-3,-3,-5)</f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>
        <v>-3</v>
      </c>
      <c r="W16" s="31">
        <v>-3</v>
      </c>
      <c r="X16" s="31">
        <v>-3</v>
      </c>
      <c r="Y16" s="31">
        <v>-3</v>
      </c>
      <c r="Z16" s="31">
        <v>-3</v>
      </c>
      <c r="AA16" s="31">
        <v>-3</v>
      </c>
      <c r="AB16" s="31"/>
      <c r="AC16" s="31">
        <v>-3</v>
      </c>
      <c r="AD16" s="31"/>
      <c r="AE16" s="31">
        <f>AVERAGE(-3,-2)</f>
      </c>
      <c r="AF16" s="31">
        <v>-3</v>
      </c>
      <c r="AG16" s="31">
        <v>-3</v>
      </c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1406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2"/>
      <c r="AC17" s="31" t="s">
        <v>138</v>
      </c>
      <c r="AD17" s="32"/>
      <c r="AE17" s="31" t="s">
        <v>321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f>AVERAGE(4,4,2)</f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/>
      <c r="AC18" s="31">
        <v>4</v>
      </c>
      <c r="AD18" s="31"/>
      <c r="AE18" s="31">
        <f>AVERAGE(4,1/3)</f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30" t="s">
        <v>1407</v>
      </c>
      <c r="B21" s="40" t="s">
        <v>849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2"/>
      <c r="AD21" s="3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15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1394</v>
      </c>
      <c r="C4" s="7"/>
      <c r="D4" s="7"/>
      <c r="E4" s="2"/>
      <c r="F4" s="124" t="s">
        <v>1400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257</v>
      </c>
      <c r="C8" s="33" t="s">
        <v>250</v>
      </c>
      <c r="D8" s="33" t="s">
        <v>250</v>
      </c>
      <c r="E8" s="33" t="s">
        <v>250</v>
      </c>
      <c r="F8" s="31" t="s">
        <v>1396</v>
      </c>
      <c r="G8" s="33" t="s">
        <v>250</v>
      </c>
      <c r="H8" s="33" t="s">
        <v>250</v>
      </c>
      <c r="I8" s="33" t="s">
        <v>250</v>
      </c>
      <c r="J8" s="33" t="s">
        <v>250</v>
      </c>
      <c r="K8" s="33" t="s">
        <v>250</v>
      </c>
      <c r="L8" s="33" t="s">
        <v>250</v>
      </c>
      <c r="M8" s="33" t="s">
        <v>250</v>
      </c>
      <c r="N8" s="33" t="s">
        <v>250</v>
      </c>
      <c r="O8" s="33" t="s">
        <v>250</v>
      </c>
      <c r="P8" s="31" t="s">
        <v>250</v>
      </c>
      <c r="Q8" s="31" t="s">
        <v>250</v>
      </c>
      <c r="R8" s="31" t="s">
        <v>250</v>
      </c>
      <c r="S8" s="33" t="s">
        <v>250</v>
      </c>
      <c r="T8" s="33" t="s">
        <v>250</v>
      </c>
      <c r="U8" s="33" t="s">
        <v>250</v>
      </c>
      <c r="V8" s="33" t="s">
        <v>250</v>
      </c>
      <c r="W8" s="33" t="s">
        <v>250</v>
      </c>
      <c r="X8" s="33" t="s">
        <v>250</v>
      </c>
      <c r="Y8" s="33" t="s">
        <v>250</v>
      </c>
      <c r="Z8" s="33" t="s">
        <v>250</v>
      </c>
      <c r="AA8" s="33" t="s">
        <v>250</v>
      </c>
      <c r="AB8" s="33" t="s">
        <v>250</v>
      </c>
      <c r="AC8" s="33" t="s">
        <v>250</v>
      </c>
      <c r="AD8" s="33" t="s">
        <v>250</v>
      </c>
      <c r="AE8" s="33" t="s">
        <v>250</v>
      </c>
      <c r="AF8" s="33" t="s">
        <v>250</v>
      </c>
      <c r="AG8" s="31" t="s">
        <v>250</v>
      </c>
      <c r="AH8" s="31" t="s">
        <v>250</v>
      </c>
    </row>
    <row x14ac:dyDescent="0.25" r="9" customHeight="1" ht="18.75">
      <c r="A9" s="30" t="s">
        <v>45</v>
      </c>
      <c r="B9" s="33" t="s">
        <v>250</v>
      </c>
      <c r="C9" s="33" t="s">
        <v>250</v>
      </c>
      <c r="D9" s="33" t="s">
        <v>250</v>
      </c>
      <c r="E9" s="33" t="s">
        <v>250</v>
      </c>
      <c r="F9" s="31" t="s">
        <v>1397</v>
      </c>
      <c r="G9" s="33" t="s">
        <v>250</v>
      </c>
      <c r="H9" s="33" t="s">
        <v>250</v>
      </c>
      <c r="I9" s="33" t="s">
        <v>250</v>
      </c>
      <c r="J9" s="33" t="s">
        <v>250</v>
      </c>
      <c r="K9" s="33" t="s">
        <v>250</v>
      </c>
      <c r="L9" s="33" t="s">
        <v>250</v>
      </c>
      <c r="M9" s="33" t="s">
        <v>250</v>
      </c>
      <c r="N9" s="33" t="s">
        <v>250</v>
      </c>
      <c r="O9" s="33" t="s">
        <v>250</v>
      </c>
      <c r="P9" s="31" t="s">
        <v>789</v>
      </c>
      <c r="Q9" s="31" t="s">
        <v>789</v>
      </c>
      <c r="R9" s="31" t="s">
        <v>789</v>
      </c>
      <c r="S9" s="33" t="s">
        <v>250</v>
      </c>
      <c r="T9" s="33" t="s">
        <v>250</v>
      </c>
      <c r="U9" s="33" t="s">
        <v>250</v>
      </c>
      <c r="V9" s="33" t="s">
        <v>250</v>
      </c>
      <c r="W9" s="33" t="s">
        <v>250</v>
      </c>
      <c r="X9" s="33" t="s">
        <v>250</v>
      </c>
      <c r="Y9" s="33" t="s">
        <v>250</v>
      </c>
      <c r="Z9" s="33" t="s">
        <v>250</v>
      </c>
      <c r="AA9" s="33" t="s">
        <v>250</v>
      </c>
      <c r="AB9" s="33" t="s">
        <v>250</v>
      </c>
      <c r="AC9" s="33" t="s">
        <v>250</v>
      </c>
      <c r="AD9" s="33" t="s">
        <v>250</v>
      </c>
      <c r="AE9" s="33" t="s">
        <v>250</v>
      </c>
      <c r="AF9" s="33" t="s">
        <v>250</v>
      </c>
      <c r="AG9" s="31" t="s">
        <v>789</v>
      </c>
      <c r="AH9" s="31" t="s">
        <v>789</v>
      </c>
    </row>
    <row x14ac:dyDescent="0.25" r="10" customHeight="1" ht="18.75">
      <c r="A10" s="35" t="s">
        <v>47</v>
      </c>
      <c r="B10" s="117">
        <v>73</v>
      </c>
      <c r="C10" s="117">
        <v>73</v>
      </c>
      <c r="D10" s="117">
        <v>73</v>
      </c>
      <c r="E10" s="117">
        <v>73</v>
      </c>
      <c r="F10" s="117">
        <v>113</v>
      </c>
      <c r="G10" s="117">
        <v>73</v>
      </c>
      <c r="H10" s="117">
        <v>73</v>
      </c>
      <c r="I10" s="117">
        <v>73</v>
      </c>
      <c r="J10" s="117">
        <v>73</v>
      </c>
      <c r="K10" s="117">
        <v>73</v>
      </c>
      <c r="L10" s="117">
        <v>73</v>
      </c>
      <c r="M10" s="117">
        <v>73</v>
      </c>
      <c r="N10" s="117">
        <v>73</v>
      </c>
      <c r="O10" s="117">
        <v>73</v>
      </c>
      <c r="P10" s="117">
        <v>72</v>
      </c>
      <c r="Q10" s="117">
        <v>72</v>
      </c>
      <c r="R10" s="117">
        <v>72</v>
      </c>
      <c r="S10" s="117">
        <v>73</v>
      </c>
      <c r="T10" s="117">
        <v>73</v>
      </c>
      <c r="U10" s="117">
        <v>73</v>
      </c>
      <c r="V10" s="117">
        <v>73</v>
      </c>
      <c r="W10" s="117">
        <v>73</v>
      </c>
      <c r="X10" s="117">
        <v>73</v>
      </c>
      <c r="Y10" s="117">
        <v>73</v>
      </c>
      <c r="Z10" s="117">
        <v>73</v>
      </c>
      <c r="AA10" s="117">
        <v>73</v>
      </c>
      <c r="AB10" s="117">
        <v>73</v>
      </c>
      <c r="AC10" s="117">
        <v>73</v>
      </c>
      <c r="AD10" s="117">
        <v>73</v>
      </c>
      <c r="AE10" s="117">
        <v>73</v>
      </c>
      <c r="AF10" s="117">
        <v>73</v>
      </c>
      <c r="AG10" s="117">
        <v>72</v>
      </c>
      <c r="AH10" s="117">
        <v>72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1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3" t="s">
        <v>52</v>
      </c>
      <c r="C12" s="33" t="s">
        <v>52</v>
      </c>
      <c r="D12" s="33" t="s">
        <v>52</v>
      </c>
      <c r="E12" s="33" t="s">
        <v>52</v>
      </c>
      <c r="F12" s="31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3" t="s">
        <v>52</v>
      </c>
      <c r="AC12" s="33" t="s">
        <v>52</v>
      </c>
      <c r="AD12" s="33" t="s">
        <v>52</v>
      </c>
      <c r="AE12" s="33" t="s">
        <v>52</v>
      </c>
      <c r="AF12" s="33" t="s">
        <v>52</v>
      </c>
      <c r="AG12" s="33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163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0.75</v>
      </c>
      <c r="C16" s="31">
        <v>0.75</v>
      </c>
      <c r="D16" s="31">
        <v>0.75</v>
      </c>
      <c r="E16" s="31">
        <v>0.75</v>
      </c>
      <c r="F16" s="31">
        <f>AVERAGE(0.75,-2)</f>
      </c>
      <c r="G16" s="31">
        <v>0.75</v>
      </c>
      <c r="H16" s="31">
        <v>0.75</v>
      </c>
      <c r="I16" s="31">
        <v>0.75</v>
      </c>
      <c r="J16" s="31">
        <v>0.75</v>
      </c>
      <c r="K16" s="31">
        <v>0.75</v>
      </c>
      <c r="L16" s="31">
        <v>0.75</v>
      </c>
      <c r="M16" s="31">
        <v>0.75</v>
      </c>
      <c r="N16" s="31">
        <v>0.75</v>
      </c>
      <c r="O16" s="31">
        <v>0.75</v>
      </c>
      <c r="P16" s="31">
        <v>1.67</v>
      </c>
      <c r="Q16" s="31">
        <v>1.67</v>
      </c>
      <c r="R16" s="31">
        <v>1.67</v>
      </c>
      <c r="S16" s="31">
        <v>0.75</v>
      </c>
      <c r="T16" s="31">
        <v>0.75</v>
      </c>
      <c r="U16" s="31">
        <v>0.75</v>
      </c>
      <c r="V16" s="31">
        <v>0.75</v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v>0.75</v>
      </c>
      <c r="AG16" s="31">
        <v>1.67</v>
      </c>
      <c r="AH16" s="31">
        <v>1.67</v>
      </c>
    </row>
    <row x14ac:dyDescent="0.25" r="17" customHeight="1" ht="18.75">
      <c r="A17" s="30" t="s">
        <v>129</v>
      </c>
      <c r="B17" s="31" t="s">
        <v>257</v>
      </c>
      <c r="C17" s="31" t="s">
        <v>257</v>
      </c>
      <c r="D17" s="31" t="s">
        <v>257</v>
      </c>
      <c r="E17" s="31" t="s">
        <v>257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1" t="s">
        <v>257</v>
      </c>
      <c r="S17" s="31" t="s">
        <v>257</v>
      </c>
      <c r="T17" s="31" t="s">
        <v>257</v>
      </c>
      <c r="U17" s="31" t="s">
        <v>257</v>
      </c>
      <c r="V17" s="31" t="s">
        <v>257</v>
      </c>
      <c r="W17" s="31" t="s">
        <v>257</v>
      </c>
      <c r="X17" s="31" t="s">
        <v>257</v>
      </c>
      <c r="Y17" s="31" t="s">
        <v>257</v>
      </c>
      <c r="Z17" s="31" t="s">
        <v>257</v>
      </c>
      <c r="AA17" s="31" t="s">
        <v>257</v>
      </c>
      <c r="AB17" s="31" t="s">
        <v>257</v>
      </c>
      <c r="AC17" s="31" t="s">
        <v>257</v>
      </c>
      <c r="AD17" s="31" t="s">
        <v>257</v>
      </c>
      <c r="AE17" s="31" t="s">
        <v>257</v>
      </c>
      <c r="AF17" s="31" t="s">
        <v>257</v>
      </c>
      <c r="AG17" s="31" t="s">
        <v>257</v>
      </c>
      <c r="AH17" s="31" t="s">
        <v>257</v>
      </c>
    </row>
    <row x14ac:dyDescent="0.25" r="18" customHeight="1" ht="18.75">
      <c r="A18" s="30" t="s">
        <v>130</v>
      </c>
      <c r="B18" s="31">
        <v>1.5</v>
      </c>
      <c r="C18" s="31">
        <v>1.5</v>
      </c>
      <c r="D18" s="31">
        <v>1.5</v>
      </c>
      <c r="E18" s="31">
        <v>1.5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>
        <v>1.5</v>
      </c>
      <c r="S18" s="31">
        <v>1.5</v>
      </c>
      <c r="T18" s="31">
        <v>1.5</v>
      </c>
      <c r="U18" s="31">
        <v>1.5</v>
      </c>
      <c r="V18" s="31">
        <v>1.5</v>
      </c>
      <c r="W18" s="31">
        <v>1.5</v>
      </c>
      <c r="X18" s="31">
        <v>1.5</v>
      </c>
      <c r="Y18" s="31">
        <v>1.5</v>
      </c>
      <c r="Z18" s="31">
        <v>1.5</v>
      </c>
      <c r="AA18" s="31">
        <v>1.5</v>
      </c>
      <c r="AB18" s="31">
        <v>1.5</v>
      </c>
      <c r="AC18" s="31">
        <v>1.5</v>
      </c>
      <c r="AD18" s="31">
        <v>1.5</v>
      </c>
      <c r="AE18" s="31">
        <v>1.5</v>
      </c>
      <c r="AF18" s="31">
        <v>1.5</v>
      </c>
      <c r="AG18" s="31">
        <v>1.5</v>
      </c>
      <c r="AH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1401</v>
      </c>
      <c r="B21" s="40" t="s">
        <v>1399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16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1394</v>
      </c>
      <c r="C4" s="7"/>
      <c r="D4" s="7"/>
      <c r="E4" s="2"/>
      <c r="F4" s="124" t="s">
        <v>1395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257</v>
      </c>
      <c r="C8" s="31" t="s">
        <v>250</v>
      </c>
      <c r="D8" s="31" t="s">
        <v>250</v>
      </c>
      <c r="E8" s="31" t="s">
        <v>250</v>
      </c>
      <c r="F8" s="31" t="s">
        <v>1396</v>
      </c>
      <c r="G8" s="31" t="s">
        <v>250</v>
      </c>
      <c r="H8" s="31" t="s">
        <v>250</v>
      </c>
      <c r="I8" s="31" t="s">
        <v>250</v>
      </c>
      <c r="J8" s="31" t="s">
        <v>250</v>
      </c>
      <c r="K8" s="31" t="s">
        <v>250</v>
      </c>
      <c r="L8" s="31" t="s">
        <v>250</v>
      </c>
      <c r="M8" s="31" t="s">
        <v>250</v>
      </c>
      <c r="N8" s="31" t="s">
        <v>250</v>
      </c>
      <c r="O8" s="31" t="s">
        <v>250</v>
      </c>
      <c r="P8" s="31" t="s">
        <v>250</v>
      </c>
      <c r="Q8" s="31" t="s">
        <v>250</v>
      </c>
      <c r="R8" s="31" t="s">
        <v>250</v>
      </c>
      <c r="S8" s="33" t="s">
        <v>250</v>
      </c>
      <c r="T8" s="33" t="s">
        <v>250</v>
      </c>
      <c r="U8" s="33" t="s">
        <v>250</v>
      </c>
      <c r="V8" s="33" t="s">
        <v>250</v>
      </c>
      <c r="W8" s="33" t="s">
        <v>250</v>
      </c>
      <c r="X8" s="33" t="s">
        <v>250</v>
      </c>
      <c r="Y8" s="33" t="s">
        <v>250</v>
      </c>
      <c r="Z8" s="33" t="s">
        <v>250</v>
      </c>
      <c r="AA8" s="33" t="s">
        <v>250</v>
      </c>
      <c r="AB8" s="33" t="s">
        <v>250</v>
      </c>
      <c r="AC8" s="33" t="s">
        <v>250</v>
      </c>
      <c r="AD8" s="33" t="s">
        <v>250</v>
      </c>
      <c r="AE8" s="33" t="s">
        <v>250</v>
      </c>
      <c r="AF8" s="33" t="s">
        <v>250</v>
      </c>
      <c r="AG8" s="31" t="s">
        <v>250</v>
      </c>
      <c r="AH8" s="31" t="s">
        <v>250</v>
      </c>
    </row>
    <row x14ac:dyDescent="0.25" r="9" customHeight="1" ht="18.75">
      <c r="A9" s="30" t="s">
        <v>45</v>
      </c>
      <c r="B9" s="31" t="s">
        <v>250</v>
      </c>
      <c r="C9" s="31" t="s">
        <v>250</v>
      </c>
      <c r="D9" s="31" t="s">
        <v>250</v>
      </c>
      <c r="E9" s="31" t="s">
        <v>250</v>
      </c>
      <c r="F9" s="31" t="s">
        <v>1397</v>
      </c>
      <c r="G9" s="31" t="s">
        <v>250</v>
      </c>
      <c r="H9" s="31" t="s">
        <v>250</v>
      </c>
      <c r="I9" s="31" t="s">
        <v>250</v>
      </c>
      <c r="J9" s="31" t="s">
        <v>250</v>
      </c>
      <c r="K9" s="31" t="s">
        <v>250</v>
      </c>
      <c r="L9" s="31" t="s">
        <v>250</v>
      </c>
      <c r="M9" s="31" t="s">
        <v>250</v>
      </c>
      <c r="N9" s="31" t="s">
        <v>250</v>
      </c>
      <c r="O9" s="31" t="s">
        <v>250</v>
      </c>
      <c r="P9" s="31" t="s">
        <v>789</v>
      </c>
      <c r="Q9" s="31" t="s">
        <v>789</v>
      </c>
      <c r="R9" s="31" t="s">
        <v>789</v>
      </c>
      <c r="S9" s="33" t="s">
        <v>250</v>
      </c>
      <c r="T9" s="33" t="s">
        <v>250</v>
      </c>
      <c r="U9" s="33" t="s">
        <v>250</v>
      </c>
      <c r="V9" s="33" t="s">
        <v>250</v>
      </c>
      <c r="W9" s="33" t="s">
        <v>250</v>
      </c>
      <c r="X9" s="33" t="s">
        <v>250</v>
      </c>
      <c r="Y9" s="33" t="s">
        <v>250</v>
      </c>
      <c r="Z9" s="33" t="s">
        <v>250</v>
      </c>
      <c r="AA9" s="33" t="s">
        <v>250</v>
      </c>
      <c r="AB9" s="33" t="s">
        <v>250</v>
      </c>
      <c r="AC9" s="33" t="s">
        <v>250</v>
      </c>
      <c r="AD9" s="33" t="s">
        <v>250</v>
      </c>
      <c r="AE9" s="33" t="s">
        <v>250</v>
      </c>
      <c r="AF9" s="33" t="s">
        <v>250</v>
      </c>
      <c r="AG9" s="31" t="s">
        <v>789</v>
      </c>
      <c r="AH9" s="31" t="s">
        <v>789</v>
      </c>
    </row>
    <row x14ac:dyDescent="0.25" r="10" customHeight="1" ht="18.75">
      <c r="A10" s="35" t="s">
        <v>47</v>
      </c>
      <c r="B10" s="117">
        <v>73</v>
      </c>
      <c r="C10" s="117">
        <v>73</v>
      </c>
      <c r="D10" s="117">
        <v>73</v>
      </c>
      <c r="E10" s="117">
        <v>73</v>
      </c>
      <c r="F10" s="117">
        <v>113</v>
      </c>
      <c r="G10" s="117">
        <v>73</v>
      </c>
      <c r="H10" s="117">
        <v>73</v>
      </c>
      <c r="I10" s="117">
        <v>73</v>
      </c>
      <c r="J10" s="117">
        <v>73</v>
      </c>
      <c r="K10" s="117">
        <v>73</v>
      </c>
      <c r="L10" s="117">
        <v>73</v>
      </c>
      <c r="M10" s="117">
        <v>73</v>
      </c>
      <c r="N10" s="117">
        <v>73</v>
      </c>
      <c r="O10" s="117">
        <v>73</v>
      </c>
      <c r="P10" s="117">
        <v>72</v>
      </c>
      <c r="Q10" s="117">
        <v>72</v>
      </c>
      <c r="R10" s="117">
        <v>72</v>
      </c>
      <c r="S10" s="117">
        <v>73</v>
      </c>
      <c r="T10" s="117">
        <v>73</v>
      </c>
      <c r="U10" s="117">
        <v>73</v>
      </c>
      <c r="V10" s="117">
        <v>73</v>
      </c>
      <c r="W10" s="117">
        <v>73</v>
      </c>
      <c r="X10" s="117">
        <v>73</v>
      </c>
      <c r="Y10" s="117">
        <v>73</v>
      </c>
      <c r="Z10" s="117">
        <v>73</v>
      </c>
      <c r="AA10" s="117">
        <v>73</v>
      </c>
      <c r="AB10" s="117">
        <v>73</v>
      </c>
      <c r="AC10" s="117">
        <v>73</v>
      </c>
      <c r="AD10" s="117">
        <v>73</v>
      </c>
      <c r="AE10" s="117">
        <v>73</v>
      </c>
      <c r="AF10" s="117">
        <v>73</v>
      </c>
      <c r="AG10" s="117">
        <v>72</v>
      </c>
      <c r="AH10" s="117">
        <v>72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3" t="s">
        <v>52</v>
      </c>
      <c r="AC12" s="33" t="s">
        <v>52</v>
      </c>
      <c r="AD12" s="33" t="s">
        <v>52</v>
      </c>
      <c r="AE12" s="33" t="s">
        <v>52</v>
      </c>
      <c r="AF12" s="33" t="s">
        <v>52</v>
      </c>
      <c r="AG12" s="33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163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0.75</v>
      </c>
      <c r="C16" s="31">
        <v>0.75</v>
      </c>
      <c r="D16" s="31">
        <v>0.75</v>
      </c>
      <c r="E16" s="31">
        <v>0.75</v>
      </c>
      <c r="F16" s="31">
        <f>AVERAGE(0.75,-2)</f>
      </c>
      <c r="G16" s="31">
        <v>0.75</v>
      </c>
      <c r="H16" s="31">
        <v>0.75</v>
      </c>
      <c r="I16" s="31">
        <v>0.75</v>
      </c>
      <c r="J16" s="31">
        <v>0.75</v>
      </c>
      <c r="K16" s="31">
        <v>0.75</v>
      </c>
      <c r="L16" s="31">
        <v>0.75</v>
      </c>
      <c r="M16" s="31">
        <v>0.75</v>
      </c>
      <c r="N16" s="31">
        <v>0.75</v>
      </c>
      <c r="O16" s="31">
        <v>0.75</v>
      </c>
      <c r="P16" s="31">
        <v>1.67</v>
      </c>
      <c r="Q16" s="31">
        <v>1.67</v>
      </c>
      <c r="R16" s="31">
        <v>1.67</v>
      </c>
      <c r="S16" s="31">
        <v>0.75</v>
      </c>
      <c r="T16" s="31">
        <v>0.75</v>
      </c>
      <c r="U16" s="31">
        <v>0.75</v>
      </c>
      <c r="V16" s="31">
        <v>0.75</v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v>0.75</v>
      </c>
      <c r="AG16" s="31">
        <v>1.67</v>
      </c>
      <c r="AH16" s="31">
        <v>1.67</v>
      </c>
    </row>
    <row x14ac:dyDescent="0.25" r="17" customHeight="1" ht="18.75">
      <c r="A17" s="30" t="s">
        <v>129</v>
      </c>
      <c r="B17" s="31" t="s">
        <v>257</v>
      </c>
      <c r="C17" s="31" t="s">
        <v>257</v>
      </c>
      <c r="D17" s="31" t="s">
        <v>257</v>
      </c>
      <c r="E17" s="31" t="s">
        <v>257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1" t="s">
        <v>257</v>
      </c>
      <c r="S17" s="31" t="s">
        <v>257</v>
      </c>
      <c r="T17" s="31" t="s">
        <v>257</v>
      </c>
      <c r="U17" s="31" t="s">
        <v>257</v>
      </c>
      <c r="V17" s="31" t="s">
        <v>257</v>
      </c>
      <c r="W17" s="31" t="s">
        <v>257</v>
      </c>
      <c r="X17" s="31" t="s">
        <v>257</v>
      </c>
      <c r="Y17" s="31" t="s">
        <v>257</v>
      </c>
      <c r="Z17" s="31" t="s">
        <v>257</v>
      </c>
      <c r="AA17" s="31" t="s">
        <v>257</v>
      </c>
      <c r="AB17" s="31" t="s">
        <v>257</v>
      </c>
      <c r="AC17" s="31" t="s">
        <v>257</v>
      </c>
      <c r="AD17" s="31" t="s">
        <v>257</v>
      </c>
      <c r="AE17" s="31" t="s">
        <v>257</v>
      </c>
      <c r="AF17" s="31" t="s">
        <v>257</v>
      </c>
      <c r="AG17" s="31" t="s">
        <v>257</v>
      </c>
      <c r="AH17" s="31" t="s">
        <v>257</v>
      </c>
    </row>
    <row x14ac:dyDescent="0.25" r="18" customHeight="1" ht="18.75">
      <c r="A18" s="30" t="s">
        <v>130</v>
      </c>
      <c r="B18" s="31">
        <v>1.5</v>
      </c>
      <c r="C18" s="31">
        <v>1.5</v>
      </c>
      <c r="D18" s="31">
        <v>1.5</v>
      </c>
      <c r="E18" s="31">
        <v>1.5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>
        <v>1.5</v>
      </c>
      <c r="S18" s="31">
        <v>1.5</v>
      </c>
      <c r="T18" s="31">
        <v>1.5</v>
      </c>
      <c r="U18" s="31">
        <v>1.5</v>
      </c>
      <c r="V18" s="31">
        <v>1.5</v>
      </c>
      <c r="W18" s="31">
        <v>1.5</v>
      </c>
      <c r="X18" s="31">
        <v>1.5</v>
      </c>
      <c r="Y18" s="31">
        <v>1.5</v>
      </c>
      <c r="Z18" s="31">
        <v>1.5</v>
      </c>
      <c r="AA18" s="31">
        <v>1.5</v>
      </c>
      <c r="AB18" s="31">
        <v>1.5</v>
      </c>
      <c r="AC18" s="31">
        <v>1.5</v>
      </c>
      <c r="AD18" s="31">
        <v>1.5</v>
      </c>
      <c r="AE18" s="31">
        <v>1.5</v>
      </c>
      <c r="AF18" s="31">
        <v>1.5</v>
      </c>
      <c r="AG18" s="31">
        <v>1.5</v>
      </c>
      <c r="AH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1398</v>
      </c>
      <c r="B21" s="40" t="s">
        <v>1399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7">
        <v>16.5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1390</v>
      </c>
      <c r="C4" s="7"/>
      <c r="D4" s="7"/>
      <c r="E4" s="2"/>
      <c r="F4" s="124" t="s">
        <v>1391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397</v>
      </c>
      <c r="C8" s="33" t="s">
        <v>262</v>
      </c>
      <c r="D8" s="33" t="s">
        <v>262</v>
      </c>
      <c r="E8" s="33" t="s">
        <v>262</v>
      </c>
      <c r="F8" s="33" t="s">
        <v>262</v>
      </c>
      <c r="G8" s="33" t="s">
        <v>262</v>
      </c>
      <c r="H8" s="33" t="s">
        <v>262</v>
      </c>
      <c r="I8" s="33" t="s">
        <v>262</v>
      </c>
      <c r="J8" s="33" t="s">
        <v>262</v>
      </c>
      <c r="K8" s="33" t="s">
        <v>262</v>
      </c>
      <c r="L8" s="33" t="s">
        <v>262</v>
      </c>
      <c r="M8" s="33" t="s">
        <v>262</v>
      </c>
      <c r="N8" s="33" t="s">
        <v>262</v>
      </c>
      <c r="O8" s="33" t="s">
        <v>262</v>
      </c>
      <c r="P8" s="33" t="s">
        <v>262</v>
      </c>
      <c r="Q8" s="33" t="s">
        <v>262</v>
      </c>
      <c r="R8" s="33" t="s">
        <v>262</v>
      </c>
      <c r="S8" s="33" t="s">
        <v>262</v>
      </c>
      <c r="T8" s="33" t="s">
        <v>262</v>
      </c>
      <c r="U8" s="33" t="s">
        <v>262</v>
      </c>
      <c r="V8" s="33" t="s">
        <v>262</v>
      </c>
      <c r="W8" s="33" t="s">
        <v>262</v>
      </c>
      <c r="X8" s="33" t="s">
        <v>262</v>
      </c>
      <c r="Y8" s="33" t="s">
        <v>262</v>
      </c>
      <c r="Z8" s="33" t="s">
        <v>262</v>
      </c>
      <c r="AA8" s="33" t="s">
        <v>262</v>
      </c>
      <c r="AB8" s="33" t="s">
        <v>262</v>
      </c>
      <c r="AC8" s="33" t="s">
        <v>262</v>
      </c>
      <c r="AD8" s="33" t="s">
        <v>262</v>
      </c>
      <c r="AE8" s="33" t="s">
        <v>262</v>
      </c>
      <c r="AF8" s="33" t="s">
        <v>262</v>
      </c>
      <c r="AG8" s="33" t="s">
        <v>262</v>
      </c>
      <c r="AH8" s="33" t="s">
        <v>262</v>
      </c>
    </row>
    <row x14ac:dyDescent="0.25" r="9" customHeight="1" ht="18.75">
      <c r="A9" s="30" t="s">
        <v>45</v>
      </c>
      <c r="B9" s="31" t="s">
        <v>262</v>
      </c>
      <c r="C9" s="31" t="s">
        <v>262</v>
      </c>
      <c r="D9" s="31" t="s">
        <v>262</v>
      </c>
      <c r="E9" s="31" t="s">
        <v>262</v>
      </c>
      <c r="F9" s="31" t="s">
        <v>262</v>
      </c>
      <c r="G9" s="31" t="s">
        <v>262</v>
      </c>
      <c r="H9" s="31" t="s">
        <v>262</v>
      </c>
      <c r="I9" s="31" t="s">
        <v>262</v>
      </c>
      <c r="J9" s="31" t="s">
        <v>262</v>
      </c>
      <c r="K9" s="31" t="s">
        <v>262</v>
      </c>
      <c r="L9" s="31" t="s">
        <v>262</v>
      </c>
      <c r="M9" s="31" t="s">
        <v>262</v>
      </c>
      <c r="N9" s="31" t="s">
        <v>262</v>
      </c>
      <c r="O9" s="31" t="s">
        <v>262</v>
      </c>
      <c r="P9" s="31" t="s">
        <v>262</v>
      </c>
      <c r="Q9" s="31" t="s">
        <v>262</v>
      </c>
      <c r="R9" s="31" t="s">
        <v>262</v>
      </c>
      <c r="S9" s="31" t="s">
        <v>262</v>
      </c>
      <c r="T9" s="31" t="s">
        <v>262</v>
      </c>
      <c r="U9" s="31" t="s">
        <v>262</v>
      </c>
      <c r="V9" s="31" t="s">
        <v>262</v>
      </c>
      <c r="W9" s="31" t="s">
        <v>262</v>
      </c>
      <c r="X9" s="31" t="s">
        <v>262</v>
      </c>
      <c r="Y9" s="31" t="s">
        <v>262</v>
      </c>
      <c r="Z9" s="31" t="s">
        <v>262</v>
      </c>
      <c r="AA9" s="31" t="s">
        <v>262</v>
      </c>
      <c r="AB9" s="31" t="s">
        <v>262</v>
      </c>
      <c r="AC9" s="31" t="s">
        <v>262</v>
      </c>
      <c r="AD9" s="31" t="s">
        <v>262</v>
      </c>
      <c r="AE9" s="31" t="s">
        <v>262</v>
      </c>
      <c r="AF9" s="31" t="s">
        <v>262</v>
      </c>
      <c r="AG9" s="31" t="s">
        <v>262</v>
      </c>
      <c r="AH9" s="31" t="s">
        <v>262</v>
      </c>
    </row>
    <row x14ac:dyDescent="0.25" r="10" customHeight="1" ht="18.75">
      <c r="A10" s="35" t="s">
        <v>47</v>
      </c>
      <c r="B10" s="117">
        <v>70</v>
      </c>
      <c r="C10" s="117">
        <v>70</v>
      </c>
      <c r="D10" s="117">
        <v>70</v>
      </c>
      <c r="E10" s="117">
        <v>70</v>
      </c>
      <c r="F10" s="117">
        <v>70</v>
      </c>
      <c r="G10" s="117">
        <v>70</v>
      </c>
      <c r="H10" s="117">
        <v>70</v>
      </c>
      <c r="I10" s="117">
        <v>70</v>
      </c>
      <c r="J10" s="117">
        <v>70</v>
      </c>
      <c r="K10" s="117">
        <v>70</v>
      </c>
      <c r="L10" s="117">
        <v>70</v>
      </c>
      <c r="M10" s="117">
        <v>70</v>
      </c>
      <c r="N10" s="117">
        <v>70</v>
      </c>
      <c r="O10" s="117">
        <v>70</v>
      </c>
      <c r="P10" s="117">
        <v>70</v>
      </c>
      <c r="Q10" s="117">
        <v>70</v>
      </c>
      <c r="R10" s="117">
        <v>70</v>
      </c>
      <c r="S10" s="117">
        <v>70</v>
      </c>
      <c r="T10" s="117">
        <v>70</v>
      </c>
      <c r="U10" s="117">
        <v>70</v>
      </c>
      <c r="V10" s="117">
        <v>70</v>
      </c>
      <c r="W10" s="117">
        <v>70</v>
      </c>
      <c r="X10" s="117">
        <v>70</v>
      </c>
      <c r="Y10" s="117">
        <v>70</v>
      </c>
      <c r="Z10" s="117">
        <v>70</v>
      </c>
      <c r="AA10" s="117">
        <v>70</v>
      </c>
      <c r="AB10" s="117">
        <v>70</v>
      </c>
      <c r="AC10" s="117">
        <v>70</v>
      </c>
      <c r="AD10" s="117">
        <v>70</v>
      </c>
      <c r="AE10" s="117">
        <v>70</v>
      </c>
      <c r="AF10" s="117">
        <v>70</v>
      </c>
      <c r="AG10" s="117">
        <v>70</v>
      </c>
      <c r="AH10" s="117">
        <v>70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3" t="s">
        <v>52</v>
      </c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3" t="s">
        <v>52</v>
      </c>
      <c r="AC12" s="33" t="s">
        <v>52</v>
      </c>
      <c r="AD12" s="33" t="s">
        <v>52</v>
      </c>
      <c r="AE12" s="33" t="s">
        <v>52</v>
      </c>
      <c r="AF12" s="33" t="s">
        <v>52</v>
      </c>
      <c r="AG12" s="33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31">
        <v>3</v>
      </c>
      <c r="U16" s="31">
        <v>3</v>
      </c>
      <c r="V16" s="31">
        <v>3</v>
      </c>
      <c r="W16" s="31">
        <v>3</v>
      </c>
      <c r="X16" s="31">
        <v>3</v>
      </c>
      <c r="Y16" s="31">
        <v>3</v>
      </c>
      <c r="Z16" s="31">
        <v>3</v>
      </c>
      <c r="AA16" s="31">
        <v>3</v>
      </c>
      <c r="AB16" s="31">
        <v>3</v>
      </c>
      <c r="AC16" s="31">
        <v>3</v>
      </c>
      <c r="AD16" s="31">
        <v>3</v>
      </c>
      <c r="AE16" s="31">
        <v>3</v>
      </c>
      <c r="AF16" s="31">
        <v>3</v>
      </c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257</v>
      </c>
      <c r="C17" s="31" t="s">
        <v>257</v>
      </c>
      <c r="D17" s="31" t="s">
        <v>257</v>
      </c>
      <c r="E17" s="31" t="s">
        <v>257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1" t="s">
        <v>257</v>
      </c>
      <c r="S17" s="31" t="s">
        <v>257</v>
      </c>
      <c r="T17" s="31" t="s">
        <v>257</v>
      </c>
      <c r="U17" s="31" t="s">
        <v>257</v>
      </c>
      <c r="V17" s="31" t="s">
        <v>257</v>
      </c>
      <c r="W17" s="31" t="s">
        <v>257</v>
      </c>
      <c r="X17" s="31" t="s">
        <v>257</v>
      </c>
      <c r="Y17" s="31" t="s">
        <v>257</v>
      </c>
      <c r="Z17" s="31" t="s">
        <v>257</v>
      </c>
      <c r="AA17" s="31" t="s">
        <v>257</v>
      </c>
      <c r="AB17" s="31" t="s">
        <v>257</v>
      </c>
      <c r="AC17" s="31" t="s">
        <v>257</v>
      </c>
      <c r="AD17" s="31" t="s">
        <v>257</v>
      </c>
      <c r="AE17" s="31" t="s">
        <v>257</v>
      </c>
      <c r="AF17" s="31" t="s">
        <v>257</v>
      </c>
      <c r="AG17" s="31" t="s">
        <v>257</v>
      </c>
      <c r="AH17" s="31" t="s">
        <v>257</v>
      </c>
    </row>
    <row x14ac:dyDescent="0.25" r="18" customHeight="1" ht="18.75">
      <c r="A18" s="30" t="s">
        <v>130</v>
      </c>
      <c r="B18" s="31">
        <v>1.5</v>
      </c>
      <c r="C18" s="31">
        <v>1.5</v>
      </c>
      <c r="D18" s="31">
        <v>1.5</v>
      </c>
      <c r="E18" s="31">
        <v>1.5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>
        <v>1.5</v>
      </c>
      <c r="S18" s="31">
        <v>1.5</v>
      </c>
      <c r="T18" s="31">
        <v>1.5</v>
      </c>
      <c r="U18" s="31">
        <v>1.5</v>
      </c>
      <c r="V18" s="31">
        <v>1.5</v>
      </c>
      <c r="W18" s="31">
        <v>1.5</v>
      </c>
      <c r="X18" s="31">
        <v>1.5</v>
      </c>
      <c r="Y18" s="31">
        <v>1.5</v>
      </c>
      <c r="Z18" s="31">
        <v>1.5</v>
      </c>
      <c r="AA18" s="31">
        <v>1.5</v>
      </c>
      <c r="AB18" s="31">
        <v>1.5</v>
      </c>
      <c r="AC18" s="31">
        <v>1.5</v>
      </c>
      <c r="AD18" s="31">
        <v>1.5</v>
      </c>
      <c r="AE18" s="31">
        <v>1.5</v>
      </c>
      <c r="AF18" s="31">
        <v>1.5</v>
      </c>
      <c r="AG18" s="31">
        <v>1.5</v>
      </c>
      <c r="AH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1392</v>
      </c>
      <c r="B21" s="40" t="s">
        <v>1393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17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1378</v>
      </c>
      <c r="C4" s="7"/>
      <c r="D4" s="7"/>
      <c r="E4" s="2"/>
      <c r="F4" s="124" t="s">
        <v>1386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1387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169</v>
      </c>
      <c r="C8" s="33" t="s">
        <v>243</v>
      </c>
      <c r="D8" s="33" t="s">
        <v>243</v>
      </c>
      <c r="E8" s="33" t="s">
        <v>243</v>
      </c>
      <c r="F8" s="33" t="s">
        <v>1381</v>
      </c>
      <c r="G8" s="33" t="s">
        <v>243</v>
      </c>
      <c r="H8" s="33" t="s">
        <v>243</v>
      </c>
      <c r="I8" s="33" t="s">
        <v>243</v>
      </c>
      <c r="J8" s="33" t="s">
        <v>243</v>
      </c>
      <c r="K8" s="33" t="s">
        <v>243</v>
      </c>
      <c r="L8" s="33" t="s">
        <v>243</v>
      </c>
      <c r="M8" s="33" t="s">
        <v>243</v>
      </c>
      <c r="N8" s="33" t="s">
        <v>243</v>
      </c>
      <c r="O8" s="33" t="s">
        <v>243</v>
      </c>
      <c r="P8" s="33" t="s">
        <v>243</v>
      </c>
      <c r="Q8" s="33" t="s">
        <v>243</v>
      </c>
      <c r="R8" s="33" t="s">
        <v>243</v>
      </c>
      <c r="S8" s="33" t="s">
        <v>243</v>
      </c>
      <c r="T8" s="33" t="s">
        <v>243</v>
      </c>
      <c r="U8" s="33" t="s">
        <v>243</v>
      </c>
      <c r="V8" s="33" t="s">
        <v>243</v>
      </c>
      <c r="W8" s="33" t="s">
        <v>243</v>
      </c>
      <c r="X8" s="33" t="s">
        <v>243</v>
      </c>
      <c r="Y8" s="33" t="s">
        <v>243</v>
      </c>
      <c r="Z8" s="33" t="s">
        <v>243</v>
      </c>
      <c r="AA8" s="33" t="s">
        <v>243</v>
      </c>
      <c r="AB8" s="33" t="s">
        <v>243</v>
      </c>
      <c r="AC8" s="33" t="s">
        <v>243</v>
      </c>
      <c r="AD8" s="33" t="s">
        <v>243</v>
      </c>
      <c r="AE8" s="33" t="s">
        <v>243</v>
      </c>
      <c r="AF8" s="33" t="s">
        <v>243</v>
      </c>
      <c r="AG8" s="33" t="s">
        <v>243</v>
      </c>
      <c r="AH8" s="33" t="s">
        <v>243</v>
      </c>
    </row>
    <row x14ac:dyDescent="0.25" r="9" customHeight="1" ht="18.75">
      <c r="A9" s="30" t="s">
        <v>45</v>
      </c>
      <c r="B9" s="33" t="s">
        <v>468</v>
      </c>
      <c r="C9" s="33" t="s">
        <v>243</v>
      </c>
      <c r="D9" s="33" t="s">
        <v>243</v>
      </c>
      <c r="E9" s="33" t="s">
        <v>243</v>
      </c>
      <c r="F9" s="33" t="s">
        <v>1382</v>
      </c>
      <c r="G9" s="33" t="s">
        <v>468</v>
      </c>
      <c r="H9" s="33" t="s">
        <v>468</v>
      </c>
      <c r="I9" s="33" t="s">
        <v>468</v>
      </c>
      <c r="J9" s="33" t="s">
        <v>243</v>
      </c>
      <c r="K9" s="33" t="s">
        <v>243</v>
      </c>
      <c r="L9" s="33" t="s">
        <v>243</v>
      </c>
      <c r="M9" s="33" t="s">
        <v>243</v>
      </c>
      <c r="N9" s="33" t="s">
        <v>243</v>
      </c>
      <c r="O9" s="33" t="s">
        <v>243</v>
      </c>
      <c r="P9" s="33" t="s">
        <v>243</v>
      </c>
      <c r="Q9" s="33" t="s">
        <v>243</v>
      </c>
      <c r="R9" s="33" t="s">
        <v>243</v>
      </c>
      <c r="S9" s="33" t="s">
        <v>243</v>
      </c>
      <c r="T9" s="33" t="s">
        <v>243</v>
      </c>
      <c r="U9" s="33" t="s">
        <v>243</v>
      </c>
      <c r="V9" s="33" t="s">
        <v>243</v>
      </c>
      <c r="W9" s="33" t="s">
        <v>243</v>
      </c>
      <c r="X9" s="33" t="s">
        <v>243</v>
      </c>
      <c r="Y9" s="33" t="s">
        <v>243</v>
      </c>
      <c r="Z9" s="33" t="s">
        <v>243</v>
      </c>
      <c r="AA9" s="33" t="s">
        <v>243</v>
      </c>
      <c r="AB9" s="33" t="s">
        <v>243</v>
      </c>
      <c r="AC9" s="33" t="s">
        <v>243</v>
      </c>
      <c r="AD9" s="33" t="s">
        <v>243</v>
      </c>
      <c r="AE9" s="33" t="s">
        <v>243</v>
      </c>
      <c r="AF9" s="33" t="s">
        <v>243</v>
      </c>
      <c r="AG9" s="33" t="s">
        <v>243</v>
      </c>
      <c r="AH9" s="33" t="s">
        <v>243</v>
      </c>
    </row>
    <row x14ac:dyDescent="0.25" r="10" customHeight="1" ht="18.75">
      <c r="A10" s="35" t="s">
        <v>47</v>
      </c>
      <c r="B10" s="117">
        <v>114</v>
      </c>
      <c r="C10" s="117">
        <v>42</v>
      </c>
      <c r="D10" s="117">
        <v>42</v>
      </c>
      <c r="E10" s="117">
        <v>42</v>
      </c>
      <c r="F10" s="117">
        <v>115</v>
      </c>
      <c r="G10" s="117">
        <v>114</v>
      </c>
      <c r="H10" s="117">
        <v>114</v>
      </c>
      <c r="I10" s="117">
        <v>114</v>
      </c>
      <c r="J10" s="117">
        <v>42</v>
      </c>
      <c r="K10" s="117">
        <v>42</v>
      </c>
      <c r="L10" s="117">
        <v>42</v>
      </c>
      <c r="M10" s="117">
        <v>42</v>
      </c>
      <c r="N10" s="117">
        <v>42</v>
      </c>
      <c r="O10" s="117">
        <v>42</v>
      </c>
      <c r="P10" s="117">
        <v>42</v>
      </c>
      <c r="Q10" s="117">
        <v>42</v>
      </c>
      <c r="R10" s="117">
        <v>42</v>
      </c>
      <c r="S10" s="117">
        <v>42</v>
      </c>
      <c r="T10" s="117">
        <v>42</v>
      </c>
      <c r="U10" s="117">
        <v>42</v>
      </c>
      <c r="V10" s="117">
        <v>42</v>
      </c>
      <c r="W10" s="117">
        <v>42</v>
      </c>
      <c r="X10" s="117">
        <v>42</v>
      </c>
      <c r="Y10" s="117">
        <v>42</v>
      </c>
      <c r="Z10" s="117">
        <v>42</v>
      </c>
      <c r="AA10" s="117">
        <v>42</v>
      </c>
      <c r="AB10" s="117">
        <v>42</v>
      </c>
      <c r="AC10" s="117">
        <v>42</v>
      </c>
      <c r="AD10" s="117">
        <v>42</v>
      </c>
      <c r="AE10" s="117">
        <v>42</v>
      </c>
      <c r="AF10" s="117">
        <v>42</v>
      </c>
      <c r="AG10" s="117">
        <v>42</v>
      </c>
      <c r="AH10" s="117">
        <v>42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1383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2.75</v>
      </c>
      <c r="C16" s="31">
        <v>2.5</v>
      </c>
      <c r="D16" s="31">
        <v>2.5</v>
      </c>
      <c r="E16" s="31">
        <v>2.5</v>
      </c>
      <c r="F16" s="31">
        <f>AVERAGE(2.75,2.75,-6)</f>
      </c>
      <c r="G16" s="31">
        <v>2.75</v>
      </c>
      <c r="H16" s="31">
        <v>2.75</v>
      </c>
      <c r="I16" s="31">
        <v>2.75</v>
      </c>
      <c r="J16" s="31">
        <v>2.5</v>
      </c>
      <c r="K16" s="31">
        <v>2.5</v>
      </c>
      <c r="L16" s="31">
        <v>2.5</v>
      </c>
      <c r="M16" s="31">
        <v>2.5</v>
      </c>
      <c r="N16" s="31">
        <v>2.5</v>
      </c>
      <c r="O16" s="31">
        <v>2.5</v>
      </c>
      <c r="P16" s="31">
        <v>2.5</v>
      </c>
      <c r="Q16" s="31">
        <v>2.5</v>
      </c>
      <c r="R16" s="31">
        <v>2.5</v>
      </c>
      <c r="S16" s="31">
        <v>2.5</v>
      </c>
      <c r="T16" s="31">
        <v>2.5</v>
      </c>
      <c r="U16" s="31">
        <v>2.5</v>
      </c>
      <c r="V16" s="31">
        <v>2.5</v>
      </c>
      <c r="W16" s="31">
        <v>2.5</v>
      </c>
      <c r="X16" s="31">
        <v>2.5</v>
      </c>
      <c r="Y16" s="31">
        <v>2.5</v>
      </c>
      <c r="Z16" s="31">
        <v>2.5</v>
      </c>
      <c r="AA16" s="31">
        <v>2.5</v>
      </c>
      <c r="AB16" s="31">
        <v>2.5</v>
      </c>
      <c r="AC16" s="31">
        <v>2.5</v>
      </c>
      <c r="AD16" s="31">
        <v>2.5</v>
      </c>
      <c r="AE16" s="31">
        <v>2.5</v>
      </c>
      <c r="AF16" s="31">
        <v>2.5</v>
      </c>
      <c r="AG16" s="31">
        <v>2.5</v>
      </c>
      <c r="AH16" s="31">
        <v>2.5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</row>
    <row x14ac:dyDescent="0.25" r="19" customHeight="1" ht="18.7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1388</v>
      </c>
      <c r="B21" s="40" t="s">
        <v>1385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x14ac:dyDescent="0.25" r="22" customHeight="1" ht="18.75">
      <c r="A22" s="123" t="s">
        <v>1389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18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1378</v>
      </c>
      <c r="C4" s="7"/>
      <c r="D4" s="7"/>
      <c r="E4" s="2"/>
      <c r="F4" s="124" t="s">
        <v>1379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1380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169</v>
      </c>
      <c r="C8" s="33" t="s">
        <v>243</v>
      </c>
      <c r="D8" s="33" t="s">
        <v>243</v>
      </c>
      <c r="E8" s="33" t="s">
        <v>243</v>
      </c>
      <c r="F8" s="33" t="s">
        <v>1381</v>
      </c>
      <c r="G8" s="33" t="s">
        <v>228</v>
      </c>
      <c r="H8" s="33" t="s">
        <v>228</v>
      </c>
      <c r="I8" s="33" t="s">
        <v>228</v>
      </c>
      <c r="J8" s="33" t="s">
        <v>243</v>
      </c>
      <c r="K8" s="33" t="s">
        <v>243</v>
      </c>
      <c r="L8" s="33" t="s">
        <v>243</v>
      </c>
      <c r="M8" s="33" t="s">
        <v>243</v>
      </c>
      <c r="N8" s="33" t="s">
        <v>243</v>
      </c>
      <c r="O8" s="33" t="s">
        <v>243</v>
      </c>
      <c r="P8" s="33" t="s">
        <v>243</v>
      </c>
      <c r="Q8" s="33" t="s">
        <v>243</v>
      </c>
      <c r="R8" s="33" t="s">
        <v>243</v>
      </c>
      <c r="S8" s="33" t="s">
        <v>243</v>
      </c>
      <c r="T8" s="33" t="s">
        <v>243</v>
      </c>
      <c r="U8" s="33" t="s">
        <v>243</v>
      </c>
      <c r="V8" s="33" t="s">
        <v>243</v>
      </c>
      <c r="W8" s="33" t="s">
        <v>243</v>
      </c>
      <c r="X8" s="33" t="s">
        <v>243</v>
      </c>
      <c r="Y8" s="33" t="s">
        <v>243</v>
      </c>
      <c r="Z8" s="33" t="s">
        <v>243</v>
      </c>
      <c r="AA8" s="33" t="s">
        <v>243</v>
      </c>
      <c r="AB8" s="33" t="s">
        <v>243</v>
      </c>
      <c r="AC8" s="33" t="s">
        <v>243</v>
      </c>
      <c r="AD8" s="33" t="s">
        <v>243</v>
      </c>
      <c r="AE8" s="33" t="s">
        <v>243</v>
      </c>
      <c r="AF8" s="33" t="s">
        <v>243</v>
      </c>
      <c r="AG8" s="33" t="s">
        <v>243</v>
      </c>
      <c r="AH8" s="33" t="s">
        <v>243</v>
      </c>
    </row>
    <row x14ac:dyDescent="0.25" r="9" customHeight="1" ht="18.75">
      <c r="A9" s="30" t="s">
        <v>45</v>
      </c>
      <c r="B9" s="33" t="s">
        <v>468</v>
      </c>
      <c r="C9" s="33" t="s">
        <v>243</v>
      </c>
      <c r="D9" s="33" t="s">
        <v>243</v>
      </c>
      <c r="E9" s="33" t="s">
        <v>243</v>
      </c>
      <c r="F9" s="33" t="s">
        <v>1382</v>
      </c>
      <c r="G9" s="146" t="s">
        <v>358</v>
      </c>
      <c r="H9" s="33" t="s">
        <v>1341</v>
      </c>
      <c r="I9" s="146" t="s">
        <v>358</v>
      </c>
      <c r="J9" s="33" t="s">
        <v>243</v>
      </c>
      <c r="K9" s="33" t="s">
        <v>243</v>
      </c>
      <c r="L9" s="33" t="s">
        <v>243</v>
      </c>
      <c r="M9" s="33" t="s">
        <v>243</v>
      </c>
      <c r="N9" s="33" t="s">
        <v>243</v>
      </c>
      <c r="O9" s="33" t="s">
        <v>243</v>
      </c>
      <c r="P9" s="33" t="s">
        <v>243</v>
      </c>
      <c r="Q9" s="33" t="s">
        <v>243</v>
      </c>
      <c r="R9" s="33" t="s">
        <v>243</v>
      </c>
      <c r="S9" s="33" t="s">
        <v>243</v>
      </c>
      <c r="T9" s="33" t="s">
        <v>243</v>
      </c>
      <c r="U9" s="33" t="s">
        <v>243</v>
      </c>
      <c r="V9" s="33" t="s">
        <v>243</v>
      </c>
      <c r="W9" s="33" t="s">
        <v>243</v>
      </c>
      <c r="X9" s="33" t="s">
        <v>243</v>
      </c>
      <c r="Y9" s="33" t="s">
        <v>243</v>
      </c>
      <c r="Z9" s="33" t="s">
        <v>243</v>
      </c>
      <c r="AA9" s="33" t="s">
        <v>243</v>
      </c>
      <c r="AB9" s="33" t="s">
        <v>243</v>
      </c>
      <c r="AC9" s="33" t="s">
        <v>243</v>
      </c>
      <c r="AD9" s="33" t="s">
        <v>243</v>
      </c>
      <c r="AE9" s="33" t="s">
        <v>243</v>
      </c>
      <c r="AF9" s="33" t="s">
        <v>243</v>
      </c>
      <c r="AG9" s="33" t="s">
        <v>243</v>
      </c>
      <c r="AH9" s="33" t="s">
        <v>243</v>
      </c>
    </row>
    <row x14ac:dyDescent="0.25" r="10" customHeight="1" ht="18.75">
      <c r="A10" s="35" t="s">
        <v>47</v>
      </c>
      <c r="B10" s="117">
        <v>114</v>
      </c>
      <c r="C10" s="117">
        <v>42</v>
      </c>
      <c r="D10" s="117">
        <v>42</v>
      </c>
      <c r="E10" s="117">
        <v>42</v>
      </c>
      <c r="F10" s="117">
        <v>115</v>
      </c>
      <c r="G10" s="144"/>
      <c r="H10" s="117">
        <v>116</v>
      </c>
      <c r="I10" s="144"/>
      <c r="J10" s="117">
        <v>42</v>
      </c>
      <c r="K10" s="117">
        <v>42</v>
      </c>
      <c r="L10" s="117">
        <v>42</v>
      </c>
      <c r="M10" s="117">
        <v>42</v>
      </c>
      <c r="N10" s="117">
        <v>42</v>
      </c>
      <c r="O10" s="117">
        <v>42</v>
      </c>
      <c r="P10" s="117">
        <v>42</v>
      </c>
      <c r="Q10" s="117">
        <v>42</v>
      </c>
      <c r="R10" s="117">
        <v>42</v>
      </c>
      <c r="S10" s="117">
        <v>42</v>
      </c>
      <c r="T10" s="117">
        <v>42</v>
      </c>
      <c r="U10" s="117">
        <v>42</v>
      </c>
      <c r="V10" s="117">
        <v>42</v>
      </c>
      <c r="W10" s="117">
        <v>42</v>
      </c>
      <c r="X10" s="117">
        <v>42</v>
      </c>
      <c r="Y10" s="117">
        <v>42</v>
      </c>
      <c r="Z10" s="117">
        <v>42</v>
      </c>
      <c r="AA10" s="117">
        <v>42</v>
      </c>
      <c r="AB10" s="117">
        <v>42</v>
      </c>
      <c r="AC10" s="117">
        <v>42</v>
      </c>
      <c r="AD10" s="117">
        <v>42</v>
      </c>
      <c r="AE10" s="117">
        <v>42</v>
      </c>
      <c r="AF10" s="117">
        <v>42</v>
      </c>
      <c r="AG10" s="117">
        <v>42</v>
      </c>
      <c r="AH10" s="117">
        <v>42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143" t="s">
        <v>49</v>
      </c>
      <c r="H11" s="31" t="s">
        <v>49</v>
      </c>
      <c r="I11" s="143" t="s">
        <v>49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143" t="s">
        <v>49</v>
      </c>
      <c r="H12" s="31" t="s">
        <v>49</v>
      </c>
      <c r="I12" s="143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143" t="s">
        <v>49</v>
      </c>
      <c r="H13" s="31" t="s">
        <v>49</v>
      </c>
      <c r="I13" s="143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143" t="s">
        <v>49</v>
      </c>
      <c r="H14" s="31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1383</v>
      </c>
      <c r="G15" s="242" t="s">
        <v>235</v>
      </c>
      <c r="H15" s="114" t="s">
        <v>235</v>
      </c>
      <c r="I15" s="242" t="s">
        <v>235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2.75</v>
      </c>
      <c r="C16" s="31">
        <v>2.5</v>
      </c>
      <c r="D16" s="31">
        <v>2.5</v>
      </c>
      <c r="E16" s="31">
        <v>2.5</v>
      </c>
      <c r="F16" s="31">
        <f>AVERAGE(2.75,2.75,-6)</f>
      </c>
      <c r="G16" s="242">
        <v>-6</v>
      </c>
      <c r="H16" s="114">
        <v>-6</v>
      </c>
      <c r="I16" s="242">
        <v>-6</v>
      </c>
      <c r="J16" s="31">
        <v>2.5</v>
      </c>
      <c r="K16" s="31">
        <v>2.5</v>
      </c>
      <c r="L16" s="31">
        <v>2.5</v>
      </c>
      <c r="M16" s="31">
        <v>2.5</v>
      </c>
      <c r="N16" s="31">
        <v>2.5</v>
      </c>
      <c r="O16" s="31">
        <v>2.5</v>
      </c>
      <c r="P16" s="31">
        <v>2.5</v>
      </c>
      <c r="Q16" s="31">
        <v>2.5</v>
      </c>
      <c r="R16" s="31">
        <v>2.5</v>
      </c>
      <c r="S16" s="31">
        <v>2.5</v>
      </c>
      <c r="T16" s="31">
        <v>2.5</v>
      </c>
      <c r="U16" s="31">
        <v>2.5</v>
      </c>
      <c r="V16" s="31">
        <v>2.5</v>
      </c>
      <c r="W16" s="31">
        <v>2.5</v>
      </c>
      <c r="X16" s="31">
        <v>2.5</v>
      </c>
      <c r="Y16" s="31">
        <v>2.5</v>
      </c>
      <c r="Z16" s="31">
        <v>2.5</v>
      </c>
      <c r="AA16" s="31">
        <v>2.5</v>
      </c>
      <c r="AB16" s="31">
        <v>2.5</v>
      </c>
      <c r="AC16" s="31">
        <v>2.5</v>
      </c>
      <c r="AD16" s="31">
        <v>2.5</v>
      </c>
      <c r="AE16" s="31">
        <v>2.5</v>
      </c>
      <c r="AF16" s="31">
        <v>2.5</v>
      </c>
      <c r="AG16" s="31">
        <v>2.5</v>
      </c>
      <c r="AH16" s="31">
        <v>2.5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143" t="s">
        <v>358</v>
      </c>
      <c r="H17" s="31" t="s">
        <v>919</v>
      </c>
      <c r="I17" s="143" t="s">
        <v>358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143">
        <v>0</v>
      </c>
      <c r="H18" s="31">
        <v>1</v>
      </c>
      <c r="I18" s="143">
        <v>0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209" t="s">
        <v>1384</v>
      </c>
      <c r="B21" s="40" t="s">
        <v>1385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x14ac:dyDescent="0.25" r="22" customHeight="1" ht="18.75">
      <c r="A22" s="30"/>
      <c r="B22" s="40" t="s">
        <v>1301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3"/>
      <c r="K1" s="2"/>
      <c r="L1" s="2"/>
      <c r="M1" s="2"/>
      <c r="N1" s="2"/>
      <c r="O1" s="2"/>
      <c r="P1" s="2"/>
      <c r="Q1" s="2"/>
      <c r="R1" s="3"/>
      <c r="S1" s="2"/>
      <c r="T1" s="3"/>
      <c r="U1" s="2"/>
      <c r="V1" s="3"/>
      <c r="W1" s="3"/>
      <c r="X1" s="2"/>
      <c r="Y1" s="2"/>
      <c r="Z1" s="3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3"/>
      <c r="S2" s="2"/>
      <c r="T2" s="3"/>
      <c r="U2" s="2"/>
      <c r="V2" s="3"/>
      <c r="W2" s="3"/>
      <c r="X2" s="2"/>
      <c r="Y2" s="2"/>
      <c r="Z2" s="3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19</v>
      </c>
      <c r="C3" s="7"/>
      <c r="D3" s="7"/>
      <c r="E3" s="45"/>
      <c r="F3" s="90" t="s">
        <v>3</v>
      </c>
      <c r="G3" s="90"/>
      <c r="H3" s="90"/>
      <c r="I3" s="90"/>
      <c r="J3" s="89"/>
      <c r="K3" s="90"/>
      <c r="L3" s="90"/>
      <c r="M3" s="90"/>
      <c r="N3" s="90"/>
      <c r="O3" s="90"/>
      <c r="P3" s="2"/>
      <c r="Q3" s="2"/>
      <c r="R3" s="3"/>
      <c r="S3" s="2"/>
      <c r="T3" s="3"/>
      <c r="U3" s="2"/>
      <c r="V3" s="3"/>
      <c r="W3" s="3"/>
      <c r="X3" s="2"/>
      <c r="Y3" s="2"/>
      <c r="Z3" s="3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1369</v>
      </c>
      <c r="C4" s="7"/>
      <c r="D4" s="7"/>
      <c r="E4" s="2"/>
      <c r="F4" s="124" t="s">
        <v>1376</v>
      </c>
      <c r="G4" s="92"/>
      <c r="H4" s="92"/>
      <c r="I4" s="92"/>
      <c r="J4" s="93"/>
      <c r="K4" s="92"/>
      <c r="L4" s="92"/>
      <c r="M4" s="92"/>
      <c r="N4" s="92"/>
      <c r="O4" s="125"/>
      <c r="P4" s="2"/>
      <c r="Q4" s="2"/>
      <c r="R4" s="3"/>
      <c r="S4" s="2"/>
      <c r="T4" s="3"/>
      <c r="U4" s="2"/>
      <c r="V4" s="3"/>
      <c r="W4" s="3"/>
      <c r="X4" s="2"/>
      <c r="Y4" s="2"/>
      <c r="Z4" s="3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7"/>
      <c r="K5" s="96"/>
      <c r="L5" s="96"/>
      <c r="M5" s="96"/>
      <c r="N5" s="96"/>
      <c r="O5" s="127"/>
      <c r="P5" s="2"/>
      <c r="Q5" s="2"/>
      <c r="R5" s="3"/>
      <c r="S5" s="2"/>
      <c r="T5" s="3"/>
      <c r="U5" s="2"/>
      <c r="V5" s="3"/>
      <c r="W5" s="3"/>
      <c r="X5" s="2"/>
      <c r="Y5" s="2"/>
      <c r="Z5" s="3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3"/>
      <c r="K6" s="2"/>
      <c r="L6" s="2"/>
      <c r="M6" s="2"/>
      <c r="N6" s="2"/>
      <c r="O6" s="2"/>
      <c r="P6" s="2"/>
      <c r="Q6" s="2"/>
      <c r="R6" s="3"/>
      <c r="S6" s="2"/>
      <c r="T6" s="3"/>
      <c r="U6" s="2"/>
      <c r="V6" s="3"/>
      <c r="W6" s="3"/>
      <c r="X6" s="2"/>
      <c r="Y6" s="2"/>
      <c r="Z6" s="3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132" t="s">
        <v>27</v>
      </c>
      <c r="T7" s="76" t="s">
        <v>28</v>
      </c>
      <c r="U7" s="199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480</v>
      </c>
      <c r="C8" s="31" t="s">
        <v>482</v>
      </c>
      <c r="D8" s="31" t="s">
        <v>482</v>
      </c>
      <c r="E8" s="31" t="s">
        <v>482</v>
      </c>
      <c r="F8" s="31" t="s">
        <v>482</v>
      </c>
      <c r="G8" s="31" t="s">
        <v>482</v>
      </c>
      <c r="H8" s="31" t="s">
        <v>482</v>
      </c>
      <c r="I8" s="31" t="s">
        <v>482</v>
      </c>
      <c r="J8" s="34"/>
      <c r="K8" s="31" t="s">
        <v>482</v>
      </c>
      <c r="L8" s="31" t="s">
        <v>482</v>
      </c>
      <c r="M8" s="31" t="s">
        <v>482</v>
      </c>
      <c r="N8" s="33" t="s">
        <v>482</v>
      </c>
      <c r="O8" s="33" t="s">
        <v>482</v>
      </c>
      <c r="P8" s="33" t="s">
        <v>482</v>
      </c>
      <c r="Q8" s="33" t="s">
        <v>482</v>
      </c>
      <c r="R8" s="34"/>
      <c r="S8" s="33" t="s">
        <v>482</v>
      </c>
      <c r="T8" s="34"/>
      <c r="U8" s="33" t="s">
        <v>482</v>
      </c>
      <c r="V8" s="34"/>
      <c r="W8" s="34"/>
      <c r="X8" s="33" t="s">
        <v>339</v>
      </c>
      <c r="Y8" s="33" t="s">
        <v>339</v>
      </c>
      <c r="Z8" s="34"/>
      <c r="AA8" s="33" t="s">
        <v>482</v>
      </c>
      <c r="AB8" s="34"/>
      <c r="AC8" s="33" t="s">
        <v>482</v>
      </c>
      <c r="AD8" s="34"/>
      <c r="AE8" s="33" t="s">
        <v>482</v>
      </c>
      <c r="AF8" s="33" t="s">
        <v>482</v>
      </c>
      <c r="AG8" s="33" t="s">
        <v>482</v>
      </c>
      <c r="AH8" s="33" t="s">
        <v>482</v>
      </c>
    </row>
    <row x14ac:dyDescent="0.25" r="9" customHeight="1" ht="18.75">
      <c r="A9" s="30" t="s">
        <v>45</v>
      </c>
      <c r="B9" s="31" t="s">
        <v>486</v>
      </c>
      <c r="C9" s="31" t="s">
        <v>1371</v>
      </c>
      <c r="D9" s="31" t="s">
        <v>482</v>
      </c>
      <c r="E9" s="31" t="s">
        <v>339</v>
      </c>
      <c r="F9" s="31" t="s">
        <v>339</v>
      </c>
      <c r="G9" s="31" t="s">
        <v>339</v>
      </c>
      <c r="H9" s="31" t="s">
        <v>339</v>
      </c>
      <c r="I9" s="31" t="s">
        <v>339</v>
      </c>
      <c r="J9" s="34"/>
      <c r="K9" s="31" t="s">
        <v>339</v>
      </c>
      <c r="L9" s="31" t="s">
        <v>482</v>
      </c>
      <c r="M9" s="31" t="s">
        <v>482</v>
      </c>
      <c r="N9" s="33" t="s">
        <v>1372</v>
      </c>
      <c r="O9" s="33" t="s">
        <v>339</v>
      </c>
      <c r="P9" s="31" t="s">
        <v>482</v>
      </c>
      <c r="Q9" s="31" t="s">
        <v>482</v>
      </c>
      <c r="R9" s="34"/>
      <c r="S9" s="31" t="s">
        <v>482</v>
      </c>
      <c r="T9" s="34"/>
      <c r="U9" s="31" t="s">
        <v>482</v>
      </c>
      <c r="V9" s="34"/>
      <c r="W9" s="34"/>
      <c r="X9" s="31" t="s">
        <v>339</v>
      </c>
      <c r="Y9" s="31" t="s">
        <v>339</v>
      </c>
      <c r="Z9" s="34"/>
      <c r="AA9" s="31" t="s">
        <v>482</v>
      </c>
      <c r="AB9" s="34"/>
      <c r="AC9" s="31" t="s">
        <v>482</v>
      </c>
      <c r="AD9" s="34"/>
      <c r="AE9" s="31" t="s">
        <v>482</v>
      </c>
      <c r="AF9" s="31" t="s">
        <v>482</v>
      </c>
      <c r="AG9" s="31" t="s">
        <v>482</v>
      </c>
      <c r="AH9" s="31" t="s">
        <v>482</v>
      </c>
    </row>
    <row x14ac:dyDescent="0.25" r="10" customHeight="1" ht="18.75">
      <c r="A10" s="35" t="s">
        <v>47</v>
      </c>
      <c r="B10" s="117">
        <v>97</v>
      </c>
      <c r="C10" s="117">
        <v>261</v>
      </c>
      <c r="D10" s="117">
        <v>43</v>
      </c>
      <c r="E10" s="117">
        <v>2</v>
      </c>
      <c r="F10" s="117">
        <v>2</v>
      </c>
      <c r="G10" s="117">
        <v>2</v>
      </c>
      <c r="H10" s="117">
        <v>2</v>
      </c>
      <c r="I10" s="117">
        <v>2</v>
      </c>
      <c r="J10" s="37"/>
      <c r="K10" s="117">
        <v>2</v>
      </c>
      <c r="L10" s="117">
        <v>43</v>
      </c>
      <c r="M10" s="117">
        <v>43</v>
      </c>
      <c r="N10" s="117">
        <v>117</v>
      </c>
      <c r="O10" s="117">
        <v>2</v>
      </c>
      <c r="P10" s="117">
        <v>43</v>
      </c>
      <c r="Q10" s="117">
        <v>43</v>
      </c>
      <c r="R10" s="37"/>
      <c r="S10" s="117">
        <v>43</v>
      </c>
      <c r="T10" s="37"/>
      <c r="U10" s="117">
        <v>43</v>
      </c>
      <c r="V10" s="37"/>
      <c r="W10" s="37"/>
      <c r="X10" s="117">
        <v>2</v>
      </c>
      <c r="Y10" s="117">
        <v>2</v>
      </c>
      <c r="Z10" s="37"/>
      <c r="AA10" s="117">
        <v>43</v>
      </c>
      <c r="AB10" s="37"/>
      <c r="AC10" s="117">
        <v>43</v>
      </c>
      <c r="AD10" s="37"/>
      <c r="AE10" s="117">
        <v>43</v>
      </c>
      <c r="AF10" s="117">
        <v>43</v>
      </c>
      <c r="AG10" s="117">
        <v>43</v>
      </c>
      <c r="AH10" s="117">
        <v>43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2"/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3" t="s">
        <v>52</v>
      </c>
      <c r="Q11" s="33" t="s">
        <v>52</v>
      </c>
      <c r="R11" s="32"/>
      <c r="S11" s="33" t="s">
        <v>52</v>
      </c>
      <c r="T11" s="32"/>
      <c r="U11" s="33" t="s">
        <v>52</v>
      </c>
      <c r="V11" s="32"/>
      <c r="W11" s="32"/>
      <c r="X11" s="31" t="s">
        <v>52</v>
      </c>
      <c r="Y11" s="31" t="s">
        <v>52</v>
      </c>
      <c r="Z11" s="32"/>
      <c r="AA11" s="33" t="s">
        <v>52</v>
      </c>
      <c r="AB11" s="32"/>
      <c r="AC11" s="33" t="s">
        <v>52</v>
      </c>
      <c r="AD11" s="32"/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2"/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1" t="s">
        <v>52</v>
      </c>
      <c r="T12" s="32"/>
      <c r="U12" s="31" t="s">
        <v>52</v>
      </c>
      <c r="V12" s="32"/>
      <c r="W12" s="32"/>
      <c r="X12" s="31" t="s">
        <v>52</v>
      </c>
      <c r="Y12" s="31" t="s">
        <v>52</v>
      </c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1" t="s">
        <v>52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1" t="s">
        <v>49</v>
      </c>
      <c r="T13" s="32"/>
      <c r="U13" s="31" t="s">
        <v>49</v>
      </c>
      <c r="V13" s="32"/>
      <c r="W13" s="32"/>
      <c r="X13" s="31" t="s">
        <v>49</v>
      </c>
      <c r="Y13" s="31" t="s">
        <v>49</v>
      </c>
      <c r="Z13" s="32"/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1" t="s">
        <v>49</v>
      </c>
      <c r="T14" s="32"/>
      <c r="U14" s="31" t="s">
        <v>49</v>
      </c>
      <c r="V14" s="32"/>
      <c r="W14" s="32"/>
      <c r="X14" s="31" t="s">
        <v>49</v>
      </c>
      <c r="Y14" s="31" t="s">
        <v>49</v>
      </c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2"/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2"/>
      <c r="S15" s="31" t="s">
        <v>140</v>
      </c>
      <c r="T15" s="32"/>
      <c r="U15" s="31" t="s">
        <v>140</v>
      </c>
      <c r="V15" s="32"/>
      <c r="W15" s="32"/>
      <c r="X15" s="31" t="s">
        <v>140</v>
      </c>
      <c r="Y15" s="31" t="s">
        <v>140</v>
      </c>
      <c r="Z15" s="32"/>
      <c r="AA15" s="31" t="s">
        <v>140</v>
      </c>
      <c r="AB15" s="32"/>
      <c r="AC15" s="31" t="s">
        <v>140</v>
      </c>
      <c r="AD15" s="32"/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0</v>
      </c>
      <c r="C16" s="31">
        <f>AVERAGE(2.5,2.5,2.5,3)</f>
      </c>
      <c r="D16" s="31">
        <v>2.5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/>
      <c r="K16" s="31">
        <v>3</v>
      </c>
      <c r="L16" s="31">
        <v>2.5</v>
      </c>
      <c r="M16" s="31">
        <v>2.5</v>
      </c>
      <c r="N16" s="31">
        <f>AVERAGE(3,2.5)</f>
      </c>
      <c r="O16" s="31">
        <v>3</v>
      </c>
      <c r="P16" s="31">
        <v>2.5</v>
      </c>
      <c r="Q16" s="31">
        <v>2.5</v>
      </c>
      <c r="R16" s="31"/>
      <c r="S16" s="31">
        <v>2.5</v>
      </c>
      <c r="T16" s="31"/>
      <c r="U16" s="31">
        <v>2.5</v>
      </c>
      <c r="V16" s="31"/>
      <c r="W16" s="31"/>
      <c r="X16" s="31">
        <v>3</v>
      </c>
      <c r="Y16" s="31">
        <v>3</v>
      </c>
      <c r="Z16" s="31"/>
      <c r="AA16" s="31">
        <v>2.5</v>
      </c>
      <c r="AB16" s="31"/>
      <c r="AC16" s="31">
        <v>2.5</v>
      </c>
      <c r="AD16" s="31"/>
      <c r="AE16" s="31">
        <v>2.5</v>
      </c>
      <c r="AF16" s="31">
        <v>2.5</v>
      </c>
      <c r="AG16" s="31">
        <v>2.5</v>
      </c>
      <c r="AH16" s="31">
        <v>2.5</v>
      </c>
    </row>
    <row x14ac:dyDescent="0.25" r="17" customHeight="1" ht="18.75">
      <c r="A17" s="30" t="s">
        <v>129</v>
      </c>
      <c r="B17" s="31" t="s">
        <v>134</v>
      </c>
      <c r="C17" s="31" t="s">
        <v>169</v>
      </c>
      <c r="D17" s="31" t="s">
        <v>169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2"/>
      <c r="K17" s="31" t="s">
        <v>138</v>
      </c>
      <c r="L17" s="31" t="s">
        <v>169</v>
      </c>
      <c r="M17" s="31" t="s">
        <v>169</v>
      </c>
      <c r="N17" s="31" t="s">
        <v>322</v>
      </c>
      <c r="O17" s="31" t="s">
        <v>138</v>
      </c>
      <c r="P17" s="31" t="s">
        <v>169</v>
      </c>
      <c r="Q17" s="31" t="s">
        <v>169</v>
      </c>
      <c r="R17" s="32"/>
      <c r="S17" s="31" t="s">
        <v>169</v>
      </c>
      <c r="T17" s="32"/>
      <c r="U17" s="31" t="s">
        <v>169</v>
      </c>
      <c r="V17" s="32"/>
      <c r="W17" s="32"/>
      <c r="X17" s="31" t="s">
        <v>138</v>
      </c>
      <c r="Y17" s="31" t="s">
        <v>138</v>
      </c>
      <c r="Z17" s="32"/>
      <c r="AA17" s="31" t="s">
        <v>169</v>
      </c>
      <c r="AB17" s="32"/>
      <c r="AC17" s="31" t="s">
        <v>169</v>
      </c>
      <c r="AD17" s="32"/>
      <c r="AE17" s="31" t="s">
        <v>169</v>
      </c>
      <c r="AF17" s="31" t="s">
        <v>169</v>
      </c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f>1/3</f>
      </c>
      <c r="C18" s="31">
        <f>AVERAGE(2,2,2,4)</f>
      </c>
      <c r="D18" s="31">
        <v>2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/>
      <c r="K18" s="31">
        <v>4</v>
      </c>
      <c r="L18" s="31">
        <v>2</v>
      </c>
      <c r="M18" s="31">
        <v>2</v>
      </c>
      <c r="N18" s="31">
        <f>AVERAGE(4,2)</f>
      </c>
      <c r="O18" s="31">
        <v>4</v>
      </c>
      <c r="P18" s="31">
        <v>2</v>
      </c>
      <c r="Q18" s="31">
        <v>2</v>
      </c>
      <c r="R18" s="31"/>
      <c r="S18" s="31">
        <v>2</v>
      </c>
      <c r="T18" s="31"/>
      <c r="U18" s="31">
        <v>2</v>
      </c>
      <c r="V18" s="31"/>
      <c r="W18" s="31"/>
      <c r="X18" s="31">
        <v>4</v>
      </c>
      <c r="Y18" s="31">
        <v>4</v>
      </c>
      <c r="Z18" s="31"/>
      <c r="AA18" s="31">
        <v>2</v>
      </c>
      <c r="AB18" s="31"/>
      <c r="AC18" s="31">
        <v>2</v>
      </c>
      <c r="AD18" s="31"/>
      <c r="AE18" s="31">
        <v>2</v>
      </c>
      <c r="AF18" s="31">
        <v>2</v>
      </c>
      <c r="AG18" s="31">
        <v>2</v>
      </c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3"/>
      <c r="S19" s="2"/>
      <c r="T19" s="3"/>
      <c r="U19" s="2"/>
      <c r="V19" s="3"/>
      <c r="W19" s="3"/>
      <c r="X19" s="2"/>
      <c r="Y19" s="2"/>
      <c r="Z19" s="3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3"/>
      <c r="S20" s="2"/>
      <c r="T20" s="3"/>
      <c r="U20" s="2"/>
      <c r="V20" s="3"/>
      <c r="W20" s="3"/>
      <c r="X20" s="2"/>
      <c r="Y20" s="2"/>
      <c r="Z20" s="3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30" t="s">
        <v>1377</v>
      </c>
      <c r="B21" s="40" t="s">
        <v>778</v>
      </c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3"/>
      <c r="S21" s="2"/>
      <c r="T21" s="3"/>
      <c r="U21" s="2"/>
      <c r="V21" s="3"/>
      <c r="W21" s="3"/>
      <c r="X21" s="2"/>
      <c r="Y21" s="2"/>
      <c r="Z21" s="3"/>
      <c r="AA21" s="2"/>
      <c r="AB21" s="3"/>
      <c r="AC21" s="2"/>
      <c r="AD21" s="3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3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3"/>
      <c r="K1" s="2"/>
      <c r="L1" s="2"/>
      <c r="M1" s="2"/>
      <c r="N1" s="2"/>
      <c r="O1" s="2"/>
      <c r="P1" s="2"/>
      <c r="Q1" s="2"/>
      <c r="R1" s="3"/>
      <c r="S1" s="2"/>
      <c r="T1" s="3"/>
      <c r="U1" s="2"/>
      <c r="V1" s="3"/>
      <c r="W1" s="3"/>
      <c r="X1" s="2"/>
      <c r="Y1" s="2"/>
      <c r="Z1" s="3"/>
      <c r="AA1" s="2"/>
      <c r="AB1" s="3"/>
      <c r="AC1" s="2"/>
      <c r="AD1" s="3"/>
      <c r="AE1" s="2"/>
      <c r="AF1" s="2"/>
      <c r="AG1" s="2"/>
      <c r="AH1" s="2"/>
    </row>
    <row x14ac:dyDescent="0.25" r="2" customHeight="1" ht="18.75">
      <c r="A2" s="3"/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3"/>
      <c r="S2" s="2"/>
      <c r="T2" s="3"/>
      <c r="U2" s="2"/>
      <c r="V2" s="3"/>
      <c r="W2" s="3"/>
      <c r="X2" s="2"/>
      <c r="Y2" s="2"/>
      <c r="Z2" s="3"/>
      <c r="AA2" s="2"/>
      <c r="AB2" s="3"/>
      <c r="AC2" s="2"/>
      <c r="AD2" s="3"/>
      <c r="AE2" s="2"/>
      <c r="AF2" s="2"/>
      <c r="AG2" s="2"/>
      <c r="AH2" s="2"/>
    </row>
    <row x14ac:dyDescent="0.25" r="3" customHeight="1" ht="18.75">
      <c r="A3" s="1" t="s">
        <v>2</v>
      </c>
      <c r="B3" s="5">
        <v>20</v>
      </c>
      <c r="C3" s="7"/>
      <c r="D3" s="7"/>
      <c r="E3" s="45"/>
      <c r="F3" s="90" t="s">
        <v>3</v>
      </c>
      <c r="G3" s="90"/>
      <c r="H3" s="90"/>
      <c r="I3" s="90"/>
      <c r="J3" s="89"/>
      <c r="K3" s="90"/>
      <c r="L3" s="90"/>
      <c r="M3" s="90"/>
      <c r="N3" s="90"/>
      <c r="O3" s="90"/>
      <c r="P3" s="2"/>
      <c r="Q3" s="2"/>
      <c r="R3" s="3"/>
      <c r="S3" s="2"/>
      <c r="T3" s="3"/>
      <c r="U3" s="2"/>
      <c r="V3" s="3"/>
      <c r="W3" s="3"/>
      <c r="X3" s="2"/>
      <c r="Y3" s="2"/>
      <c r="Z3" s="3"/>
      <c r="AA3" s="2"/>
      <c r="AB3" s="3"/>
      <c r="AC3" s="2"/>
      <c r="AD3" s="3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1369</v>
      </c>
      <c r="C4" s="7"/>
      <c r="D4" s="7"/>
      <c r="E4" s="2"/>
      <c r="F4" s="124" t="s">
        <v>1370</v>
      </c>
      <c r="G4" s="92"/>
      <c r="H4" s="92"/>
      <c r="I4" s="92"/>
      <c r="J4" s="93"/>
      <c r="K4" s="92"/>
      <c r="L4" s="92"/>
      <c r="M4" s="92"/>
      <c r="N4" s="92"/>
      <c r="O4" s="125"/>
      <c r="P4" s="2"/>
      <c r="Q4" s="2"/>
      <c r="R4" s="3"/>
      <c r="S4" s="2"/>
      <c r="T4" s="3"/>
      <c r="U4" s="2"/>
      <c r="V4" s="3"/>
      <c r="W4" s="3"/>
      <c r="X4" s="2"/>
      <c r="Y4" s="2"/>
      <c r="Z4" s="3"/>
      <c r="AA4" s="2"/>
      <c r="AB4" s="3"/>
      <c r="AC4" s="2"/>
      <c r="AD4" s="3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7"/>
      <c r="K5" s="96"/>
      <c r="L5" s="96"/>
      <c r="M5" s="96"/>
      <c r="N5" s="96"/>
      <c r="O5" s="127"/>
      <c r="P5" s="2"/>
      <c r="Q5" s="2"/>
      <c r="R5" s="3"/>
      <c r="S5" s="2"/>
      <c r="T5" s="3"/>
      <c r="U5" s="2"/>
      <c r="V5" s="3"/>
      <c r="W5" s="3"/>
      <c r="X5" s="2"/>
      <c r="Y5" s="2"/>
      <c r="Z5" s="3"/>
      <c r="AA5" s="2"/>
      <c r="AB5" s="3"/>
      <c r="AC5" s="2"/>
      <c r="AD5" s="3"/>
      <c r="AE5" s="2"/>
      <c r="AF5" s="2"/>
      <c r="AG5" s="2"/>
      <c r="AH5" s="2"/>
    </row>
    <row x14ac:dyDescent="0.25" r="6" customHeight="1" ht="18.75">
      <c r="A6" s="3"/>
      <c r="B6" s="2"/>
      <c r="C6" s="2"/>
      <c r="D6" s="2"/>
      <c r="E6" s="2"/>
      <c r="F6" s="2"/>
      <c r="G6" s="2"/>
      <c r="H6" s="2"/>
      <c r="I6" s="2"/>
      <c r="J6" s="3"/>
      <c r="K6" s="2"/>
      <c r="L6" s="2"/>
      <c r="M6" s="2"/>
      <c r="N6" s="2"/>
      <c r="O6" s="2"/>
      <c r="P6" s="2"/>
      <c r="Q6" s="2"/>
      <c r="R6" s="3"/>
      <c r="S6" s="2"/>
      <c r="T6" s="3"/>
      <c r="U6" s="2"/>
      <c r="V6" s="3"/>
      <c r="W6" s="3"/>
      <c r="X6" s="2"/>
      <c r="Y6" s="2"/>
      <c r="Z6" s="3"/>
      <c r="AA6" s="2"/>
      <c r="AB6" s="3"/>
      <c r="AC6" s="2"/>
      <c r="AD6" s="3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132" t="s">
        <v>27</v>
      </c>
      <c r="T7" s="76" t="s">
        <v>28</v>
      </c>
      <c r="U7" s="199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480</v>
      </c>
      <c r="C8" s="31" t="s">
        <v>482</v>
      </c>
      <c r="D8" s="31" t="s">
        <v>482</v>
      </c>
      <c r="E8" s="31" t="s">
        <v>482</v>
      </c>
      <c r="F8" s="31" t="s">
        <v>482</v>
      </c>
      <c r="G8" s="31" t="s">
        <v>482</v>
      </c>
      <c r="H8" s="31" t="s">
        <v>482</v>
      </c>
      <c r="I8" s="31" t="s">
        <v>482</v>
      </c>
      <c r="J8" s="34"/>
      <c r="K8" s="31" t="s">
        <v>482</v>
      </c>
      <c r="L8" s="31" t="s">
        <v>482</v>
      </c>
      <c r="M8" s="31" t="s">
        <v>482</v>
      </c>
      <c r="N8" s="33" t="s">
        <v>482</v>
      </c>
      <c r="O8" s="33" t="s">
        <v>482</v>
      </c>
      <c r="P8" s="33" t="s">
        <v>482</v>
      </c>
      <c r="Q8" s="33" t="s">
        <v>482</v>
      </c>
      <c r="R8" s="34"/>
      <c r="S8" s="33" t="s">
        <v>482</v>
      </c>
      <c r="T8" s="34"/>
      <c r="U8" s="33" t="s">
        <v>482</v>
      </c>
      <c r="V8" s="34"/>
      <c r="W8" s="34"/>
      <c r="X8" s="33" t="s">
        <v>339</v>
      </c>
      <c r="Y8" s="33" t="s">
        <v>339</v>
      </c>
      <c r="Z8" s="34"/>
      <c r="AA8" s="33" t="s">
        <v>482</v>
      </c>
      <c r="AB8" s="34"/>
      <c r="AC8" s="33" t="s">
        <v>482</v>
      </c>
      <c r="AD8" s="34"/>
      <c r="AE8" s="33" t="s">
        <v>482</v>
      </c>
      <c r="AF8" s="33" t="s">
        <v>482</v>
      </c>
      <c r="AG8" s="33" t="s">
        <v>482</v>
      </c>
      <c r="AH8" s="33" t="s">
        <v>482</v>
      </c>
    </row>
    <row x14ac:dyDescent="0.25" r="9" customHeight="1" ht="18.75">
      <c r="A9" s="30" t="s">
        <v>45</v>
      </c>
      <c r="B9" s="31" t="s">
        <v>486</v>
      </c>
      <c r="C9" s="31" t="s">
        <v>1371</v>
      </c>
      <c r="D9" s="31" t="s">
        <v>482</v>
      </c>
      <c r="E9" s="31" t="s">
        <v>339</v>
      </c>
      <c r="F9" s="31" t="s">
        <v>339</v>
      </c>
      <c r="G9" s="31" t="s">
        <v>339</v>
      </c>
      <c r="H9" s="31" t="s">
        <v>339</v>
      </c>
      <c r="I9" s="31" t="s">
        <v>339</v>
      </c>
      <c r="J9" s="34"/>
      <c r="K9" s="31" t="s">
        <v>339</v>
      </c>
      <c r="L9" s="31" t="s">
        <v>482</v>
      </c>
      <c r="M9" s="31" t="s">
        <v>482</v>
      </c>
      <c r="N9" s="33" t="s">
        <v>1372</v>
      </c>
      <c r="O9" s="33" t="s">
        <v>339</v>
      </c>
      <c r="P9" s="31" t="s">
        <v>482</v>
      </c>
      <c r="Q9" s="31" t="s">
        <v>482</v>
      </c>
      <c r="R9" s="34"/>
      <c r="S9" s="31" t="s">
        <v>482</v>
      </c>
      <c r="T9" s="34"/>
      <c r="U9" s="31" t="s">
        <v>482</v>
      </c>
      <c r="V9" s="34"/>
      <c r="W9" s="34"/>
      <c r="X9" s="31" t="s">
        <v>339</v>
      </c>
      <c r="Y9" s="31" t="s">
        <v>339</v>
      </c>
      <c r="Z9" s="34"/>
      <c r="AA9" s="31" t="s">
        <v>482</v>
      </c>
      <c r="AB9" s="34"/>
      <c r="AC9" s="31" t="s">
        <v>482</v>
      </c>
      <c r="AD9" s="34"/>
      <c r="AE9" s="31" t="s">
        <v>482</v>
      </c>
      <c r="AF9" s="31" t="s">
        <v>482</v>
      </c>
      <c r="AG9" s="31" t="s">
        <v>482</v>
      </c>
      <c r="AH9" s="31" t="s">
        <v>482</v>
      </c>
    </row>
    <row x14ac:dyDescent="0.25" r="10" customHeight="1" ht="18.75">
      <c r="A10" s="35" t="s">
        <v>47</v>
      </c>
      <c r="B10" s="117">
        <v>97</v>
      </c>
      <c r="C10" s="117">
        <v>261</v>
      </c>
      <c r="D10" s="117">
        <v>43</v>
      </c>
      <c r="E10" s="117">
        <v>2</v>
      </c>
      <c r="F10" s="117">
        <v>2</v>
      </c>
      <c r="G10" s="117">
        <v>2</v>
      </c>
      <c r="H10" s="117">
        <v>2</v>
      </c>
      <c r="I10" s="117">
        <v>2</v>
      </c>
      <c r="J10" s="37"/>
      <c r="K10" s="117">
        <v>2</v>
      </c>
      <c r="L10" s="117">
        <v>43</v>
      </c>
      <c r="M10" s="117">
        <v>43</v>
      </c>
      <c r="N10" s="117">
        <v>117</v>
      </c>
      <c r="O10" s="117">
        <v>2</v>
      </c>
      <c r="P10" s="117">
        <v>43</v>
      </c>
      <c r="Q10" s="117">
        <v>43</v>
      </c>
      <c r="R10" s="37"/>
      <c r="S10" s="117">
        <v>43</v>
      </c>
      <c r="T10" s="37"/>
      <c r="U10" s="117">
        <v>43</v>
      </c>
      <c r="V10" s="37"/>
      <c r="W10" s="37"/>
      <c r="X10" s="117">
        <v>2</v>
      </c>
      <c r="Y10" s="117">
        <v>2</v>
      </c>
      <c r="Z10" s="37"/>
      <c r="AA10" s="117">
        <v>43</v>
      </c>
      <c r="AB10" s="37"/>
      <c r="AC10" s="117">
        <v>43</v>
      </c>
      <c r="AD10" s="37"/>
      <c r="AE10" s="117">
        <v>43</v>
      </c>
      <c r="AF10" s="117">
        <v>43</v>
      </c>
      <c r="AG10" s="117">
        <v>43</v>
      </c>
      <c r="AH10" s="117">
        <v>43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2"/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3" t="s">
        <v>52</v>
      </c>
      <c r="Q11" s="33" t="s">
        <v>52</v>
      </c>
      <c r="R11" s="32"/>
      <c r="S11" s="33" t="s">
        <v>52</v>
      </c>
      <c r="T11" s="32"/>
      <c r="U11" s="33" t="s">
        <v>52</v>
      </c>
      <c r="V11" s="32"/>
      <c r="W11" s="32"/>
      <c r="X11" s="31" t="s">
        <v>52</v>
      </c>
      <c r="Y11" s="31" t="s">
        <v>52</v>
      </c>
      <c r="Z11" s="32"/>
      <c r="AA11" s="33" t="s">
        <v>52</v>
      </c>
      <c r="AB11" s="32"/>
      <c r="AC11" s="33" t="s">
        <v>52</v>
      </c>
      <c r="AD11" s="32"/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2"/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1" t="s">
        <v>52</v>
      </c>
      <c r="T12" s="32"/>
      <c r="U12" s="31" t="s">
        <v>52</v>
      </c>
      <c r="V12" s="32"/>
      <c r="W12" s="32"/>
      <c r="X12" s="31" t="s">
        <v>52</v>
      </c>
      <c r="Y12" s="31" t="s">
        <v>52</v>
      </c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1" t="s">
        <v>52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1" t="s">
        <v>49</v>
      </c>
      <c r="T13" s="32"/>
      <c r="U13" s="31" t="s">
        <v>49</v>
      </c>
      <c r="V13" s="32"/>
      <c r="W13" s="32"/>
      <c r="X13" s="31" t="s">
        <v>49</v>
      </c>
      <c r="Y13" s="31" t="s">
        <v>49</v>
      </c>
      <c r="Z13" s="32"/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1" t="s">
        <v>49</v>
      </c>
      <c r="T14" s="32"/>
      <c r="U14" s="31" t="s">
        <v>49</v>
      </c>
      <c r="V14" s="32"/>
      <c r="W14" s="32"/>
      <c r="X14" s="31" t="s">
        <v>49</v>
      </c>
      <c r="Y14" s="31" t="s">
        <v>49</v>
      </c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2"/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2"/>
      <c r="S15" s="31" t="s">
        <v>140</v>
      </c>
      <c r="T15" s="32"/>
      <c r="U15" s="31" t="s">
        <v>140</v>
      </c>
      <c r="V15" s="32"/>
      <c r="W15" s="32"/>
      <c r="X15" s="31" t="s">
        <v>140</v>
      </c>
      <c r="Y15" s="31" t="s">
        <v>140</v>
      </c>
      <c r="Z15" s="32"/>
      <c r="AA15" s="31" t="s">
        <v>140</v>
      </c>
      <c r="AB15" s="32"/>
      <c r="AC15" s="31" t="s">
        <v>140</v>
      </c>
      <c r="AD15" s="32"/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0</v>
      </c>
      <c r="C16" s="31">
        <f>AVERAGE(2.5,2.5,2.5,3)</f>
      </c>
      <c r="D16" s="31">
        <v>2.5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/>
      <c r="K16" s="31">
        <v>3</v>
      </c>
      <c r="L16" s="31">
        <v>2.5</v>
      </c>
      <c r="M16" s="31">
        <v>2.5</v>
      </c>
      <c r="N16" s="31">
        <f>AVERAGE(3,2.5)</f>
      </c>
      <c r="O16" s="31">
        <v>3</v>
      </c>
      <c r="P16" s="31">
        <v>2.5</v>
      </c>
      <c r="Q16" s="31">
        <v>2.5</v>
      </c>
      <c r="R16" s="31"/>
      <c r="S16" s="31">
        <v>2.5</v>
      </c>
      <c r="T16" s="31"/>
      <c r="U16" s="31">
        <v>2.5</v>
      </c>
      <c r="V16" s="31"/>
      <c r="W16" s="31"/>
      <c r="X16" s="31">
        <v>3</v>
      </c>
      <c r="Y16" s="31">
        <v>3</v>
      </c>
      <c r="Z16" s="31"/>
      <c r="AA16" s="31">
        <v>2.5</v>
      </c>
      <c r="AB16" s="31"/>
      <c r="AC16" s="31">
        <v>2.5</v>
      </c>
      <c r="AD16" s="31"/>
      <c r="AE16" s="31">
        <v>2.5</v>
      </c>
      <c r="AF16" s="31">
        <v>2.5</v>
      </c>
      <c r="AG16" s="31">
        <v>2.5</v>
      </c>
      <c r="AH16" s="31">
        <v>2.5</v>
      </c>
    </row>
    <row x14ac:dyDescent="0.25" r="17" customHeight="1" ht="18.75">
      <c r="A17" s="30" t="s">
        <v>129</v>
      </c>
      <c r="B17" s="31" t="s">
        <v>134</v>
      </c>
      <c r="C17" s="31" t="s">
        <v>169</v>
      </c>
      <c r="D17" s="31" t="s">
        <v>169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2"/>
      <c r="K17" s="31" t="s">
        <v>138</v>
      </c>
      <c r="L17" s="31" t="s">
        <v>169</v>
      </c>
      <c r="M17" s="31" t="s">
        <v>169</v>
      </c>
      <c r="N17" s="31" t="s">
        <v>322</v>
      </c>
      <c r="O17" s="31" t="s">
        <v>138</v>
      </c>
      <c r="P17" s="31" t="s">
        <v>169</v>
      </c>
      <c r="Q17" s="31" t="s">
        <v>169</v>
      </c>
      <c r="R17" s="32"/>
      <c r="S17" s="31" t="s">
        <v>169</v>
      </c>
      <c r="T17" s="32"/>
      <c r="U17" s="31" t="s">
        <v>169</v>
      </c>
      <c r="V17" s="32"/>
      <c r="W17" s="32"/>
      <c r="X17" s="31" t="s">
        <v>138</v>
      </c>
      <c r="Y17" s="31" t="s">
        <v>138</v>
      </c>
      <c r="Z17" s="32"/>
      <c r="AA17" s="31" t="s">
        <v>169</v>
      </c>
      <c r="AB17" s="32"/>
      <c r="AC17" s="31" t="s">
        <v>169</v>
      </c>
      <c r="AD17" s="32"/>
      <c r="AE17" s="31" t="s">
        <v>169</v>
      </c>
      <c r="AF17" s="31" t="s">
        <v>169</v>
      </c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f>1/3</f>
      </c>
      <c r="C18" s="31">
        <f>AVERAGE(2,2,2,4)</f>
      </c>
      <c r="D18" s="31">
        <v>2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/>
      <c r="K18" s="31">
        <v>4</v>
      </c>
      <c r="L18" s="31">
        <v>2</v>
      </c>
      <c r="M18" s="31">
        <v>2</v>
      </c>
      <c r="N18" s="31">
        <f>AVERAGE(4,2)</f>
      </c>
      <c r="O18" s="31">
        <v>4</v>
      </c>
      <c r="P18" s="31">
        <v>2</v>
      </c>
      <c r="Q18" s="31">
        <v>2</v>
      </c>
      <c r="R18" s="31"/>
      <c r="S18" s="31">
        <v>2</v>
      </c>
      <c r="T18" s="31"/>
      <c r="U18" s="31">
        <v>2</v>
      </c>
      <c r="V18" s="31"/>
      <c r="W18" s="31"/>
      <c r="X18" s="31">
        <v>4</v>
      </c>
      <c r="Y18" s="31">
        <v>4</v>
      </c>
      <c r="Z18" s="31"/>
      <c r="AA18" s="31">
        <v>2</v>
      </c>
      <c r="AB18" s="31"/>
      <c r="AC18" s="31">
        <v>2</v>
      </c>
      <c r="AD18" s="31"/>
      <c r="AE18" s="31">
        <v>2</v>
      </c>
      <c r="AF18" s="31">
        <v>2</v>
      </c>
      <c r="AG18" s="31">
        <v>2</v>
      </c>
      <c r="AH18" s="31">
        <v>2</v>
      </c>
    </row>
    <row x14ac:dyDescent="0.25" r="19" customHeight="1" ht="18.75">
      <c r="A19" s="3"/>
      <c r="B19" s="2"/>
      <c r="C19" s="2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3"/>
      <c r="S19" s="2"/>
      <c r="T19" s="3"/>
      <c r="U19" s="2"/>
      <c r="V19" s="3"/>
      <c r="W19" s="3"/>
      <c r="X19" s="2"/>
      <c r="Y19" s="2"/>
      <c r="Z19" s="3"/>
      <c r="AA19" s="2"/>
      <c r="AB19" s="3"/>
      <c r="AC19" s="2"/>
      <c r="AD19" s="3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3"/>
      <c r="S20" s="2"/>
      <c r="T20" s="3"/>
      <c r="U20" s="2"/>
      <c r="V20" s="3"/>
      <c r="W20" s="3"/>
      <c r="X20" s="2"/>
      <c r="Y20" s="2"/>
      <c r="Z20" s="3"/>
      <c r="AA20" s="2"/>
      <c r="AB20" s="3"/>
      <c r="AC20" s="2"/>
      <c r="AD20" s="3"/>
      <c r="AE20" s="2"/>
      <c r="AF20" s="2"/>
      <c r="AG20" s="2"/>
      <c r="AH20" s="2"/>
    </row>
    <row x14ac:dyDescent="0.25" r="21" customHeight="1" ht="18.75">
      <c r="A21" s="123" t="s">
        <v>1373</v>
      </c>
      <c r="B21" s="40" t="s">
        <v>778</v>
      </c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2"/>
      <c r="O21" s="2"/>
      <c r="P21" s="2"/>
      <c r="Q21" s="2"/>
      <c r="R21" s="3"/>
      <c r="S21" s="2"/>
      <c r="T21" s="3"/>
      <c r="U21" s="2"/>
      <c r="V21" s="3"/>
      <c r="W21" s="3"/>
      <c r="X21" s="2"/>
      <c r="Y21" s="2"/>
      <c r="Z21" s="3"/>
      <c r="AA21" s="2"/>
      <c r="AB21" s="3"/>
      <c r="AC21" s="2"/>
      <c r="AD21" s="3"/>
      <c r="AE21" s="2"/>
      <c r="AF21" s="2"/>
      <c r="AG21" s="2"/>
      <c r="AH21" s="2"/>
    </row>
    <row x14ac:dyDescent="0.25" r="22" customHeight="1" ht="18.75">
      <c r="A22" s="207" t="s">
        <v>1374</v>
      </c>
      <c r="B22" s="40" t="s">
        <v>778</v>
      </c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2"/>
      <c r="O22" s="2"/>
      <c r="P22" s="2"/>
      <c r="Q22" s="2"/>
      <c r="R22" s="3"/>
      <c r="S22" s="2"/>
      <c r="T22" s="3"/>
      <c r="U22" s="2"/>
      <c r="V22" s="3"/>
      <c r="W22" s="3"/>
      <c r="X22" s="2"/>
      <c r="Y22" s="2"/>
      <c r="Z22" s="3"/>
      <c r="AA22" s="2"/>
      <c r="AB22" s="3"/>
      <c r="AC22" s="2"/>
      <c r="AD22" s="3"/>
      <c r="AE22" s="2"/>
      <c r="AF22" s="2"/>
      <c r="AG22" s="2"/>
      <c r="AH22" s="2"/>
    </row>
    <row x14ac:dyDescent="0.25" r="23" customHeight="1" ht="18.75">
      <c r="A23" s="123"/>
      <c r="B23" s="40" t="s">
        <v>1375</v>
      </c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2"/>
      <c r="O23" s="2"/>
      <c r="P23" s="2"/>
      <c r="Q23" s="2"/>
      <c r="R23" s="3"/>
      <c r="S23" s="2"/>
      <c r="T23" s="3"/>
      <c r="U23" s="2"/>
      <c r="V23" s="3"/>
      <c r="W23" s="3"/>
      <c r="X23" s="2"/>
      <c r="Y23" s="2"/>
      <c r="Z23" s="3"/>
      <c r="AA23" s="2"/>
      <c r="AB23" s="3"/>
      <c r="AC23" s="2"/>
      <c r="AD23" s="3"/>
      <c r="AE23" s="2"/>
      <c r="AF23" s="2"/>
      <c r="AG23" s="2"/>
      <c r="AH23" s="2"/>
    </row>
  </sheetData>
  <mergeCells count="6">
    <mergeCell ref="B3:D3"/>
    <mergeCell ref="F3:O3"/>
    <mergeCell ref="B4:D4"/>
    <mergeCell ref="F4:O5"/>
    <mergeCell ref="B5:D5"/>
    <mergeCell ref="A22:A2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5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87" width="13.576428571428572" customWidth="1" bestFit="1"/>
    <col min="4" max="4" style="87" width="13.576428571428572" customWidth="1" bestFit="1"/>
    <col min="5" max="5" style="87" width="13.576428571428572" customWidth="1" bestFit="1"/>
    <col min="6" max="6" style="87" width="13.576428571428572" customWidth="1" bestFit="1"/>
    <col min="7" max="7" style="87" width="13.576428571428572" customWidth="1" bestFit="1"/>
    <col min="8" max="8" style="87" width="13.576428571428572" customWidth="1" bestFit="1"/>
    <col min="9" max="9" style="87" width="13.576428571428572" customWidth="1" bestFit="1"/>
    <col min="10" max="10" style="87" width="13.576428571428572" customWidth="1" bestFit="1"/>
    <col min="11" max="11" style="87" width="13.576428571428572" customWidth="1" bestFit="1"/>
    <col min="12" max="12" style="87" width="13.576428571428572" customWidth="1" bestFit="1"/>
    <col min="13" max="13" style="87" width="13.576428571428572" customWidth="1" bestFit="1"/>
    <col min="14" max="14" style="87" width="13.576428571428572" customWidth="1" bestFit="1"/>
    <col min="15" max="15" style="87" width="13.576428571428572" customWidth="1" bestFit="1"/>
    <col min="16" max="16" style="87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58"/>
      <c r="D1" s="45" t="s">
        <v>927</v>
      </c>
      <c r="E1" s="58"/>
      <c r="F1" s="58"/>
      <c r="G1" s="58"/>
      <c r="H1" s="58"/>
      <c r="I1" s="45" t="s">
        <v>1267</v>
      </c>
      <c r="J1" s="58"/>
      <c r="K1" s="58"/>
      <c r="L1" s="58"/>
      <c r="M1" s="58"/>
      <c r="N1" s="58"/>
      <c r="O1" s="58"/>
      <c r="P1" s="5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21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58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1349</v>
      </c>
      <c r="C4" s="7"/>
      <c r="D4" s="7"/>
      <c r="E4" s="58"/>
      <c r="F4" s="124" t="s">
        <v>1363</v>
      </c>
      <c r="G4" s="92"/>
      <c r="H4" s="92"/>
      <c r="I4" s="92"/>
      <c r="J4" s="92"/>
      <c r="K4" s="92"/>
      <c r="L4" s="92"/>
      <c r="M4" s="92"/>
      <c r="N4" s="92"/>
      <c r="O4" s="125"/>
      <c r="P4" s="58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1364</v>
      </c>
      <c r="C5" s="7"/>
      <c r="D5" s="7"/>
      <c r="E5" s="58"/>
      <c r="F5" s="126"/>
      <c r="G5" s="96"/>
      <c r="H5" s="96"/>
      <c r="I5" s="96"/>
      <c r="J5" s="96"/>
      <c r="K5" s="96"/>
      <c r="L5" s="96"/>
      <c r="M5" s="96"/>
      <c r="N5" s="96"/>
      <c r="O5" s="127"/>
      <c r="P5" s="58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56" t="s">
        <v>42</v>
      </c>
    </row>
    <row x14ac:dyDescent="0.25" r="8" customHeight="1" ht="15.75">
      <c r="A8" s="30" t="s">
        <v>43</v>
      </c>
      <c r="B8" s="31" t="s">
        <v>401</v>
      </c>
      <c r="C8" s="31" t="s">
        <v>207</v>
      </c>
      <c r="D8" s="31" t="s">
        <v>207</v>
      </c>
      <c r="E8" s="142" t="s">
        <v>207</v>
      </c>
      <c r="F8" s="31" t="s">
        <v>207</v>
      </c>
      <c r="G8" s="31" t="s">
        <v>207</v>
      </c>
      <c r="H8" s="31" t="s">
        <v>207</v>
      </c>
      <c r="I8" s="31" t="s">
        <v>207</v>
      </c>
      <c r="J8" s="31" t="s">
        <v>207</v>
      </c>
      <c r="K8" s="31" t="s">
        <v>207</v>
      </c>
      <c r="L8" s="31" t="s">
        <v>207</v>
      </c>
      <c r="M8" s="31" t="s">
        <v>207</v>
      </c>
      <c r="N8" s="31" t="s">
        <v>207</v>
      </c>
      <c r="O8" s="31" t="s">
        <v>207</v>
      </c>
      <c r="P8" s="33" t="s">
        <v>207</v>
      </c>
      <c r="Q8" s="33" t="s">
        <v>207</v>
      </c>
      <c r="R8" s="33" t="s">
        <v>207</v>
      </c>
      <c r="S8" s="31" t="s">
        <v>207</v>
      </c>
      <c r="T8" s="31" t="s">
        <v>207</v>
      </c>
      <c r="U8" s="33" t="s">
        <v>207</v>
      </c>
      <c r="V8" s="33" t="s">
        <v>207</v>
      </c>
      <c r="W8" s="33" t="s">
        <v>207</v>
      </c>
      <c r="X8" s="33" t="s">
        <v>207</v>
      </c>
      <c r="Y8" s="31" t="s">
        <v>207</v>
      </c>
      <c r="Z8" s="31" t="s">
        <v>207</v>
      </c>
      <c r="AA8" s="31" t="s">
        <v>207</v>
      </c>
      <c r="AB8" s="31" t="s">
        <v>207</v>
      </c>
      <c r="AC8" s="31" t="s">
        <v>207</v>
      </c>
      <c r="AD8" s="31" t="s">
        <v>207</v>
      </c>
      <c r="AE8" s="31" t="s">
        <v>207</v>
      </c>
      <c r="AF8" s="33" t="s">
        <v>207</v>
      </c>
      <c r="AG8" s="33" t="s">
        <v>207</v>
      </c>
      <c r="AH8" s="33" t="s">
        <v>207</v>
      </c>
      <c r="AI8" s="3"/>
      <c r="AJ8" s="31" t="s">
        <v>224</v>
      </c>
    </row>
    <row x14ac:dyDescent="0.25" r="9" customHeight="1" ht="15.75">
      <c r="A9" s="30" t="s">
        <v>45</v>
      </c>
      <c r="B9" s="31" t="s">
        <v>210</v>
      </c>
      <c r="C9" s="31" t="s">
        <v>231</v>
      </c>
      <c r="D9" s="139" t="s">
        <v>207</v>
      </c>
      <c r="E9" s="31" t="s">
        <v>232</v>
      </c>
      <c r="F9" s="114" t="s">
        <v>210</v>
      </c>
      <c r="G9" s="31" t="s">
        <v>210</v>
      </c>
      <c r="H9" s="31" t="s">
        <v>211</v>
      </c>
      <c r="I9" s="31" t="s">
        <v>207</v>
      </c>
      <c r="J9" s="31" t="s">
        <v>210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33" t="s">
        <v>212</v>
      </c>
      <c r="Q9" s="33" t="s">
        <v>212</v>
      </c>
      <c r="R9" s="33" t="s">
        <v>212</v>
      </c>
      <c r="S9" s="31" t="s">
        <v>207</v>
      </c>
      <c r="T9" s="31" t="s">
        <v>207</v>
      </c>
      <c r="U9" s="31" t="s">
        <v>210</v>
      </c>
      <c r="V9" s="31" t="s">
        <v>207</v>
      </c>
      <c r="W9" s="33" t="s">
        <v>1351</v>
      </c>
      <c r="X9" s="31" t="s">
        <v>210</v>
      </c>
      <c r="Y9" s="31" t="s">
        <v>231</v>
      </c>
      <c r="Z9" s="31" t="s">
        <v>207</v>
      </c>
      <c r="AA9" s="31" t="s">
        <v>207</v>
      </c>
      <c r="AB9" s="31" t="s">
        <v>207</v>
      </c>
      <c r="AC9" s="31" t="s">
        <v>207</v>
      </c>
      <c r="AD9" s="31" t="s">
        <v>207</v>
      </c>
      <c r="AE9" s="31" t="s">
        <v>207</v>
      </c>
      <c r="AF9" s="31" t="s">
        <v>210</v>
      </c>
      <c r="AG9" s="33" t="s">
        <v>212</v>
      </c>
      <c r="AH9" s="33" t="s">
        <v>212</v>
      </c>
      <c r="AI9" s="3"/>
      <c r="AJ9" s="31" t="s">
        <v>227</v>
      </c>
    </row>
    <row x14ac:dyDescent="0.25" r="10" customHeight="1" ht="15.75">
      <c r="A10" s="35" t="s">
        <v>47</v>
      </c>
      <c r="B10" s="117">
        <v>52</v>
      </c>
      <c r="C10" s="117">
        <v>118</v>
      </c>
      <c r="D10" s="117">
        <v>50</v>
      </c>
      <c r="E10" s="196">
        <v>122</v>
      </c>
      <c r="F10" s="117">
        <v>52</v>
      </c>
      <c r="G10" s="117">
        <v>52</v>
      </c>
      <c r="H10" s="117">
        <v>46</v>
      </c>
      <c r="I10" s="117">
        <v>50</v>
      </c>
      <c r="J10" s="117">
        <v>52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117">
        <v>48</v>
      </c>
      <c r="S10" s="117">
        <v>50</v>
      </c>
      <c r="T10" s="117">
        <v>50</v>
      </c>
      <c r="U10" s="117">
        <v>52</v>
      </c>
      <c r="V10" s="117">
        <v>50</v>
      </c>
      <c r="W10" s="117">
        <v>161</v>
      </c>
      <c r="X10" s="117">
        <v>52</v>
      </c>
      <c r="Y10" s="117">
        <v>118</v>
      </c>
      <c r="Z10" s="117">
        <v>50</v>
      </c>
      <c r="AA10" s="117">
        <v>50</v>
      </c>
      <c r="AB10" s="117">
        <v>50</v>
      </c>
      <c r="AC10" s="117">
        <v>50</v>
      </c>
      <c r="AD10" s="117">
        <v>50</v>
      </c>
      <c r="AE10" s="117">
        <v>50</v>
      </c>
      <c r="AF10" s="117">
        <v>52</v>
      </c>
      <c r="AG10" s="117">
        <v>48</v>
      </c>
      <c r="AH10" s="117">
        <v>48</v>
      </c>
      <c r="AI10" s="3"/>
      <c r="AJ10" s="117">
        <v>56</v>
      </c>
    </row>
    <row x14ac:dyDescent="0.25" r="11" customHeight="1" ht="15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3" t="s">
        <v>52</v>
      </c>
      <c r="Q11" s="33" t="s">
        <v>52</v>
      </c>
      <c r="R11" s="33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3" t="s">
        <v>52</v>
      </c>
      <c r="AH11" s="33" t="s">
        <v>52</v>
      </c>
      <c r="AI11" s="3"/>
      <c r="AJ11" s="33" t="s">
        <v>52</v>
      </c>
    </row>
    <row x14ac:dyDescent="0.25" r="12" customHeight="1" ht="15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3" t="s">
        <v>49</v>
      </c>
    </row>
    <row x14ac:dyDescent="0.25" r="13" customHeight="1" ht="15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31" t="s">
        <v>52</v>
      </c>
      <c r="T13" s="31" t="s">
        <v>52</v>
      </c>
      <c r="U13" s="31" t="s">
        <v>52</v>
      </c>
      <c r="V13" s="31" t="s">
        <v>52</v>
      </c>
      <c r="W13" s="31" t="s">
        <v>52</v>
      </c>
      <c r="X13" s="31" t="s">
        <v>52</v>
      </c>
      <c r="Y13" s="31" t="s">
        <v>52</v>
      </c>
      <c r="Z13" s="31" t="s">
        <v>52</v>
      </c>
      <c r="AA13" s="31" t="s">
        <v>52</v>
      </c>
      <c r="AB13" s="31" t="s">
        <v>52</v>
      </c>
      <c r="AC13" s="31" t="s">
        <v>52</v>
      </c>
      <c r="AD13" s="31" t="s">
        <v>52</v>
      </c>
      <c r="AE13" s="31" t="s">
        <v>52</v>
      </c>
      <c r="AF13" s="31" t="s">
        <v>52</v>
      </c>
      <c r="AG13" s="31" t="s">
        <v>52</v>
      </c>
      <c r="AH13" s="31" t="s">
        <v>52</v>
      </c>
      <c r="AI13" s="3"/>
      <c r="AJ13" s="31" t="s">
        <v>52</v>
      </c>
    </row>
    <row x14ac:dyDescent="0.25" r="14" customHeight="1" ht="15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5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133</v>
      </c>
    </row>
    <row x14ac:dyDescent="0.25" r="16" customHeight="1" ht="15.75">
      <c r="A16" s="30" t="s">
        <v>128</v>
      </c>
      <c r="B16" s="31">
        <v>0.5</v>
      </c>
      <c r="C16" s="31">
        <f>AVERAGE(1,1,1,0.5)</f>
      </c>
      <c r="D16" s="31">
        <v>1</v>
      </c>
      <c r="E16" s="31">
        <f>AVERAGE(0.5,0.5,0.5,1)</f>
      </c>
      <c r="F16" s="31">
        <v>0.5</v>
      </c>
      <c r="G16" s="31">
        <v>0.5</v>
      </c>
      <c r="H16" s="31">
        <f>5/3</f>
      </c>
      <c r="I16" s="31">
        <v>1</v>
      </c>
      <c r="J16" s="31">
        <v>0.5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>
        <f>4/3</f>
      </c>
      <c r="S16" s="31">
        <v>1</v>
      </c>
      <c r="T16" s="31">
        <v>1</v>
      </c>
      <c r="U16" s="31">
        <v>0.5</v>
      </c>
      <c r="V16" s="31">
        <v>1</v>
      </c>
      <c r="W16" s="31">
        <f>AVERAGE(0.5,1)</f>
      </c>
      <c r="X16" s="31">
        <v>0.5</v>
      </c>
      <c r="Y16" s="31">
        <f>AVERAGE(1,1,1,0.5)</f>
      </c>
      <c r="Z16" s="31">
        <v>1</v>
      </c>
      <c r="AA16" s="31">
        <v>1</v>
      </c>
      <c r="AB16" s="31">
        <v>1</v>
      </c>
      <c r="AC16" s="31">
        <v>1</v>
      </c>
      <c r="AD16" s="31">
        <v>1</v>
      </c>
      <c r="AE16" s="31">
        <v>1</v>
      </c>
      <c r="AF16" s="31">
        <v>0.5</v>
      </c>
      <c r="AG16" s="31">
        <f>4/3</f>
      </c>
      <c r="AH16" s="31">
        <f>4/3</f>
      </c>
      <c r="AI16" s="3"/>
      <c r="AJ16" s="31">
        <v>-0.5</v>
      </c>
    </row>
    <row x14ac:dyDescent="0.25" r="17" customHeight="1" ht="15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  <c r="AI17" s="3"/>
      <c r="AJ17" s="31" t="s">
        <v>169</v>
      </c>
    </row>
    <row x14ac:dyDescent="0.25" r="18" customHeight="1" ht="15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  <c r="AI18" s="3"/>
      <c r="AJ18" s="31">
        <v>2</v>
      </c>
    </row>
    <row x14ac:dyDescent="0.25" r="19" customHeight="1" ht="18.75">
      <c r="A19" s="46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38" t="s">
        <v>1365</v>
      </c>
      <c r="AI19" s="3"/>
      <c r="AJ19" s="138" t="s">
        <v>1366</v>
      </c>
    </row>
    <row x14ac:dyDescent="0.25" r="20" customHeight="1" ht="18.75">
      <c r="A20" s="38" t="s">
        <v>64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123" t="s">
        <v>1367</v>
      </c>
      <c r="B21" s="214" t="s">
        <v>1353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</row>
    <row x14ac:dyDescent="0.25" r="22" customHeight="1" ht="18.75">
      <c r="A22" s="207" t="s">
        <v>1368</v>
      </c>
      <c r="B22" s="214" t="s">
        <v>1353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</row>
    <row x14ac:dyDescent="0.25" r="23" customHeight="1" ht="18.75">
      <c r="A23" s="123"/>
      <c r="B23" s="214" t="s">
        <v>1360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</row>
    <row x14ac:dyDescent="0.25" r="24" customHeight="1" ht="18.75">
      <c r="A24" s="46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</row>
    <row x14ac:dyDescent="0.25" r="25" customHeight="1" ht="51">
      <c r="A25" s="252" t="s">
        <v>1361</v>
      </c>
      <c r="B25" s="216" t="s">
        <v>1362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  <c r="AJ25" s="2"/>
    </row>
  </sheetData>
  <mergeCells count="7">
    <mergeCell ref="B3:D3"/>
    <mergeCell ref="F3:O3"/>
    <mergeCell ref="B4:D4"/>
    <mergeCell ref="F4:O5"/>
    <mergeCell ref="B5:D5"/>
    <mergeCell ref="A22:A23"/>
    <mergeCell ref="B25:P2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5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87" width="13.576428571428572" customWidth="1" bestFit="1"/>
    <col min="4" max="4" style="87" width="13.576428571428572" customWidth="1" bestFit="1"/>
    <col min="5" max="5" style="87" width="13.576428571428572" customWidth="1" bestFit="1"/>
    <col min="6" max="6" style="87" width="13.576428571428572" customWidth="1" bestFit="1"/>
    <col min="7" max="7" style="87" width="13.576428571428572" customWidth="1" bestFit="1"/>
    <col min="8" max="8" style="87" width="13.576428571428572" customWidth="1" bestFit="1"/>
    <col min="9" max="9" style="87" width="13.576428571428572" customWidth="1" bestFit="1"/>
    <col min="10" max="10" style="87" width="13.576428571428572" customWidth="1" bestFit="1"/>
    <col min="11" max="11" style="87" width="13.576428571428572" customWidth="1" bestFit="1"/>
    <col min="12" max="12" style="87" width="13.576428571428572" customWidth="1" bestFit="1"/>
    <col min="13" max="13" style="87" width="13.576428571428572" customWidth="1" bestFit="1"/>
    <col min="14" max="14" style="87" width="13.576428571428572" customWidth="1" bestFit="1"/>
    <col min="15" max="15" style="87" width="13.576428571428572" customWidth="1" bestFit="1"/>
    <col min="16" max="16" style="87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58"/>
      <c r="D1" s="45" t="s">
        <v>927</v>
      </c>
      <c r="E1" s="58"/>
      <c r="F1" s="58"/>
      <c r="G1" s="58"/>
      <c r="H1" s="58"/>
      <c r="I1" s="45" t="s">
        <v>1267</v>
      </c>
      <c r="J1" s="58"/>
      <c r="K1" s="58"/>
      <c r="L1" s="58"/>
      <c r="M1" s="58"/>
      <c r="N1" s="58"/>
      <c r="O1" s="58"/>
      <c r="P1" s="58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22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58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1349</v>
      </c>
      <c r="C4" s="7"/>
      <c r="D4" s="7"/>
      <c r="E4" s="58"/>
      <c r="F4" s="124" t="s">
        <v>1354</v>
      </c>
      <c r="G4" s="92"/>
      <c r="H4" s="92"/>
      <c r="I4" s="92"/>
      <c r="J4" s="92"/>
      <c r="K4" s="92"/>
      <c r="L4" s="92"/>
      <c r="M4" s="92"/>
      <c r="N4" s="92"/>
      <c r="O4" s="125"/>
      <c r="P4" s="58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1355</v>
      </c>
      <c r="C5" s="7"/>
      <c r="D5" s="7"/>
      <c r="E5" s="58"/>
      <c r="F5" s="126"/>
      <c r="G5" s="96"/>
      <c r="H5" s="96"/>
      <c r="I5" s="96"/>
      <c r="J5" s="96"/>
      <c r="K5" s="96"/>
      <c r="L5" s="96"/>
      <c r="M5" s="96"/>
      <c r="N5" s="96"/>
      <c r="O5" s="127"/>
      <c r="P5" s="58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12" t="s">
        <v>42</v>
      </c>
    </row>
    <row x14ac:dyDescent="0.25" r="8" customHeight="1" ht="18.75">
      <c r="A8" s="30" t="s">
        <v>43</v>
      </c>
      <c r="B8" s="31" t="s">
        <v>401</v>
      </c>
      <c r="C8" s="31" t="s">
        <v>207</v>
      </c>
      <c r="D8" s="31" t="s">
        <v>207</v>
      </c>
      <c r="E8" s="31" t="s">
        <v>207</v>
      </c>
      <c r="F8" s="31" t="s">
        <v>207</v>
      </c>
      <c r="G8" s="31" t="s">
        <v>207</v>
      </c>
      <c r="H8" s="31" t="s">
        <v>207</v>
      </c>
      <c r="I8" s="31" t="s">
        <v>207</v>
      </c>
      <c r="J8" s="31" t="s">
        <v>207</v>
      </c>
      <c r="K8" s="31" t="s">
        <v>207</v>
      </c>
      <c r="L8" s="31" t="s">
        <v>207</v>
      </c>
      <c r="M8" s="31" t="s">
        <v>207</v>
      </c>
      <c r="N8" s="31" t="s">
        <v>207</v>
      </c>
      <c r="O8" s="31" t="s">
        <v>207</v>
      </c>
      <c r="P8" s="33" t="s">
        <v>207</v>
      </c>
      <c r="Q8" s="33" t="s">
        <v>207</v>
      </c>
      <c r="R8" s="33" t="s">
        <v>207</v>
      </c>
      <c r="S8" s="31" t="s">
        <v>207</v>
      </c>
      <c r="T8" s="31" t="s">
        <v>207</v>
      </c>
      <c r="U8" s="33" t="s">
        <v>207</v>
      </c>
      <c r="V8" s="33" t="s">
        <v>207</v>
      </c>
      <c r="W8" s="33" t="s">
        <v>207</v>
      </c>
      <c r="X8" s="33" t="s">
        <v>207</v>
      </c>
      <c r="Y8" s="31" t="s">
        <v>207</v>
      </c>
      <c r="Z8" s="31" t="s">
        <v>207</v>
      </c>
      <c r="AA8" s="31" t="s">
        <v>207</v>
      </c>
      <c r="AB8" s="31" t="s">
        <v>207</v>
      </c>
      <c r="AC8" s="31" t="s">
        <v>207</v>
      </c>
      <c r="AD8" s="31" t="s">
        <v>207</v>
      </c>
      <c r="AE8" s="31" t="s">
        <v>207</v>
      </c>
      <c r="AF8" s="33" t="s">
        <v>207</v>
      </c>
      <c r="AG8" s="33" t="s">
        <v>207</v>
      </c>
      <c r="AH8" s="33" t="s">
        <v>207</v>
      </c>
      <c r="AI8" s="3"/>
      <c r="AJ8" s="31" t="s">
        <v>224</v>
      </c>
    </row>
    <row x14ac:dyDescent="0.25" r="9" customHeight="1" ht="18.75">
      <c r="A9" s="30" t="s">
        <v>45</v>
      </c>
      <c r="B9" s="31" t="s">
        <v>210</v>
      </c>
      <c r="C9" s="31" t="s">
        <v>231</v>
      </c>
      <c r="D9" s="31" t="s">
        <v>207</v>
      </c>
      <c r="E9" s="31" t="s">
        <v>232</v>
      </c>
      <c r="F9" s="31" t="s">
        <v>210</v>
      </c>
      <c r="G9" s="31" t="s">
        <v>210</v>
      </c>
      <c r="H9" s="31" t="s">
        <v>211</v>
      </c>
      <c r="I9" s="31" t="s">
        <v>207</v>
      </c>
      <c r="J9" s="31" t="s">
        <v>210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33" t="s">
        <v>212</v>
      </c>
      <c r="Q9" s="33" t="s">
        <v>212</v>
      </c>
      <c r="R9" s="33" t="s">
        <v>212</v>
      </c>
      <c r="S9" s="31" t="s">
        <v>207</v>
      </c>
      <c r="T9" s="31" t="s">
        <v>207</v>
      </c>
      <c r="U9" s="31" t="s">
        <v>210</v>
      </c>
      <c r="V9" s="31" t="s">
        <v>207</v>
      </c>
      <c r="W9" s="33" t="s">
        <v>1351</v>
      </c>
      <c r="X9" s="31" t="s">
        <v>210</v>
      </c>
      <c r="Y9" s="31" t="s">
        <v>231</v>
      </c>
      <c r="Z9" s="31" t="s">
        <v>207</v>
      </c>
      <c r="AA9" s="31" t="s">
        <v>207</v>
      </c>
      <c r="AB9" s="31" t="s">
        <v>207</v>
      </c>
      <c r="AC9" s="31" t="s">
        <v>207</v>
      </c>
      <c r="AD9" s="31" t="s">
        <v>207</v>
      </c>
      <c r="AE9" s="31" t="s">
        <v>207</v>
      </c>
      <c r="AF9" s="31" t="s">
        <v>210</v>
      </c>
      <c r="AG9" s="33" t="s">
        <v>212</v>
      </c>
      <c r="AH9" s="33" t="s">
        <v>212</v>
      </c>
      <c r="AI9" s="3"/>
      <c r="AJ9" s="31" t="s">
        <v>227</v>
      </c>
    </row>
    <row x14ac:dyDescent="0.25" r="10" customHeight="1" ht="18.75">
      <c r="A10" s="35" t="s">
        <v>47</v>
      </c>
      <c r="B10" s="117">
        <v>52</v>
      </c>
      <c r="C10" s="117">
        <v>118</v>
      </c>
      <c r="D10" s="117">
        <v>50</v>
      </c>
      <c r="E10" s="117">
        <v>122</v>
      </c>
      <c r="F10" s="117">
        <v>52</v>
      </c>
      <c r="G10" s="117">
        <v>52</v>
      </c>
      <c r="H10" s="117">
        <v>46</v>
      </c>
      <c r="I10" s="117">
        <v>50</v>
      </c>
      <c r="J10" s="117">
        <v>52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117">
        <v>48</v>
      </c>
      <c r="S10" s="117">
        <v>50</v>
      </c>
      <c r="T10" s="117">
        <v>50</v>
      </c>
      <c r="U10" s="117">
        <v>52</v>
      </c>
      <c r="V10" s="117">
        <v>50</v>
      </c>
      <c r="W10" s="117">
        <v>161</v>
      </c>
      <c r="X10" s="117">
        <v>52</v>
      </c>
      <c r="Y10" s="117">
        <v>118</v>
      </c>
      <c r="Z10" s="117">
        <v>50</v>
      </c>
      <c r="AA10" s="117">
        <v>50</v>
      </c>
      <c r="AB10" s="117">
        <v>50</v>
      </c>
      <c r="AC10" s="117">
        <v>50</v>
      </c>
      <c r="AD10" s="117">
        <v>50</v>
      </c>
      <c r="AE10" s="117">
        <v>50</v>
      </c>
      <c r="AF10" s="117">
        <v>52</v>
      </c>
      <c r="AG10" s="117">
        <v>48</v>
      </c>
      <c r="AH10" s="117">
        <v>48</v>
      </c>
      <c r="AI10" s="3"/>
      <c r="AJ10" s="117">
        <v>56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3" t="s">
        <v>52</v>
      </c>
      <c r="Q11" s="33" t="s">
        <v>52</v>
      </c>
      <c r="R11" s="33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3" t="s">
        <v>52</v>
      </c>
      <c r="AH11" s="33" t="s">
        <v>52</v>
      </c>
      <c r="AI11" s="3"/>
      <c r="AJ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3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31" t="s">
        <v>52</v>
      </c>
      <c r="T13" s="31" t="s">
        <v>52</v>
      </c>
      <c r="U13" s="31" t="s">
        <v>52</v>
      </c>
      <c r="V13" s="31" t="s">
        <v>52</v>
      </c>
      <c r="W13" s="31" t="s">
        <v>52</v>
      </c>
      <c r="X13" s="31" t="s">
        <v>52</v>
      </c>
      <c r="Y13" s="31" t="s">
        <v>52</v>
      </c>
      <c r="Z13" s="31" t="s">
        <v>52</v>
      </c>
      <c r="AA13" s="31" t="s">
        <v>52</v>
      </c>
      <c r="AB13" s="31" t="s">
        <v>52</v>
      </c>
      <c r="AC13" s="31" t="s">
        <v>52</v>
      </c>
      <c r="AD13" s="31" t="s">
        <v>52</v>
      </c>
      <c r="AE13" s="31" t="s">
        <v>52</v>
      </c>
      <c r="AF13" s="31" t="s">
        <v>52</v>
      </c>
      <c r="AG13" s="31" t="s">
        <v>52</v>
      </c>
      <c r="AH13" s="31" t="s">
        <v>52</v>
      </c>
      <c r="AI13" s="3"/>
      <c r="AJ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133</v>
      </c>
    </row>
    <row x14ac:dyDescent="0.25" r="16" customHeight="1" ht="18.75">
      <c r="A16" s="30" t="s">
        <v>128</v>
      </c>
      <c r="B16" s="31">
        <v>0.5</v>
      </c>
      <c r="C16" s="31">
        <f>AVERAGE(1,1,1,0.5)</f>
      </c>
      <c r="D16" s="31">
        <v>1</v>
      </c>
      <c r="E16" s="31">
        <f>AVERAGE(0.5,0.5,0.5,1)</f>
      </c>
      <c r="F16" s="31">
        <v>0.5</v>
      </c>
      <c r="G16" s="31">
        <v>0.5</v>
      </c>
      <c r="H16" s="31">
        <f>5/3</f>
      </c>
      <c r="I16" s="31">
        <v>1</v>
      </c>
      <c r="J16" s="31">
        <v>0.5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>
        <f>4/3</f>
      </c>
      <c r="S16" s="31">
        <v>1</v>
      </c>
      <c r="T16" s="31">
        <v>1</v>
      </c>
      <c r="U16" s="31">
        <v>0.5</v>
      </c>
      <c r="V16" s="31">
        <v>1</v>
      </c>
      <c r="W16" s="31">
        <f>AVERAGE(0.5,1)</f>
      </c>
      <c r="X16" s="31">
        <v>0.5</v>
      </c>
      <c r="Y16" s="31">
        <f>AVERAGE(1,1,1,0.5)</f>
      </c>
      <c r="Z16" s="31">
        <v>1</v>
      </c>
      <c r="AA16" s="31">
        <v>1</v>
      </c>
      <c r="AB16" s="31">
        <v>1</v>
      </c>
      <c r="AC16" s="31">
        <v>1</v>
      </c>
      <c r="AD16" s="31">
        <v>1</v>
      </c>
      <c r="AE16" s="31">
        <v>1</v>
      </c>
      <c r="AF16" s="31">
        <v>0.5</v>
      </c>
      <c r="AG16" s="31">
        <f>4/3</f>
      </c>
      <c r="AH16" s="31">
        <f>4/3</f>
      </c>
      <c r="AI16" s="3"/>
      <c r="AJ16" s="31">
        <v>-0.5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  <c r="AI17" s="3"/>
      <c r="AJ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  <c r="AI18" s="3"/>
      <c r="AJ18" s="31">
        <v>2</v>
      </c>
    </row>
    <row x14ac:dyDescent="0.25" r="19" customHeight="1" ht="18.75">
      <c r="A19" s="46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138" t="s">
        <v>1356</v>
      </c>
      <c r="AI19" s="3"/>
      <c r="AJ19" s="138" t="s">
        <v>1357</v>
      </c>
    </row>
    <row x14ac:dyDescent="0.25" r="20" customHeight="1" ht="18.75">
      <c r="A20" s="38" t="s">
        <v>64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123" t="s">
        <v>1358</v>
      </c>
      <c r="B21" s="214" t="s">
        <v>1353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</row>
    <row x14ac:dyDescent="0.25" r="22" customHeight="1" ht="18.75">
      <c r="A22" s="207" t="s">
        <v>1359</v>
      </c>
      <c r="B22" s="214" t="s">
        <v>1353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</row>
    <row x14ac:dyDescent="0.25" r="23" customHeight="1" ht="18.75">
      <c r="A23" s="123"/>
      <c r="B23" s="214" t="s">
        <v>1360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</row>
    <row x14ac:dyDescent="0.25" r="24" customHeight="1" ht="18.75">
      <c r="A24" s="46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</row>
    <row x14ac:dyDescent="0.25" r="25" customHeight="1" ht="53.25">
      <c r="A25" s="252" t="s">
        <v>1361</v>
      </c>
      <c r="B25" s="216" t="s">
        <v>1362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  <c r="AJ25" s="2"/>
    </row>
  </sheetData>
  <mergeCells count="7">
    <mergeCell ref="B3:D3"/>
    <mergeCell ref="F3:O3"/>
    <mergeCell ref="B4:D4"/>
    <mergeCell ref="F4:O5"/>
    <mergeCell ref="B5:D5"/>
    <mergeCell ref="A22:A23"/>
    <mergeCell ref="B25:P2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23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1349</v>
      </c>
      <c r="C4" s="7"/>
      <c r="D4" s="7"/>
      <c r="E4" s="2"/>
      <c r="F4" s="124" t="s">
        <v>1350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401</v>
      </c>
      <c r="C8" s="31" t="s">
        <v>207</v>
      </c>
      <c r="D8" s="31" t="s">
        <v>207</v>
      </c>
      <c r="E8" s="31" t="s">
        <v>207</v>
      </c>
      <c r="F8" s="31" t="s">
        <v>207</v>
      </c>
      <c r="G8" s="31" t="s">
        <v>207</v>
      </c>
      <c r="H8" s="31" t="s">
        <v>207</v>
      </c>
      <c r="I8" s="31" t="s">
        <v>207</v>
      </c>
      <c r="J8" s="31" t="s">
        <v>207</v>
      </c>
      <c r="K8" s="31" t="s">
        <v>207</v>
      </c>
      <c r="L8" s="31" t="s">
        <v>207</v>
      </c>
      <c r="M8" s="31" t="s">
        <v>207</v>
      </c>
      <c r="N8" s="31" t="s">
        <v>207</v>
      </c>
      <c r="O8" s="31" t="s">
        <v>207</v>
      </c>
      <c r="P8" s="33" t="s">
        <v>207</v>
      </c>
      <c r="Q8" s="33" t="s">
        <v>207</v>
      </c>
      <c r="R8" s="33" t="s">
        <v>207</v>
      </c>
      <c r="S8" s="31" t="s">
        <v>207</v>
      </c>
      <c r="T8" s="31" t="s">
        <v>207</v>
      </c>
      <c r="U8" s="33" t="s">
        <v>207</v>
      </c>
      <c r="V8" s="33" t="s">
        <v>207</v>
      </c>
      <c r="W8" s="33" t="s">
        <v>207</v>
      </c>
      <c r="X8" s="33" t="s">
        <v>207</v>
      </c>
      <c r="Y8" s="31" t="s">
        <v>207</v>
      </c>
      <c r="Z8" s="31" t="s">
        <v>207</v>
      </c>
      <c r="AA8" s="31" t="s">
        <v>207</v>
      </c>
      <c r="AB8" s="31" t="s">
        <v>207</v>
      </c>
      <c r="AC8" s="31" t="s">
        <v>207</v>
      </c>
      <c r="AD8" s="31" t="s">
        <v>207</v>
      </c>
      <c r="AE8" s="31" t="s">
        <v>207</v>
      </c>
      <c r="AF8" s="33" t="s">
        <v>207</v>
      </c>
      <c r="AG8" s="33" t="s">
        <v>207</v>
      </c>
      <c r="AH8" s="33" t="s">
        <v>207</v>
      </c>
    </row>
    <row x14ac:dyDescent="0.25" r="9" customHeight="1" ht="18.75">
      <c r="A9" s="30" t="s">
        <v>45</v>
      </c>
      <c r="B9" s="31" t="s">
        <v>210</v>
      </c>
      <c r="C9" s="31" t="s">
        <v>231</v>
      </c>
      <c r="D9" s="31" t="s">
        <v>207</v>
      </c>
      <c r="E9" s="31" t="s">
        <v>232</v>
      </c>
      <c r="F9" s="31" t="s">
        <v>210</v>
      </c>
      <c r="G9" s="31" t="s">
        <v>210</v>
      </c>
      <c r="H9" s="31" t="s">
        <v>211</v>
      </c>
      <c r="I9" s="31" t="s">
        <v>207</v>
      </c>
      <c r="J9" s="31" t="s">
        <v>210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33" t="s">
        <v>212</v>
      </c>
      <c r="Q9" s="33" t="s">
        <v>212</v>
      </c>
      <c r="R9" s="33" t="s">
        <v>212</v>
      </c>
      <c r="S9" s="31" t="s">
        <v>207</v>
      </c>
      <c r="T9" s="31" t="s">
        <v>207</v>
      </c>
      <c r="U9" s="31" t="s">
        <v>210</v>
      </c>
      <c r="V9" s="31" t="s">
        <v>207</v>
      </c>
      <c r="W9" s="33" t="s">
        <v>1351</v>
      </c>
      <c r="X9" s="31" t="s">
        <v>210</v>
      </c>
      <c r="Y9" s="31" t="s">
        <v>231</v>
      </c>
      <c r="Z9" s="31" t="s">
        <v>207</v>
      </c>
      <c r="AA9" s="31" t="s">
        <v>207</v>
      </c>
      <c r="AB9" s="31" t="s">
        <v>207</v>
      </c>
      <c r="AC9" s="31" t="s">
        <v>207</v>
      </c>
      <c r="AD9" s="31" t="s">
        <v>207</v>
      </c>
      <c r="AE9" s="31" t="s">
        <v>207</v>
      </c>
      <c r="AF9" s="31" t="s">
        <v>210</v>
      </c>
      <c r="AG9" s="33" t="s">
        <v>212</v>
      </c>
      <c r="AH9" s="33" t="s">
        <v>212</v>
      </c>
    </row>
    <row x14ac:dyDescent="0.25" r="10" customHeight="1" ht="18.75">
      <c r="A10" s="35" t="s">
        <v>47</v>
      </c>
      <c r="B10" s="117">
        <v>52</v>
      </c>
      <c r="C10" s="117">
        <v>118</v>
      </c>
      <c r="D10" s="117">
        <v>50</v>
      </c>
      <c r="E10" s="117">
        <v>122</v>
      </c>
      <c r="F10" s="117">
        <v>52</v>
      </c>
      <c r="G10" s="117">
        <v>52</v>
      </c>
      <c r="H10" s="117">
        <v>46</v>
      </c>
      <c r="I10" s="117">
        <v>50</v>
      </c>
      <c r="J10" s="117">
        <v>52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117">
        <v>48</v>
      </c>
      <c r="S10" s="117">
        <v>50</v>
      </c>
      <c r="T10" s="117">
        <v>50</v>
      </c>
      <c r="U10" s="117">
        <v>52</v>
      </c>
      <c r="V10" s="117">
        <v>50</v>
      </c>
      <c r="W10" s="117">
        <v>161</v>
      </c>
      <c r="X10" s="117">
        <v>52</v>
      </c>
      <c r="Y10" s="117">
        <v>118</v>
      </c>
      <c r="Z10" s="117">
        <v>50</v>
      </c>
      <c r="AA10" s="117">
        <v>50</v>
      </c>
      <c r="AB10" s="117">
        <v>50</v>
      </c>
      <c r="AC10" s="117">
        <v>50</v>
      </c>
      <c r="AD10" s="117">
        <v>50</v>
      </c>
      <c r="AE10" s="117">
        <v>50</v>
      </c>
      <c r="AF10" s="117">
        <v>52</v>
      </c>
      <c r="AG10" s="117">
        <v>48</v>
      </c>
      <c r="AH10" s="117">
        <v>48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3" t="s">
        <v>52</v>
      </c>
      <c r="Q11" s="33" t="s">
        <v>52</v>
      </c>
      <c r="R11" s="33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31" t="s">
        <v>52</v>
      </c>
      <c r="T13" s="31" t="s">
        <v>52</v>
      </c>
      <c r="U13" s="31" t="s">
        <v>52</v>
      </c>
      <c r="V13" s="31" t="s">
        <v>52</v>
      </c>
      <c r="W13" s="31" t="s">
        <v>52</v>
      </c>
      <c r="X13" s="31" t="s">
        <v>52</v>
      </c>
      <c r="Y13" s="31" t="s">
        <v>52</v>
      </c>
      <c r="Z13" s="31" t="s">
        <v>52</v>
      </c>
      <c r="AA13" s="31" t="s">
        <v>52</v>
      </c>
      <c r="AB13" s="31" t="s">
        <v>52</v>
      </c>
      <c r="AC13" s="31" t="s">
        <v>52</v>
      </c>
      <c r="AD13" s="31" t="s">
        <v>52</v>
      </c>
      <c r="AE13" s="31" t="s">
        <v>52</v>
      </c>
      <c r="AF13" s="31" t="s">
        <v>52</v>
      </c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0.5</v>
      </c>
      <c r="C16" s="31">
        <f>AVERAGE(1,1,1,0.5)</f>
      </c>
      <c r="D16" s="31">
        <v>1</v>
      </c>
      <c r="E16" s="31">
        <f>AVERAGE(0.5,0.5,0.5,1)</f>
      </c>
      <c r="F16" s="31">
        <v>0.5</v>
      </c>
      <c r="G16" s="31">
        <v>0.5</v>
      </c>
      <c r="H16" s="31">
        <f>5/3</f>
      </c>
      <c r="I16" s="31">
        <v>1</v>
      </c>
      <c r="J16" s="31">
        <v>0.5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>
        <f>4/3</f>
      </c>
      <c r="S16" s="31">
        <v>1</v>
      </c>
      <c r="T16" s="31">
        <v>1</v>
      </c>
      <c r="U16" s="31">
        <v>0.5</v>
      </c>
      <c r="V16" s="31">
        <v>1</v>
      </c>
      <c r="W16" s="31">
        <f>AVERAGE(0.5,1)</f>
      </c>
      <c r="X16" s="31">
        <v>0.5</v>
      </c>
      <c r="Y16" s="31">
        <f>AVERAGE(1,1,1,0.5)</f>
      </c>
      <c r="Z16" s="31">
        <v>1</v>
      </c>
      <c r="AA16" s="31">
        <v>1</v>
      </c>
      <c r="AB16" s="31">
        <v>1</v>
      </c>
      <c r="AC16" s="31">
        <v>1</v>
      </c>
      <c r="AD16" s="31">
        <v>1</v>
      </c>
      <c r="AE16" s="31">
        <v>1</v>
      </c>
      <c r="AF16" s="31">
        <v>0.5</v>
      </c>
      <c r="AG16" s="31">
        <f>4/3</f>
      </c>
      <c r="AH16" s="31">
        <f>4/3</f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1352</v>
      </c>
      <c r="B21" s="40" t="s">
        <v>1353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3"/>
  <sheetViews>
    <sheetView workbookViewId="0"/>
  </sheetViews>
  <sheetFormatPr defaultRowHeight="15" x14ac:dyDescent="0.25"/>
  <cols>
    <col min="1" max="1" style="42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2"/>
      <c r="AM1" s="2"/>
    </row>
    <row x14ac:dyDescent="0.25" r="2" customHeight="1" ht="18.75">
      <c r="A2" s="4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  <c r="AL2" s="2"/>
      <c r="AM2" s="2"/>
    </row>
    <row x14ac:dyDescent="0.25" r="3" customHeight="1" ht="18.75">
      <c r="A3" s="1" t="s">
        <v>2</v>
      </c>
      <c r="B3" s="5">
        <v>24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2"/>
      <c r="AM3" s="2"/>
    </row>
    <row x14ac:dyDescent="0.25" r="4" customHeight="1" ht="18.75">
      <c r="A4" s="1" t="s">
        <v>4</v>
      </c>
      <c r="B4" s="7" t="s">
        <v>1338</v>
      </c>
      <c r="C4" s="7"/>
      <c r="D4" s="7"/>
      <c r="E4" s="2"/>
      <c r="F4" s="124" t="s">
        <v>1339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2"/>
      <c r="AM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2"/>
      <c r="AM5" s="2"/>
    </row>
    <row x14ac:dyDescent="0.25" r="6" customHeight="1" ht="18.75">
      <c r="A6" s="4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2"/>
      <c r="AM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172" t="s">
        <v>26</v>
      </c>
      <c r="AK7" s="55" t="s">
        <v>35</v>
      </c>
      <c r="AL7" s="202" t="s">
        <v>37</v>
      </c>
      <c r="AM7" s="174" t="s">
        <v>39</v>
      </c>
    </row>
    <row x14ac:dyDescent="0.25" r="8" customHeight="1" ht="18.75">
      <c r="A8" s="30" t="s">
        <v>43</v>
      </c>
      <c r="B8" s="31" t="s">
        <v>1340</v>
      </c>
      <c r="C8" s="31" t="s">
        <v>782</v>
      </c>
      <c r="D8" s="31" t="s">
        <v>1341</v>
      </c>
      <c r="E8" s="31" t="s">
        <v>1341</v>
      </c>
      <c r="F8" s="31" t="s">
        <v>1341</v>
      </c>
      <c r="G8" s="31" t="s">
        <v>1341</v>
      </c>
      <c r="H8" s="31" t="s">
        <v>1341</v>
      </c>
      <c r="I8" s="31" t="s">
        <v>1341</v>
      </c>
      <c r="J8" s="31" t="s">
        <v>1341</v>
      </c>
      <c r="K8" s="31" t="s">
        <v>1341</v>
      </c>
      <c r="L8" s="31" t="s">
        <v>1341</v>
      </c>
      <c r="M8" s="31" t="s">
        <v>1341</v>
      </c>
      <c r="N8" s="143" t="s">
        <v>358</v>
      </c>
      <c r="O8" s="143" t="s">
        <v>358</v>
      </c>
      <c r="P8" s="31" t="s">
        <v>1341</v>
      </c>
      <c r="Q8" s="31" t="s">
        <v>1341</v>
      </c>
      <c r="R8" s="31" t="s">
        <v>228</v>
      </c>
      <c r="S8" s="31" t="s">
        <v>1341</v>
      </c>
      <c r="T8" s="143" t="s">
        <v>358</v>
      </c>
      <c r="U8" s="143" t="s">
        <v>358</v>
      </c>
      <c r="V8" s="143" t="s">
        <v>358</v>
      </c>
      <c r="W8" s="143" t="s">
        <v>358</v>
      </c>
      <c r="X8" s="143" t="s">
        <v>358</v>
      </c>
      <c r="Y8" s="143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  <c r="AI8" s="3"/>
      <c r="AJ8" s="143" t="s">
        <v>358</v>
      </c>
      <c r="AK8" s="31" t="s">
        <v>1342</v>
      </c>
      <c r="AL8" s="31" t="s">
        <v>1342</v>
      </c>
      <c r="AM8" s="31" t="s">
        <v>1342</v>
      </c>
    </row>
    <row x14ac:dyDescent="0.25" r="9" customHeight="1" ht="18.75">
      <c r="A9" s="30" t="s">
        <v>45</v>
      </c>
      <c r="B9" s="31" t="s">
        <v>1341</v>
      </c>
      <c r="C9" s="143" t="s">
        <v>358</v>
      </c>
      <c r="D9" s="143" t="s">
        <v>358</v>
      </c>
      <c r="E9" s="143" t="s">
        <v>358</v>
      </c>
      <c r="F9" s="143" t="s">
        <v>358</v>
      </c>
      <c r="G9" s="143" t="s">
        <v>358</v>
      </c>
      <c r="H9" s="143" t="s">
        <v>358</v>
      </c>
      <c r="I9" s="143" t="s">
        <v>358</v>
      </c>
      <c r="J9" s="143" t="s">
        <v>358</v>
      </c>
      <c r="K9" s="143" t="s">
        <v>358</v>
      </c>
      <c r="L9" s="143" t="s">
        <v>358</v>
      </c>
      <c r="M9" s="143" t="s">
        <v>358</v>
      </c>
      <c r="N9" s="143" t="s">
        <v>358</v>
      </c>
      <c r="O9" s="143" t="s">
        <v>358</v>
      </c>
      <c r="P9" s="143" t="s">
        <v>358</v>
      </c>
      <c r="Q9" s="143" t="s">
        <v>358</v>
      </c>
      <c r="R9" s="31" t="s">
        <v>1341</v>
      </c>
      <c r="S9" s="143" t="s">
        <v>358</v>
      </c>
      <c r="T9" s="242" t="s">
        <v>358</v>
      </c>
      <c r="U9" s="143" t="s">
        <v>358</v>
      </c>
      <c r="V9" s="143" t="s">
        <v>358</v>
      </c>
      <c r="W9" s="143" t="s">
        <v>358</v>
      </c>
      <c r="X9" s="143" t="s">
        <v>358</v>
      </c>
      <c r="Y9" s="143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  <c r="AI9" s="3"/>
      <c r="AJ9" s="143" t="s">
        <v>358</v>
      </c>
      <c r="AK9" s="143" t="s">
        <v>358</v>
      </c>
      <c r="AL9" s="143" t="s">
        <v>358</v>
      </c>
      <c r="AM9" s="143" t="s">
        <v>358</v>
      </c>
    </row>
    <row x14ac:dyDescent="0.25" r="10" customHeight="1" ht="18.75">
      <c r="A10" s="35" t="s">
        <v>47</v>
      </c>
      <c r="B10" s="117">
        <v>116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17">
        <v>116</v>
      </c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3"/>
      <c r="AJ10" s="144"/>
      <c r="AK10" s="144"/>
      <c r="AL10" s="144"/>
      <c r="AM10" s="144"/>
    </row>
    <row x14ac:dyDescent="0.25" r="11" customHeight="1" ht="18.75">
      <c r="A11" s="30" t="s">
        <v>123</v>
      </c>
      <c r="B11" s="31" t="s">
        <v>49</v>
      </c>
      <c r="C11" s="143" t="s">
        <v>49</v>
      </c>
      <c r="D11" s="143" t="s">
        <v>49</v>
      </c>
      <c r="E11" s="143" t="s">
        <v>49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143" t="s">
        <v>49</v>
      </c>
      <c r="K11" s="143" t="s">
        <v>49</v>
      </c>
      <c r="L11" s="143" t="s">
        <v>49</v>
      </c>
      <c r="M11" s="143" t="s">
        <v>49</v>
      </c>
      <c r="N11" s="143" t="s">
        <v>49</v>
      </c>
      <c r="O11" s="143" t="s">
        <v>49</v>
      </c>
      <c r="P11" s="143" t="s">
        <v>49</v>
      </c>
      <c r="Q11" s="143" t="s">
        <v>49</v>
      </c>
      <c r="R11" s="31" t="s">
        <v>49</v>
      </c>
      <c r="S11" s="143" t="s">
        <v>49</v>
      </c>
      <c r="T11" s="242" t="s">
        <v>49</v>
      </c>
      <c r="U11" s="143" t="s">
        <v>49</v>
      </c>
      <c r="V11" s="143" t="s">
        <v>49</v>
      </c>
      <c r="W11" s="143" t="s">
        <v>49</v>
      </c>
      <c r="X11" s="143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  <c r="AI11" s="3"/>
      <c r="AJ11" s="143" t="s">
        <v>49</v>
      </c>
      <c r="AK11" s="143" t="s">
        <v>49</v>
      </c>
      <c r="AL11" s="143" t="s">
        <v>49</v>
      </c>
      <c r="AM11" s="143" t="s">
        <v>49</v>
      </c>
    </row>
    <row x14ac:dyDescent="0.25" r="12" customHeight="1" ht="18.75">
      <c r="A12" s="30" t="s">
        <v>124</v>
      </c>
      <c r="B12" s="31" t="s">
        <v>49</v>
      </c>
      <c r="C12" s="143" t="s">
        <v>49</v>
      </c>
      <c r="D12" s="143" t="s">
        <v>49</v>
      </c>
      <c r="E12" s="143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143" t="s">
        <v>49</v>
      </c>
      <c r="K12" s="143" t="s">
        <v>49</v>
      </c>
      <c r="L12" s="143" t="s">
        <v>49</v>
      </c>
      <c r="M12" s="143" t="s">
        <v>49</v>
      </c>
      <c r="N12" s="143" t="s">
        <v>49</v>
      </c>
      <c r="O12" s="143" t="s">
        <v>49</v>
      </c>
      <c r="P12" s="143" t="s">
        <v>49</v>
      </c>
      <c r="Q12" s="143" t="s">
        <v>49</v>
      </c>
      <c r="R12" s="31" t="s">
        <v>49</v>
      </c>
      <c r="S12" s="143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143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  <c r="AI12" s="3"/>
      <c r="AJ12" s="143" t="s">
        <v>49</v>
      </c>
      <c r="AK12" s="143" t="s">
        <v>49</v>
      </c>
      <c r="AL12" s="143" t="s">
        <v>49</v>
      </c>
      <c r="AM12" s="143" t="s">
        <v>49</v>
      </c>
    </row>
    <row x14ac:dyDescent="0.25" r="13" customHeight="1" ht="18.75">
      <c r="A13" s="30" t="s">
        <v>125</v>
      </c>
      <c r="B13" s="31" t="s">
        <v>49</v>
      </c>
      <c r="C13" s="143" t="s">
        <v>49</v>
      </c>
      <c r="D13" s="143" t="s">
        <v>49</v>
      </c>
      <c r="E13" s="143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143" t="s">
        <v>49</v>
      </c>
      <c r="K13" s="143" t="s">
        <v>49</v>
      </c>
      <c r="L13" s="143" t="s">
        <v>49</v>
      </c>
      <c r="M13" s="143" t="s">
        <v>49</v>
      </c>
      <c r="N13" s="143" t="s">
        <v>49</v>
      </c>
      <c r="O13" s="143" t="s">
        <v>49</v>
      </c>
      <c r="P13" s="143" t="s">
        <v>49</v>
      </c>
      <c r="Q13" s="143" t="s">
        <v>49</v>
      </c>
      <c r="R13" s="31" t="s">
        <v>49</v>
      </c>
      <c r="S13" s="143" t="s">
        <v>49</v>
      </c>
      <c r="T13" s="242" t="s">
        <v>49</v>
      </c>
      <c r="U13" s="143" t="s">
        <v>49</v>
      </c>
      <c r="V13" s="143" t="s">
        <v>49</v>
      </c>
      <c r="W13" s="143" t="s">
        <v>49</v>
      </c>
      <c r="X13" s="143" t="s">
        <v>49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  <c r="AI13" s="3"/>
      <c r="AJ13" s="143" t="s">
        <v>49</v>
      </c>
      <c r="AK13" s="143" t="s">
        <v>49</v>
      </c>
      <c r="AL13" s="143" t="s">
        <v>49</v>
      </c>
      <c r="AM13" s="143" t="s">
        <v>49</v>
      </c>
    </row>
    <row x14ac:dyDescent="0.25" r="14" customHeight="1" ht="18.75">
      <c r="A14" s="30" t="s">
        <v>126</v>
      </c>
      <c r="B14" s="31" t="s">
        <v>49</v>
      </c>
      <c r="C14" s="143" t="s">
        <v>49</v>
      </c>
      <c r="D14" s="143" t="s">
        <v>49</v>
      </c>
      <c r="E14" s="143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143" t="s">
        <v>49</v>
      </c>
      <c r="K14" s="143" t="s">
        <v>49</v>
      </c>
      <c r="L14" s="143" t="s">
        <v>49</v>
      </c>
      <c r="M14" s="143" t="s">
        <v>49</v>
      </c>
      <c r="N14" s="143" t="s">
        <v>49</v>
      </c>
      <c r="O14" s="143" t="s">
        <v>49</v>
      </c>
      <c r="P14" s="143" t="s">
        <v>49</v>
      </c>
      <c r="Q14" s="143" t="s">
        <v>49</v>
      </c>
      <c r="R14" s="31" t="s">
        <v>49</v>
      </c>
      <c r="S14" s="143" t="s">
        <v>49</v>
      </c>
      <c r="T14" s="242" t="s">
        <v>49</v>
      </c>
      <c r="U14" s="143" t="s">
        <v>49</v>
      </c>
      <c r="V14" s="143" t="s">
        <v>49</v>
      </c>
      <c r="W14" s="143" t="s">
        <v>49</v>
      </c>
      <c r="X14" s="143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  <c r="AI14" s="3"/>
      <c r="AJ14" s="143" t="s">
        <v>49</v>
      </c>
      <c r="AK14" s="143" t="s">
        <v>49</v>
      </c>
      <c r="AL14" s="143" t="s">
        <v>49</v>
      </c>
      <c r="AM14" s="143" t="s">
        <v>49</v>
      </c>
    </row>
    <row x14ac:dyDescent="0.25" r="15" customHeight="1" ht="18.75">
      <c r="A15" s="30" t="s">
        <v>127</v>
      </c>
      <c r="B15" s="31" t="s">
        <v>235</v>
      </c>
      <c r="C15" s="143" t="s">
        <v>235</v>
      </c>
      <c r="D15" s="143" t="s">
        <v>235</v>
      </c>
      <c r="E15" s="143" t="s">
        <v>235</v>
      </c>
      <c r="F15" s="143" t="s">
        <v>235</v>
      </c>
      <c r="G15" s="143" t="s">
        <v>235</v>
      </c>
      <c r="H15" s="143" t="s">
        <v>235</v>
      </c>
      <c r="I15" s="143" t="s">
        <v>235</v>
      </c>
      <c r="J15" s="143" t="s">
        <v>235</v>
      </c>
      <c r="K15" s="143" t="s">
        <v>235</v>
      </c>
      <c r="L15" s="143" t="s">
        <v>235</v>
      </c>
      <c r="M15" s="143" t="s">
        <v>235</v>
      </c>
      <c r="N15" s="143" t="s">
        <v>235</v>
      </c>
      <c r="O15" s="143" t="s">
        <v>235</v>
      </c>
      <c r="P15" s="143" t="s">
        <v>235</v>
      </c>
      <c r="Q15" s="143" t="s">
        <v>235</v>
      </c>
      <c r="R15" s="31" t="s">
        <v>235</v>
      </c>
      <c r="S15" s="143" t="s">
        <v>235</v>
      </c>
      <c r="T15" s="242" t="s">
        <v>235</v>
      </c>
      <c r="U15" s="143" t="s">
        <v>235</v>
      </c>
      <c r="V15" s="143" t="s">
        <v>235</v>
      </c>
      <c r="W15" s="143" t="s">
        <v>235</v>
      </c>
      <c r="X15" s="143" t="s">
        <v>235</v>
      </c>
      <c r="Y15" s="143" t="s">
        <v>235</v>
      </c>
      <c r="Z15" s="143" t="s">
        <v>235</v>
      </c>
      <c r="AA15" s="143" t="s">
        <v>235</v>
      </c>
      <c r="AB15" s="143" t="s">
        <v>235</v>
      </c>
      <c r="AC15" s="143" t="s">
        <v>235</v>
      </c>
      <c r="AD15" s="143" t="s">
        <v>235</v>
      </c>
      <c r="AE15" s="143" t="s">
        <v>235</v>
      </c>
      <c r="AF15" s="143" t="s">
        <v>235</v>
      </c>
      <c r="AG15" s="143" t="s">
        <v>235</v>
      </c>
      <c r="AH15" s="143" t="s">
        <v>235</v>
      </c>
      <c r="AI15" s="3"/>
      <c r="AJ15" s="143" t="s">
        <v>235</v>
      </c>
      <c r="AK15" s="143" t="s">
        <v>235</v>
      </c>
      <c r="AL15" s="143" t="s">
        <v>235</v>
      </c>
      <c r="AM15" s="143" t="s">
        <v>235</v>
      </c>
    </row>
    <row x14ac:dyDescent="0.25" r="16" customHeight="1" ht="18.75">
      <c r="A16" s="30" t="s">
        <v>128</v>
      </c>
      <c r="B16" s="31">
        <v>-6</v>
      </c>
      <c r="C16" s="143">
        <v>-6</v>
      </c>
      <c r="D16" s="143">
        <v>-6</v>
      </c>
      <c r="E16" s="143">
        <v>-6</v>
      </c>
      <c r="F16" s="143">
        <v>-6</v>
      </c>
      <c r="G16" s="143">
        <v>-6</v>
      </c>
      <c r="H16" s="143">
        <v>-6</v>
      </c>
      <c r="I16" s="143">
        <v>-6</v>
      </c>
      <c r="J16" s="143">
        <v>-6</v>
      </c>
      <c r="K16" s="143">
        <v>-6</v>
      </c>
      <c r="L16" s="143">
        <v>-6</v>
      </c>
      <c r="M16" s="143">
        <v>-6</v>
      </c>
      <c r="N16" s="143">
        <v>-6</v>
      </c>
      <c r="O16" s="143">
        <v>-6</v>
      </c>
      <c r="P16" s="143">
        <v>-6</v>
      </c>
      <c r="Q16" s="143">
        <v>-6</v>
      </c>
      <c r="R16" s="31">
        <v>-6</v>
      </c>
      <c r="S16" s="143">
        <v>-6</v>
      </c>
      <c r="T16" s="242">
        <v>-6</v>
      </c>
      <c r="U16" s="143">
        <v>-6</v>
      </c>
      <c r="V16" s="143">
        <v>-6</v>
      </c>
      <c r="W16" s="143">
        <v>-6</v>
      </c>
      <c r="X16" s="143">
        <v>-6</v>
      </c>
      <c r="Y16" s="143">
        <v>-6</v>
      </c>
      <c r="Z16" s="143">
        <v>-6</v>
      </c>
      <c r="AA16" s="143">
        <v>-6</v>
      </c>
      <c r="AB16" s="143">
        <v>-6</v>
      </c>
      <c r="AC16" s="143">
        <v>-6</v>
      </c>
      <c r="AD16" s="143">
        <v>-6</v>
      </c>
      <c r="AE16" s="143">
        <v>-6</v>
      </c>
      <c r="AF16" s="143">
        <v>-6</v>
      </c>
      <c r="AG16" s="143">
        <v>-6</v>
      </c>
      <c r="AH16" s="143">
        <v>-6</v>
      </c>
      <c r="AI16" s="3"/>
      <c r="AJ16" s="143">
        <v>-6</v>
      </c>
      <c r="AK16" s="143">
        <v>-6</v>
      </c>
      <c r="AL16" s="143">
        <v>-6</v>
      </c>
      <c r="AM16" s="143">
        <v>-6</v>
      </c>
    </row>
    <row x14ac:dyDescent="0.25" r="17" customHeight="1" ht="18.75">
      <c r="A17" s="30" t="s">
        <v>129</v>
      </c>
      <c r="B17" s="31" t="s">
        <v>919</v>
      </c>
      <c r="C17" s="143" t="s">
        <v>358</v>
      </c>
      <c r="D17" s="143" t="s">
        <v>358</v>
      </c>
      <c r="E17" s="143" t="s">
        <v>358</v>
      </c>
      <c r="F17" s="143" t="s">
        <v>358</v>
      </c>
      <c r="G17" s="143" t="s">
        <v>358</v>
      </c>
      <c r="H17" s="143" t="s">
        <v>358</v>
      </c>
      <c r="I17" s="143" t="s">
        <v>358</v>
      </c>
      <c r="J17" s="143" t="s">
        <v>358</v>
      </c>
      <c r="K17" s="143" t="s">
        <v>358</v>
      </c>
      <c r="L17" s="143" t="s">
        <v>358</v>
      </c>
      <c r="M17" s="143" t="s">
        <v>358</v>
      </c>
      <c r="N17" s="143" t="s">
        <v>358</v>
      </c>
      <c r="O17" s="143" t="s">
        <v>358</v>
      </c>
      <c r="P17" s="143" t="s">
        <v>358</v>
      </c>
      <c r="Q17" s="143" t="s">
        <v>358</v>
      </c>
      <c r="R17" s="31" t="s">
        <v>919</v>
      </c>
      <c r="S17" s="143" t="s">
        <v>358</v>
      </c>
      <c r="T17" s="242" t="s">
        <v>358</v>
      </c>
      <c r="U17" s="143" t="s">
        <v>358</v>
      </c>
      <c r="V17" s="143" t="s">
        <v>358</v>
      </c>
      <c r="W17" s="143" t="s">
        <v>358</v>
      </c>
      <c r="X17" s="143" t="s">
        <v>358</v>
      </c>
      <c r="Y17" s="143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  <c r="AI17" s="3"/>
      <c r="AJ17" s="143" t="s">
        <v>358</v>
      </c>
      <c r="AK17" s="143" t="s">
        <v>358</v>
      </c>
      <c r="AL17" s="143" t="s">
        <v>358</v>
      </c>
      <c r="AM17" s="143" t="s">
        <v>358</v>
      </c>
    </row>
    <row x14ac:dyDescent="0.25" r="18" customHeight="1" ht="18.75">
      <c r="A18" s="30" t="s">
        <v>130</v>
      </c>
      <c r="B18" s="31">
        <v>1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3">
        <v>0</v>
      </c>
      <c r="R18" s="31">
        <v>1</v>
      </c>
      <c r="S18" s="143">
        <v>0</v>
      </c>
      <c r="T18" s="242">
        <v>0</v>
      </c>
      <c r="U18" s="143">
        <v>0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3">
        <v>0</v>
      </c>
      <c r="AC18" s="143">
        <v>0</v>
      </c>
      <c r="AD18" s="143">
        <v>0</v>
      </c>
      <c r="AE18" s="143">
        <v>0</v>
      </c>
      <c r="AF18" s="143">
        <v>0</v>
      </c>
      <c r="AG18" s="143">
        <v>0</v>
      </c>
      <c r="AH18" s="143">
        <v>0</v>
      </c>
      <c r="AI18" s="3"/>
      <c r="AJ18" s="143">
        <v>0</v>
      </c>
      <c r="AK18" s="143">
        <v>0</v>
      </c>
      <c r="AL18" s="143">
        <v>0</v>
      </c>
      <c r="AM18" s="143">
        <v>0</v>
      </c>
    </row>
    <row x14ac:dyDescent="0.25" r="19" customHeight="1" ht="18.75">
      <c r="A19" s="4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38" t="s">
        <v>1343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121" t="s">
        <v>1344</v>
      </c>
      <c r="AK19" s="121"/>
      <c r="AL19" s="121"/>
      <c r="AM19" s="121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  <c r="AL20" s="2"/>
      <c r="AM20" s="2"/>
    </row>
    <row x14ac:dyDescent="0.25" r="21" customHeight="1" ht="18.75">
      <c r="A21" s="30" t="s">
        <v>1345</v>
      </c>
      <c r="B21" s="40" t="s">
        <v>1346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  <c r="AL21" s="2"/>
      <c r="AM21" s="2"/>
    </row>
    <row x14ac:dyDescent="0.25" r="22" customHeight="1" ht="18.75">
      <c r="A22" s="123" t="s">
        <v>1347</v>
      </c>
      <c r="B22" s="4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2"/>
      <c r="AM22" s="2"/>
    </row>
    <row x14ac:dyDescent="0.25" r="23" customHeight="1" ht="18.75">
      <c r="A23" s="123" t="s">
        <v>1348</v>
      </c>
      <c r="B23" s="40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  <c r="AK23" s="2"/>
      <c r="AL23" s="2"/>
      <c r="AM23" s="2"/>
    </row>
  </sheetData>
  <mergeCells count="6">
    <mergeCell ref="B3:D3"/>
    <mergeCell ref="F3:O3"/>
    <mergeCell ref="B4:D4"/>
    <mergeCell ref="F4:O5"/>
    <mergeCell ref="B5:D5"/>
    <mergeCell ref="AJ19:AM1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25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1328</v>
      </c>
      <c r="C4" s="7"/>
      <c r="D4" s="7"/>
      <c r="E4" s="2"/>
      <c r="F4" s="124" t="s">
        <v>1329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5.75">
      <c r="A8" s="30" t="s">
        <v>43</v>
      </c>
      <c r="B8" s="31" t="s">
        <v>373</v>
      </c>
      <c r="C8" s="31" t="s">
        <v>180</v>
      </c>
      <c r="D8" s="31" t="s">
        <v>180</v>
      </c>
      <c r="E8" s="31" t="s">
        <v>180</v>
      </c>
      <c r="F8" s="31" t="s">
        <v>180</v>
      </c>
      <c r="G8" s="31" t="s">
        <v>180</v>
      </c>
      <c r="H8" s="31" t="s">
        <v>180</v>
      </c>
      <c r="I8" s="31" t="s">
        <v>180</v>
      </c>
      <c r="J8" s="31" t="s">
        <v>180</v>
      </c>
      <c r="K8" s="31" t="s">
        <v>180</v>
      </c>
      <c r="L8" s="31" t="s">
        <v>180</v>
      </c>
      <c r="M8" s="31" t="s">
        <v>180</v>
      </c>
      <c r="N8" s="31" t="s">
        <v>180</v>
      </c>
      <c r="O8" s="31" t="s">
        <v>180</v>
      </c>
      <c r="P8" s="31" t="s">
        <v>180</v>
      </c>
      <c r="Q8" s="31" t="s">
        <v>180</v>
      </c>
      <c r="R8" s="31" t="s">
        <v>180</v>
      </c>
      <c r="S8" s="31" t="s">
        <v>180</v>
      </c>
      <c r="T8" s="31" t="s">
        <v>180</v>
      </c>
      <c r="U8" s="31" t="s">
        <v>180</v>
      </c>
      <c r="V8" s="31" t="s">
        <v>180</v>
      </c>
      <c r="W8" s="31" t="s">
        <v>180</v>
      </c>
      <c r="X8" s="31" t="s">
        <v>180</v>
      </c>
      <c r="Y8" s="31" t="s">
        <v>180</v>
      </c>
      <c r="Z8" s="31" t="s">
        <v>180</v>
      </c>
      <c r="AA8" s="31" t="s">
        <v>180</v>
      </c>
      <c r="AB8" s="31" t="s">
        <v>180</v>
      </c>
      <c r="AC8" s="31" t="s">
        <v>180</v>
      </c>
      <c r="AD8" s="31" t="s">
        <v>180</v>
      </c>
      <c r="AE8" s="33" t="s">
        <v>180</v>
      </c>
      <c r="AF8" s="31" t="s">
        <v>180</v>
      </c>
      <c r="AG8" s="31" t="s">
        <v>180</v>
      </c>
      <c r="AH8" s="31" t="s">
        <v>180</v>
      </c>
    </row>
    <row x14ac:dyDescent="0.25" r="9" customHeight="1" ht="15.75">
      <c r="A9" s="30" t="s">
        <v>45</v>
      </c>
      <c r="B9" s="31" t="s">
        <v>180</v>
      </c>
      <c r="C9" s="31" t="s">
        <v>182</v>
      </c>
      <c r="D9" s="31" t="s">
        <v>183</v>
      </c>
      <c r="E9" s="31" t="s">
        <v>180</v>
      </c>
      <c r="F9" s="31" t="s">
        <v>180</v>
      </c>
      <c r="G9" s="31" t="s">
        <v>180</v>
      </c>
      <c r="H9" s="31" t="s">
        <v>180</v>
      </c>
      <c r="I9" s="31" t="s">
        <v>180</v>
      </c>
      <c r="J9" s="31" t="s">
        <v>180</v>
      </c>
      <c r="K9" s="31" t="s">
        <v>1330</v>
      </c>
      <c r="L9" s="31" t="s">
        <v>1330</v>
      </c>
      <c r="M9" s="31" t="s">
        <v>1330</v>
      </c>
      <c r="N9" s="31" t="s">
        <v>1331</v>
      </c>
      <c r="O9" s="31" t="s">
        <v>180</v>
      </c>
      <c r="P9" s="31" t="s">
        <v>186</v>
      </c>
      <c r="Q9" s="31" t="s">
        <v>186</v>
      </c>
      <c r="R9" s="33" t="s">
        <v>187</v>
      </c>
      <c r="S9" s="31" t="s">
        <v>1331</v>
      </c>
      <c r="T9" s="31" t="s">
        <v>180</v>
      </c>
      <c r="U9" s="31" t="s">
        <v>180</v>
      </c>
      <c r="V9" s="31" t="s">
        <v>1332</v>
      </c>
      <c r="W9" s="31" t="s">
        <v>180</v>
      </c>
      <c r="X9" s="31" t="s">
        <v>180</v>
      </c>
      <c r="Y9" s="31" t="s">
        <v>180</v>
      </c>
      <c r="Z9" s="31" t="s">
        <v>180</v>
      </c>
      <c r="AA9" s="31" t="s">
        <v>180</v>
      </c>
      <c r="AB9" s="31" t="s">
        <v>180</v>
      </c>
      <c r="AC9" s="31" t="s">
        <v>180</v>
      </c>
      <c r="AD9" s="31" t="s">
        <v>180</v>
      </c>
      <c r="AE9" s="119" t="s">
        <v>188</v>
      </c>
      <c r="AF9" s="31" t="s">
        <v>180</v>
      </c>
      <c r="AG9" s="31" t="s">
        <v>189</v>
      </c>
      <c r="AH9" s="31" t="s">
        <v>189</v>
      </c>
    </row>
    <row x14ac:dyDescent="0.25" r="10" customHeight="1" ht="15.75">
      <c r="A10" s="35" t="s">
        <v>47</v>
      </c>
      <c r="B10" s="117">
        <v>79</v>
      </c>
      <c r="C10" s="117">
        <v>123</v>
      </c>
      <c r="D10" s="117">
        <v>124</v>
      </c>
      <c r="E10" s="117">
        <v>79</v>
      </c>
      <c r="F10" s="117">
        <v>79</v>
      </c>
      <c r="G10" s="117">
        <v>79</v>
      </c>
      <c r="H10" s="117">
        <v>79</v>
      </c>
      <c r="I10" s="117">
        <v>79</v>
      </c>
      <c r="J10" s="117">
        <v>79</v>
      </c>
      <c r="K10" s="117">
        <v>141</v>
      </c>
      <c r="L10" s="117">
        <v>141</v>
      </c>
      <c r="M10" s="117">
        <v>141</v>
      </c>
      <c r="N10" s="117">
        <v>127</v>
      </c>
      <c r="O10" s="117">
        <v>79</v>
      </c>
      <c r="P10" s="117">
        <v>142</v>
      </c>
      <c r="Q10" s="117">
        <v>142</v>
      </c>
      <c r="R10" s="117">
        <v>81</v>
      </c>
      <c r="S10" s="117">
        <v>127</v>
      </c>
      <c r="T10" s="117">
        <v>79</v>
      </c>
      <c r="U10" s="117">
        <v>79</v>
      </c>
      <c r="V10" s="117">
        <v>132</v>
      </c>
      <c r="W10" s="117">
        <v>79</v>
      </c>
      <c r="X10" s="117">
        <v>79</v>
      </c>
      <c r="Y10" s="117">
        <v>79</v>
      </c>
      <c r="Z10" s="117">
        <v>79</v>
      </c>
      <c r="AA10" s="117">
        <v>79</v>
      </c>
      <c r="AB10" s="117">
        <v>79</v>
      </c>
      <c r="AC10" s="117">
        <v>79</v>
      </c>
      <c r="AD10" s="117">
        <v>79</v>
      </c>
      <c r="AE10" s="117">
        <v>128</v>
      </c>
      <c r="AF10" s="117">
        <v>79</v>
      </c>
      <c r="AG10" s="117">
        <v>82</v>
      </c>
      <c r="AH10" s="117">
        <v>82</v>
      </c>
    </row>
    <row x14ac:dyDescent="0.25" r="11" customHeight="1" ht="15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5.75">
      <c r="A12" s="30" t="s">
        <v>124</v>
      </c>
      <c r="B12" s="31" t="s">
        <v>52</v>
      </c>
      <c r="C12" s="31" t="s">
        <v>52</v>
      </c>
      <c r="D12" s="31" t="s">
        <v>49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</row>
    <row x14ac:dyDescent="0.25" r="13" customHeight="1" ht="15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162</v>
      </c>
      <c r="AF13" s="31" t="s">
        <v>49</v>
      </c>
      <c r="AG13" s="31" t="s">
        <v>49</v>
      </c>
      <c r="AH13" s="31" t="s">
        <v>49</v>
      </c>
    </row>
    <row x14ac:dyDescent="0.25" r="14" customHeight="1" ht="15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5.75">
      <c r="A15" s="30" t="s">
        <v>127</v>
      </c>
      <c r="B15" s="31" t="s">
        <v>143</v>
      </c>
      <c r="C15" s="31" t="s">
        <v>190</v>
      </c>
      <c r="D15" s="31" t="s">
        <v>191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133</v>
      </c>
      <c r="L15" s="31" t="s">
        <v>133</v>
      </c>
      <c r="M15" s="31" t="s">
        <v>133</v>
      </c>
      <c r="N15" s="31" t="s">
        <v>192</v>
      </c>
      <c r="O15" s="31" t="s">
        <v>143</v>
      </c>
      <c r="P15" s="31" t="s">
        <v>193</v>
      </c>
      <c r="Q15" s="31" t="s">
        <v>193</v>
      </c>
      <c r="R15" s="31" t="s">
        <v>193</v>
      </c>
      <c r="S15" s="31" t="s">
        <v>192</v>
      </c>
      <c r="T15" s="31" t="s">
        <v>143</v>
      </c>
      <c r="U15" s="31" t="s">
        <v>143</v>
      </c>
      <c r="V15" s="31" t="s">
        <v>192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194</v>
      </c>
      <c r="AF15" s="31" t="s">
        <v>143</v>
      </c>
      <c r="AG15" s="31" t="s">
        <v>143</v>
      </c>
      <c r="AH15" s="31" t="s">
        <v>143</v>
      </c>
    </row>
    <row x14ac:dyDescent="0.25" r="16" customHeight="1" ht="15.75">
      <c r="A16" s="30" t="s">
        <v>128</v>
      </c>
      <c r="B16" s="31">
        <v>0.75</v>
      </c>
      <c r="C16" s="31">
        <f>AVERAGE(-4,-4,0.75)</f>
      </c>
      <c r="D16" s="31">
        <f>AVERAGE(-3,-6)</f>
      </c>
      <c r="E16" s="31">
        <v>0.75</v>
      </c>
      <c r="F16" s="31">
        <v>0.75</v>
      </c>
      <c r="G16" s="31">
        <v>0.75</v>
      </c>
      <c r="H16" s="31">
        <v>0.75</v>
      </c>
      <c r="I16" s="31">
        <v>0.75</v>
      </c>
      <c r="J16" s="31">
        <v>0.75</v>
      </c>
      <c r="K16" s="31">
        <v>-0.5</v>
      </c>
      <c r="L16" s="31">
        <v>-0.5</v>
      </c>
      <c r="M16" s="31">
        <v>-0.5</v>
      </c>
      <c r="N16" s="31">
        <f>AVERAGE(0.75,0.75,-4)</f>
      </c>
      <c r="O16" s="31">
        <v>0.75</v>
      </c>
      <c r="P16" s="31">
        <v>-4</v>
      </c>
      <c r="Q16" s="31">
        <v>-4</v>
      </c>
      <c r="R16" s="31">
        <v>-4</v>
      </c>
      <c r="S16" s="31">
        <f>AVERAGE(0.75,0.75,-4)</f>
      </c>
      <c r="T16" s="31">
        <v>0.75</v>
      </c>
      <c r="U16" s="31">
        <v>0.75</v>
      </c>
      <c r="V16" s="31">
        <f>AVERAGE(0.75,0.75,-4)</f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f>AVERAGE(-1.25,0.75)</f>
      </c>
      <c r="AF16" s="31">
        <v>0.75</v>
      </c>
      <c r="AG16" s="31">
        <f>5/3</f>
      </c>
      <c r="AH16" s="31">
        <f>5/3</f>
      </c>
    </row>
    <row x14ac:dyDescent="0.25" r="17" customHeight="1" ht="15.75">
      <c r="A17" s="30" t="s">
        <v>129</v>
      </c>
      <c r="B17" s="31" t="s">
        <v>198</v>
      </c>
      <c r="C17" s="31" t="s">
        <v>195</v>
      </c>
      <c r="D17" s="31" t="s">
        <v>169</v>
      </c>
      <c r="E17" s="31" t="s">
        <v>198</v>
      </c>
      <c r="F17" s="31" t="s">
        <v>198</v>
      </c>
      <c r="G17" s="31" t="s">
        <v>198</v>
      </c>
      <c r="H17" s="31" t="s">
        <v>198</v>
      </c>
      <c r="I17" s="31" t="s">
        <v>198</v>
      </c>
      <c r="J17" s="31" t="s">
        <v>198</v>
      </c>
      <c r="K17" s="31" t="s">
        <v>198</v>
      </c>
      <c r="L17" s="31" t="s">
        <v>198</v>
      </c>
      <c r="M17" s="31" t="s">
        <v>198</v>
      </c>
      <c r="N17" s="31" t="s">
        <v>198</v>
      </c>
      <c r="O17" s="31" t="s">
        <v>198</v>
      </c>
      <c r="P17" s="31" t="s">
        <v>197</v>
      </c>
      <c r="Q17" s="31" t="s">
        <v>197</v>
      </c>
      <c r="R17" s="31" t="s">
        <v>198</v>
      </c>
      <c r="S17" s="31" t="s">
        <v>198</v>
      </c>
      <c r="T17" s="31" t="s">
        <v>198</v>
      </c>
      <c r="U17" s="31" t="s">
        <v>198</v>
      </c>
      <c r="V17" s="31" t="s">
        <v>1333</v>
      </c>
      <c r="W17" s="31" t="s">
        <v>198</v>
      </c>
      <c r="X17" s="31" t="s">
        <v>198</v>
      </c>
      <c r="Y17" s="31" t="s">
        <v>198</v>
      </c>
      <c r="Z17" s="31" t="s">
        <v>198</v>
      </c>
      <c r="AA17" s="31" t="s">
        <v>198</v>
      </c>
      <c r="AB17" s="31" t="s">
        <v>198</v>
      </c>
      <c r="AC17" s="31" t="s">
        <v>198</v>
      </c>
      <c r="AD17" s="31" t="s">
        <v>198</v>
      </c>
      <c r="AE17" s="133" t="s">
        <v>199</v>
      </c>
      <c r="AF17" s="31" t="s">
        <v>198</v>
      </c>
      <c r="AG17" s="31" t="s">
        <v>198</v>
      </c>
      <c r="AH17" s="31" t="s">
        <v>198</v>
      </c>
    </row>
    <row x14ac:dyDescent="0.25" r="18" customHeight="1" ht="15.75">
      <c r="A18" s="30" t="s">
        <v>130</v>
      </c>
      <c r="B18" s="31">
        <v>1.25</v>
      </c>
      <c r="C18" s="31">
        <f>AVERAGE(2,2,1.25)</f>
      </c>
      <c r="D18" s="31">
        <v>2</v>
      </c>
      <c r="E18" s="31">
        <v>1.25</v>
      </c>
      <c r="F18" s="31">
        <v>1.25</v>
      </c>
      <c r="G18" s="31">
        <v>1.25</v>
      </c>
      <c r="H18" s="31">
        <v>1.25</v>
      </c>
      <c r="I18" s="31">
        <v>1.25</v>
      </c>
      <c r="J18" s="31">
        <v>1.25</v>
      </c>
      <c r="K18" s="31">
        <v>1.25</v>
      </c>
      <c r="L18" s="31">
        <v>1.25</v>
      </c>
      <c r="M18" s="31">
        <v>1.25</v>
      </c>
      <c r="N18" s="31">
        <v>1.25</v>
      </c>
      <c r="O18" s="31">
        <v>1.25</v>
      </c>
      <c r="P18" s="31">
        <f>AVERAGE(2,2,1.25)</f>
      </c>
      <c r="Q18" s="31">
        <f>AVERAGE(2,2,1.25)</f>
      </c>
      <c r="R18" s="31">
        <v>1.25</v>
      </c>
      <c r="S18" s="31">
        <v>1.25</v>
      </c>
      <c r="T18" s="31">
        <v>1.25</v>
      </c>
      <c r="U18" s="31">
        <v>1.25</v>
      </c>
      <c r="V18" s="31">
        <f>AVERAGE(1.25,1.25,2)</f>
      </c>
      <c r="W18" s="31">
        <v>1.25</v>
      </c>
      <c r="X18" s="31">
        <v>1.25</v>
      </c>
      <c r="Y18" s="31">
        <v>1.25</v>
      </c>
      <c r="Z18" s="31">
        <v>1.25</v>
      </c>
      <c r="AA18" s="31">
        <v>1.25</v>
      </c>
      <c r="AB18" s="31">
        <v>1.25</v>
      </c>
      <c r="AC18" s="31">
        <v>1.25</v>
      </c>
      <c r="AD18" s="31">
        <v>1.25</v>
      </c>
      <c r="AE18" s="31">
        <f>AVERAGE(2.5,25/16)</f>
      </c>
      <c r="AF18" s="31">
        <v>1.25</v>
      </c>
      <c r="AG18" s="31">
        <v>1</v>
      </c>
      <c r="AH18" s="31">
        <v>1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209" t="s">
        <v>1334</v>
      </c>
      <c r="B21" s="40" t="s">
        <v>1335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x14ac:dyDescent="0.25" r="22" customHeight="1" ht="18.75">
      <c r="A22" s="30"/>
      <c r="B22" s="40" t="s">
        <v>1336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x14ac:dyDescent="0.25" r="23" customHeight="1" ht="18.75">
      <c r="A23" s="30"/>
      <c r="B23" s="40" t="s">
        <v>1337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</sheetData>
  <mergeCells count="6">
    <mergeCell ref="B3:D3"/>
    <mergeCell ref="F3:O3"/>
    <mergeCell ref="B4:D4"/>
    <mergeCell ref="F4:O5"/>
    <mergeCell ref="B5:D5"/>
    <mergeCell ref="A21:A2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6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</row>
    <row x14ac:dyDescent="0.25" r="3" customHeight="1" ht="18.75">
      <c r="A3" s="1" t="s">
        <v>2</v>
      </c>
      <c r="B3" s="5">
        <v>26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</row>
    <row x14ac:dyDescent="0.25" r="4" customHeight="1" ht="18.75">
      <c r="A4" s="1" t="s">
        <v>4</v>
      </c>
      <c r="B4" s="7" t="s">
        <v>1305</v>
      </c>
      <c r="C4" s="7"/>
      <c r="D4" s="7"/>
      <c r="E4" s="2"/>
      <c r="F4" s="124" t="s">
        <v>1320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64" t="s">
        <v>10</v>
      </c>
      <c r="AK7" s="147" t="s">
        <v>30</v>
      </c>
    </row>
    <row x14ac:dyDescent="0.25" r="8" customHeight="1" ht="18.75">
      <c r="A8" s="30" t="s">
        <v>43</v>
      </c>
      <c r="B8" s="31" t="s">
        <v>198</v>
      </c>
      <c r="C8" s="31" t="s">
        <v>149</v>
      </c>
      <c r="D8" s="31" t="s">
        <v>149</v>
      </c>
      <c r="E8" s="31" t="s">
        <v>149</v>
      </c>
      <c r="F8" s="31" t="s">
        <v>1087</v>
      </c>
      <c r="G8" s="31" t="s">
        <v>149</v>
      </c>
      <c r="H8" s="31" t="s">
        <v>149</v>
      </c>
      <c r="I8" s="31" t="s">
        <v>149</v>
      </c>
      <c r="J8" s="31" t="s">
        <v>1088</v>
      </c>
      <c r="K8" s="31" t="s">
        <v>150</v>
      </c>
      <c r="L8" s="31" t="s">
        <v>150</v>
      </c>
      <c r="M8" s="31" t="s">
        <v>150</v>
      </c>
      <c r="N8" s="116" t="s">
        <v>149</v>
      </c>
      <c r="O8" s="33" t="s">
        <v>149</v>
      </c>
      <c r="P8" s="33" t="s">
        <v>149</v>
      </c>
      <c r="Q8" s="33" t="s">
        <v>149</v>
      </c>
      <c r="R8" s="33" t="s">
        <v>149</v>
      </c>
      <c r="S8" s="33" t="s">
        <v>149</v>
      </c>
      <c r="T8" s="33" t="s">
        <v>149</v>
      </c>
      <c r="U8" s="33" t="s">
        <v>149</v>
      </c>
      <c r="V8" s="33" t="s">
        <v>149</v>
      </c>
      <c r="W8" s="33" t="s">
        <v>149</v>
      </c>
      <c r="X8" s="33" t="s">
        <v>149</v>
      </c>
      <c r="Y8" s="33" t="s">
        <v>149</v>
      </c>
      <c r="Z8" s="33" t="s">
        <v>149</v>
      </c>
      <c r="AA8" s="31" t="s">
        <v>149</v>
      </c>
      <c r="AB8" s="33" t="s">
        <v>149</v>
      </c>
      <c r="AC8" s="33" t="s">
        <v>149</v>
      </c>
      <c r="AD8" s="33" t="s">
        <v>149</v>
      </c>
      <c r="AE8" s="33" t="s">
        <v>149</v>
      </c>
      <c r="AF8" s="33" t="s">
        <v>1307</v>
      </c>
      <c r="AG8" s="33" t="s">
        <v>149</v>
      </c>
      <c r="AH8" s="33" t="s">
        <v>149</v>
      </c>
      <c r="AI8" s="3"/>
      <c r="AJ8" s="33" t="s">
        <v>198</v>
      </c>
      <c r="AK8" s="31" t="s">
        <v>1308</v>
      </c>
    </row>
    <row x14ac:dyDescent="0.25" r="9" customHeight="1" ht="18.75">
      <c r="A9" s="30" t="s">
        <v>45</v>
      </c>
      <c r="B9" s="31" t="s">
        <v>156</v>
      </c>
      <c r="C9" s="31" t="s">
        <v>156</v>
      </c>
      <c r="D9" s="31" t="s">
        <v>149</v>
      </c>
      <c r="E9" s="31" t="s">
        <v>149</v>
      </c>
      <c r="F9" s="31" t="s">
        <v>1090</v>
      </c>
      <c r="G9" s="31" t="s">
        <v>149</v>
      </c>
      <c r="H9" s="31" t="s">
        <v>149</v>
      </c>
      <c r="I9" s="31" t="s">
        <v>149</v>
      </c>
      <c r="J9" s="31" t="s">
        <v>1092</v>
      </c>
      <c r="K9" s="31" t="s">
        <v>1309</v>
      </c>
      <c r="L9" s="31" t="s">
        <v>1309</v>
      </c>
      <c r="M9" s="31" t="s">
        <v>1309</v>
      </c>
      <c r="N9" s="114" t="s">
        <v>149</v>
      </c>
      <c r="O9" s="31" t="s">
        <v>149</v>
      </c>
      <c r="P9" s="31" t="s">
        <v>149</v>
      </c>
      <c r="Q9" s="31" t="s">
        <v>149</v>
      </c>
      <c r="R9" s="31" t="s">
        <v>149</v>
      </c>
      <c r="S9" s="31" t="s">
        <v>149</v>
      </c>
      <c r="T9" s="31" t="s">
        <v>149</v>
      </c>
      <c r="U9" s="31" t="s">
        <v>149</v>
      </c>
      <c r="V9" s="31" t="s">
        <v>149</v>
      </c>
      <c r="W9" s="31" t="s">
        <v>149</v>
      </c>
      <c r="X9" s="31" t="s">
        <v>149</v>
      </c>
      <c r="Y9" s="31" t="s">
        <v>149</v>
      </c>
      <c r="Z9" s="31" t="s">
        <v>149</v>
      </c>
      <c r="AA9" s="31" t="s">
        <v>149</v>
      </c>
      <c r="AB9" s="31" t="s">
        <v>149</v>
      </c>
      <c r="AC9" s="31" t="s">
        <v>149</v>
      </c>
      <c r="AD9" s="31" t="s">
        <v>149</v>
      </c>
      <c r="AE9" s="31" t="s">
        <v>149</v>
      </c>
      <c r="AF9" s="33" t="s">
        <v>1310</v>
      </c>
      <c r="AG9" s="31" t="s">
        <v>149</v>
      </c>
      <c r="AH9" s="31" t="s">
        <v>149</v>
      </c>
      <c r="AI9" s="3"/>
      <c r="AJ9" s="31" t="s">
        <v>361</v>
      </c>
      <c r="AK9" s="33" t="s">
        <v>1309</v>
      </c>
    </row>
    <row x14ac:dyDescent="0.25" r="10" customHeight="1" ht="18.75">
      <c r="A10" s="35" t="s">
        <v>47</v>
      </c>
      <c r="B10" s="117">
        <v>87</v>
      </c>
      <c r="C10" s="117">
        <v>87</v>
      </c>
      <c r="D10" s="117">
        <v>85</v>
      </c>
      <c r="E10" s="117">
        <v>85</v>
      </c>
      <c r="F10" s="117">
        <v>129</v>
      </c>
      <c r="G10" s="117">
        <v>85</v>
      </c>
      <c r="H10" s="117">
        <v>85</v>
      </c>
      <c r="I10" s="117">
        <v>85</v>
      </c>
      <c r="J10" s="117">
        <v>130</v>
      </c>
      <c r="K10" s="117">
        <v>86</v>
      </c>
      <c r="L10" s="117">
        <v>86</v>
      </c>
      <c r="M10" s="117">
        <v>86</v>
      </c>
      <c r="N10" s="137">
        <v>85</v>
      </c>
      <c r="O10" s="117">
        <v>85</v>
      </c>
      <c r="P10" s="117">
        <v>85</v>
      </c>
      <c r="Q10" s="117">
        <v>85</v>
      </c>
      <c r="R10" s="117">
        <v>85</v>
      </c>
      <c r="S10" s="117">
        <v>85</v>
      </c>
      <c r="T10" s="117">
        <v>85</v>
      </c>
      <c r="U10" s="117">
        <v>85</v>
      </c>
      <c r="V10" s="117">
        <v>85</v>
      </c>
      <c r="W10" s="117">
        <v>85</v>
      </c>
      <c r="X10" s="117">
        <v>85</v>
      </c>
      <c r="Y10" s="117">
        <v>85</v>
      </c>
      <c r="Z10" s="117">
        <v>85</v>
      </c>
      <c r="AA10" s="117">
        <v>85</v>
      </c>
      <c r="AB10" s="117">
        <v>85</v>
      </c>
      <c r="AC10" s="117">
        <v>85</v>
      </c>
      <c r="AD10" s="117">
        <v>85</v>
      </c>
      <c r="AE10" s="117">
        <v>85</v>
      </c>
      <c r="AF10" s="117">
        <v>240</v>
      </c>
      <c r="AG10" s="117">
        <v>85</v>
      </c>
      <c r="AH10" s="117">
        <v>85</v>
      </c>
      <c r="AI10" s="3"/>
      <c r="AJ10" s="117">
        <v>139</v>
      </c>
      <c r="AK10" s="117">
        <v>86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114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  <c r="AK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1025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114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  <c r="AI12" s="3"/>
      <c r="AJ12" s="31" t="s">
        <v>52</v>
      </c>
      <c r="AK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1094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114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  <c r="AK13" s="31" t="s">
        <v>49</v>
      </c>
    </row>
    <row x14ac:dyDescent="0.25" r="14" customHeight="1" ht="18.75">
      <c r="A14" s="30" t="s">
        <v>126</v>
      </c>
      <c r="B14" s="31" t="s">
        <v>52</v>
      </c>
      <c r="C14" s="31" t="s">
        <v>52</v>
      </c>
      <c r="D14" s="31" t="s">
        <v>52</v>
      </c>
      <c r="E14" s="31" t="s">
        <v>52</v>
      </c>
      <c r="F14" s="31" t="s">
        <v>1025</v>
      </c>
      <c r="G14" s="31" t="s">
        <v>52</v>
      </c>
      <c r="H14" s="31" t="s">
        <v>52</v>
      </c>
      <c r="I14" s="31" t="s">
        <v>52</v>
      </c>
      <c r="J14" s="31" t="s">
        <v>52</v>
      </c>
      <c r="K14" s="31" t="s">
        <v>52</v>
      </c>
      <c r="L14" s="31" t="s">
        <v>52</v>
      </c>
      <c r="M14" s="31" t="s">
        <v>52</v>
      </c>
      <c r="N14" s="114" t="s">
        <v>52</v>
      </c>
      <c r="O14" s="31" t="s">
        <v>52</v>
      </c>
      <c r="P14" s="31" t="s">
        <v>52</v>
      </c>
      <c r="Q14" s="31" t="s">
        <v>52</v>
      </c>
      <c r="R14" s="31" t="s">
        <v>52</v>
      </c>
      <c r="S14" s="31" t="s">
        <v>52</v>
      </c>
      <c r="T14" s="31" t="s">
        <v>52</v>
      </c>
      <c r="U14" s="31" t="s">
        <v>52</v>
      </c>
      <c r="V14" s="31" t="s">
        <v>52</v>
      </c>
      <c r="W14" s="31" t="s">
        <v>52</v>
      </c>
      <c r="X14" s="31" t="s">
        <v>52</v>
      </c>
      <c r="Y14" s="31" t="s">
        <v>52</v>
      </c>
      <c r="Z14" s="31" t="s">
        <v>52</v>
      </c>
      <c r="AA14" s="31" t="s">
        <v>52</v>
      </c>
      <c r="AB14" s="31" t="s">
        <v>52</v>
      </c>
      <c r="AC14" s="31" t="s">
        <v>52</v>
      </c>
      <c r="AD14" s="31" t="s">
        <v>52</v>
      </c>
      <c r="AE14" s="31" t="s">
        <v>52</v>
      </c>
      <c r="AF14" s="119" t="s">
        <v>843</v>
      </c>
      <c r="AG14" s="31" t="s">
        <v>52</v>
      </c>
      <c r="AH14" s="31" t="s">
        <v>52</v>
      </c>
      <c r="AI14" s="3"/>
      <c r="AJ14" s="31" t="s">
        <v>52</v>
      </c>
      <c r="AK14" s="31" t="s">
        <v>52</v>
      </c>
    </row>
    <row x14ac:dyDescent="0.25" r="15" customHeight="1" ht="18.75">
      <c r="A15" s="30" t="s">
        <v>127</v>
      </c>
      <c r="B15" s="31" t="s">
        <v>164</v>
      </c>
      <c r="C15" s="31" t="s">
        <v>164</v>
      </c>
      <c r="D15" s="31" t="s">
        <v>143</v>
      </c>
      <c r="E15" s="31" t="s">
        <v>143</v>
      </c>
      <c r="F15" s="31" t="s">
        <v>133</v>
      </c>
      <c r="G15" s="31" t="s">
        <v>143</v>
      </c>
      <c r="H15" s="31" t="s">
        <v>143</v>
      </c>
      <c r="I15" s="31" t="s">
        <v>143</v>
      </c>
      <c r="J15" s="31" t="s">
        <v>648</v>
      </c>
      <c r="K15" s="31" t="s">
        <v>133</v>
      </c>
      <c r="L15" s="31" t="s">
        <v>133</v>
      </c>
      <c r="M15" s="31" t="s">
        <v>133</v>
      </c>
      <c r="N15" s="114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1311</v>
      </c>
      <c r="AG15" s="31" t="s">
        <v>143</v>
      </c>
      <c r="AH15" s="31" t="s">
        <v>143</v>
      </c>
      <c r="AI15" s="3"/>
      <c r="AJ15" s="31" t="s">
        <v>133</v>
      </c>
      <c r="AK15" s="31" t="s">
        <v>133</v>
      </c>
    </row>
    <row x14ac:dyDescent="0.25" r="16" customHeight="1" ht="18.75">
      <c r="A16" s="30" t="s">
        <v>128</v>
      </c>
      <c r="B16" s="31">
        <f>-7/6</f>
      </c>
      <c r="C16" s="31">
        <f>-7/6</f>
      </c>
      <c r="D16" s="31">
        <v>0.75</v>
      </c>
      <c r="E16" s="31">
        <v>0.75</v>
      </c>
      <c r="F16" s="31">
        <f>AVERAGE(0,0,-1.25)</f>
      </c>
      <c r="G16" s="31">
        <v>0.75</v>
      </c>
      <c r="H16" s="31">
        <v>0.75</v>
      </c>
      <c r="I16" s="31">
        <v>0.75</v>
      </c>
      <c r="J16" s="31">
        <f>AVERAGE(0.75,0.75,0.75,0)</f>
      </c>
      <c r="K16" s="31">
        <v>0</v>
      </c>
      <c r="L16" s="31">
        <v>0</v>
      </c>
      <c r="M16" s="31">
        <v>0</v>
      </c>
      <c r="N16" s="114">
        <v>0.75</v>
      </c>
      <c r="O16" s="31">
        <v>0.75</v>
      </c>
      <c r="P16" s="31">
        <v>0.75</v>
      </c>
      <c r="Q16" s="31">
        <v>0.75</v>
      </c>
      <c r="R16" s="31">
        <v>0.75</v>
      </c>
      <c r="S16" s="31">
        <v>0.75</v>
      </c>
      <c r="T16" s="31">
        <v>0.75</v>
      </c>
      <c r="U16" s="31">
        <v>0.75</v>
      </c>
      <c r="V16" s="31">
        <v>0.75</v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f>AVERAGE(0.75,0.75,-3)</f>
      </c>
      <c r="AG16" s="31">
        <v>0.75</v>
      </c>
      <c r="AH16" s="31">
        <v>0.75</v>
      </c>
      <c r="AI16" s="3"/>
      <c r="AJ16" s="31">
        <f>-1/6</f>
      </c>
      <c r="AK16" s="31">
        <v>0</v>
      </c>
    </row>
    <row x14ac:dyDescent="0.25" r="17" customHeight="1" ht="18.75">
      <c r="A17" s="30" t="s">
        <v>129</v>
      </c>
      <c r="B17" s="33" t="s">
        <v>167</v>
      </c>
      <c r="C17" s="33" t="s">
        <v>167</v>
      </c>
      <c r="D17" s="33" t="s">
        <v>167</v>
      </c>
      <c r="E17" s="33" t="s">
        <v>167</v>
      </c>
      <c r="F17" s="150" t="s">
        <v>1095</v>
      </c>
      <c r="G17" s="33" t="s">
        <v>167</v>
      </c>
      <c r="H17" s="33" t="s">
        <v>167</v>
      </c>
      <c r="I17" s="33" t="s">
        <v>167</v>
      </c>
      <c r="J17" s="33" t="s">
        <v>167</v>
      </c>
      <c r="K17" s="33" t="s">
        <v>167</v>
      </c>
      <c r="L17" s="33" t="s">
        <v>167</v>
      </c>
      <c r="M17" s="33" t="s">
        <v>167</v>
      </c>
      <c r="N17" s="31" t="s">
        <v>167</v>
      </c>
      <c r="O17" s="31" t="s">
        <v>167</v>
      </c>
      <c r="P17" s="31" t="s">
        <v>167</v>
      </c>
      <c r="Q17" s="31" t="s">
        <v>167</v>
      </c>
      <c r="R17" s="31" t="s">
        <v>167</v>
      </c>
      <c r="S17" s="31" t="s">
        <v>167</v>
      </c>
      <c r="T17" s="31" t="s">
        <v>167</v>
      </c>
      <c r="U17" s="31" t="s">
        <v>167</v>
      </c>
      <c r="V17" s="31" t="s">
        <v>167</v>
      </c>
      <c r="W17" s="31" t="s">
        <v>167</v>
      </c>
      <c r="X17" s="31" t="s">
        <v>167</v>
      </c>
      <c r="Y17" s="31" t="s">
        <v>167</v>
      </c>
      <c r="Z17" s="31" t="s">
        <v>167</v>
      </c>
      <c r="AA17" s="31" t="s">
        <v>167</v>
      </c>
      <c r="AB17" s="31" t="s">
        <v>167</v>
      </c>
      <c r="AC17" s="31" t="s">
        <v>167</v>
      </c>
      <c r="AD17" s="31" t="s">
        <v>167</v>
      </c>
      <c r="AE17" s="31" t="s">
        <v>167</v>
      </c>
      <c r="AF17" s="251" t="s">
        <v>1312</v>
      </c>
      <c r="AG17" s="31" t="s">
        <v>167</v>
      </c>
      <c r="AH17" s="31" t="s">
        <v>167</v>
      </c>
      <c r="AI17" s="3"/>
      <c r="AJ17" s="31" t="s">
        <v>167</v>
      </c>
      <c r="AK17" s="31" t="s">
        <v>167</v>
      </c>
    </row>
    <row x14ac:dyDescent="0.25" r="18" customHeight="1" ht="18.75">
      <c r="A18" s="30" t="s">
        <v>130</v>
      </c>
      <c r="B18" s="31">
        <v>0.75</v>
      </c>
      <c r="C18" s="31">
        <v>0.75</v>
      </c>
      <c r="D18" s="31">
        <v>0.75</v>
      </c>
      <c r="E18" s="31">
        <v>0.75</v>
      </c>
      <c r="F18" s="31">
        <f>AVERAGE(0.75,0.75,3)</f>
      </c>
      <c r="G18" s="31">
        <v>0.75</v>
      </c>
      <c r="H18" s="31">
        <v>0.75</v>
      </c>
      <c r="I18" s="31">
        <v>0.75</v>
      </c>
      <c r="J18" s="31">
        <v>0.75</v>
      </c>
      <c r="K18" s="31">
        <v>0.75</v>
      </c>
      <c r="L18" s="31">
        <v>0.75</v>
      </c>
      <c r="M18" s="31">
        <v>0.75</v>
      </c>
      <c r="N18" s="31">
        <v>0.75</v>
      </c>
      <c r="O18" s="31">
        <v>0.75</v>
      </c>
      <c r="P18" s="31">
        <v>0.75</v>
      </c>
      <c r="Q18" s="31">
        <v>0.75</v>
      </c>
      <c r="R18" s="31">
        <v>0.75</v>
      </c>
      <c r="S18" s="31">
        <v>0.75</v>
      </c>
      <c r="T18" s="31">
        <v>0.75</v>
      </c>
      <c r="U18" s="31">
        <v>0.75</v>
      </c>
      <c r="V18" s="31">
        <v>0.75</v>
      </c>
      <c r="W18" s="31">
        <v>0.75</v>
      </c>
      <c r="X18" s="31">
        <v>0.75</v>
      </c>
      <c r="Y18" s="31">
        <v>0.75</v>
      </c>
      <c r="Z18" s="31">
        <v>0.75</v>
      </c>
      <c r="AA18" s="31">
        <v>0.75</v>
      </c>
      <c r="AB18" s="31">
        <v>0.75</v>
      </c>
      <c r="AC18" s="31">
        <v>0.75</v>
      </c>
      <c r="AD18" s="31">
        <v>0.75</v>
      </c>
      <c r="AE18" s="31">
        <v>0.75</v>
      </c>
      <c r="AF18" s="31">
        <f>AVERAGE(0.75,0.75,1/3)</f>
      </c>
      <c r="AG18" s="31">
        <v>0.75</v>
      </c>
      <c r="AH18" s="31">
        <v>0.75</v>
      </c>
      <c r="AI18" s="3"/>
      <c r="AJ18" s="31">
        <v>0.75</v>
      </c>
      <c r="AK18" s="31">
        <v>0.75</v>
      </c>
    </row>
    <row x14ac:dyDescent="0.25" r="19" customHeight="1" ht="15.75">
      <c r="A19" s="46"/>
      <c r="B19" s="138" t="s">
        <v>1321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38" t="s">
        <v>1322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138" t="s">
        <v>1323</v>
      </c>
      <c r="AK19" s="138" t="s">
        <v>1324</v>
      </c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</row>
    <row x14ac:dyDescent="0.25" r="21" customHeight="1" ht="18.75">
      <c r="A21" s="209" t="s">
        <v>1325</v>
      </c>
      <c r="B21" s="40" t="s">
        <v>1316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</row>
    <row x14ac:dyDescent="0.25" r="22" customHeight="1" ht="18.75">
      <c r="A22" s="30"/>
      <c r="B22" s="40" t="s">
        <v>1317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</row>
    <row x14ac:dyDescent="0.25" r="23" customHeight="1" ht="18.75">
      <c r="A23" s="209" t="s">
        <v>1326</v>
      </c>
      <c r="B23" s="40" t="s">
        <v>1316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  <c r="AK23" s="2"/>
    </row>
    <row x14ac:dyDescent="0.25" r="24" customHeight="1" ht="18.75">
      <c r="A24" s="30"/>
      <c r="B24" s="40" t="s">
        <v>1317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  <c r="AK24" s="2"/>
    </row>
    <row x14ac:dyDescent="0.25" r="25" customHeight="1" ht="18.75">
      <c r="A25" s="209" t="s">
        <v>1327</v>
      </c>
      <c r="B25" s="40" t="s">
        <v>1316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  <c r="AJ25" s="2"/>
      <c r="AK25" s="2"/>
    </row>
    <row x14ac:dyDescent="0.25" r="26" customHeight="1" ht="18.75">
      <c r="A26" s="30"/>
      <c r="B26" s="40" t="s">
        <v>1319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3"/>
      <c r="AJ26" s="2"/>
      <c r="AK26" s="2"/>
    </row>
  </sheetData>
  <mergeCells count="8">
    <mergeCell ref="B3:D3"/>
    <mergeCell ref="F3:O3"/>
    <mergeCell ref="B4:D4"/>
    <mergeCell ref="F4:O5"/>
    <mergeCell ref="B5:D5"/>
    <mergeCell ref="A21:A22"/>
    <mergeCell ref="A23:A24"/>
    <mergeCell ref="A25:A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4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27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1305</v>
      </c>
      <c r="C4" s="7"/>
      <c r="D4" s="7"/>
      <c r="E4" s="2"/>
      <c r="F4" s="124" t="s">
        <v>1306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47" t="s">
        <v>30</v>
      </c>
    </row>
    <row x14ac:dyDescent="0.25" r="8" customHeight="1" ht="15.75">
      <c r="A8" s="30" t="s">
        <v>43</v>
      </c>
      <c r="B8" s="31" t="s">
        <v>198</v>
      </c>
      <c r="C8" s="31" t="s">
        <v>149</v>
      </c>
      <c r="D8" s="31" t="s">
        <v>149</v>
      </c>
      <c r="E8" s="31" t="s">
        <v>149</v>
      </c>
      <c r="F8" s="31" t="s">
        <v>1087</v>
      </c>
      <c r="G8" s="31" t="s">
        <v>149</v>
      </c>
      <c r="H8" s="31" t="s">
        <v>149</v>
      </c>
      <c r="I8" s="31" t="s">
        <v>149</v>
      </c>
      <c r="J8" s="31" t="s">
        <v>1088</v>
      </c>
      <c r="K8" s="31" t="s">
        <v>150</v>
      </c>
      <c r="L8" s="114" t="s">
        <v>150</v>
      </c>
      <c r="M8" s="31" t="s">
        <v>150</v>
      </c>
      <c r="N8" s="33" t="s">
        <v>149</v>
      </c>
      <c r="O8" s="33" t="s">
        <v>149</v>
      </c>
      <c r="P8" s="33" t="s">
        <v>149</v>
      </c>
      <c r="Q8" s="33" t="s">
        <v>149</v>
      </c>
      <c r="R8" s="33" t="s">
        <v>149</v>
      </c>
      <c r="S8" s="33" t="s">
        <v>149</v>
      </c>
      <c r="T8" s="33" t="s">
        <v>149</v>
      </c>
      <c r="U8" s="33" t="s">
        <v>149</v>
      </c>
      <c r="V8" s="33" t="s">
        <v>149</v>
      </c>
      <c r="W8" s="33" t="s">
        <v>149</v>
      </c>
      <c r="X8" s="33" t="s">
        <v>149</v>
      </c>
      <c r="Y8" s="33" t="s">
        <v>149</v>
      </c>
      <c r="Z8" s="33" t="s">
        <v>149</v>
      </c>
      <c r="AA8" s="31" t="s">
        <v>149</v>
      </c>
      <c r="AB8" s="31" t="s">
        <v>149</v>
      </c>
      <c r="AC8" s="33" t="s">
        <v>149</v>
      </c>
      <c r="AD8" s="31" t="s">
        <v>149</v>
      </c>
      <c r="AE8" s="33" t="s">
        <v>149</v>
      </c>
      <c r="AF8" s="33" t="s">
        <v>1307</v>
      </c>
      <c r="AG8" s="33" t="s">
        <v>149</v>
      </c>
      <c r="AH8" s="31" t="s">
        <v>149</v>
      </c>
      <c r="AI8" s="3"/>
      <c r="AJ8" s="31" t="s">
        <v>1308</v>
      </c>
    </row>
    <row x14ac:dyDescent="0.25" r="9" customHeight="1" ht="15.75">
      <c r="A9" s="30" t="s">
        <v>45</v>
      </c>
      <c r="B9" s="31" t="s">
        <v>156</v>
      </c>
      <c r="C9" s="31" t="s">
        <v>156</v>
      </c>
      <c r="D9" s="31" t="s">
        <v>149</v>
      </c>
      <c r="E9" s="31" t="s">
        <v>149</v>
      </c>
      <c r="F9" s="31" t="s">
        <v>1090</v>
      </c>
      <c r="G9" s="31" t="s">
        <v>149</v>
      </c>
      <c r="H9" s="31" t="s">
        <v>149</v>
      </c>
      <c r="I9" s="31" t="s">
        <v>149</v>
      </c>
      <c r="J9" s="31" t="s">
        <v>1092</v>
      </c>
      <c r="K9" s="31" t="s">
        <v>1309</v>
      </c>
      <c r="L9" s="116" t="s">
        <v>1309</v>
      </c>
      <c r="M9" s="33" t="s">
        <v>1309</v>
      </c>
      <c r="N9" s="31" t="s">
        <v>149</v>
      </c>
      <c r="O9" s="31" t="s">
        <v>149</v>
      </c>
      <c r="P9" s="31" t="s">
        <v>149</v>
      </c>
      <c r="Q9" s="31" t="s">
        <v>149</v>
      </c>
      <c r="R9" s="31" t="s">
        <v>149</v>
      </c>
      <c r="S9" s="31" t="s">
        <v>149</v>
      </c>
      <c r="T9" s="31" t="s">
        <v>149</v>
      </c>
      <c r="U9" s="31" t="s">
        <v>149</v>
      </c>
      <c r="V9" s="31" t="s">
        <v>149</v>
      </c>
      <c r="W9" s="31" t="s">
        <v>149</v>
      </c>
      <c r="X9" s="31" t="s">
        <v>149</v>
      </c>
      <c r="Y9" s="31" t="s">
        <v>149</v>
      </c>
      <c r="Z9" s="31" t="s">
        <v>149</v>
      </c>
      <c r="AA9" s="31" t="s">
        <v>149</v>
      </c>
      <c r="AB9" s="31" t="s">
        <v>149</v>
      </c>
      <c r="AC9" s="31" t="s">
        <v>149</v>
      </c>
      <c r="AD9" s="31" t="s">
        <v>149</v>
      </c>
      <c r="AE9" s="31" t="s">
        <v>149</v>
      </c>
      <c r="AF9" s="33" t="s">
        <v>1310</v>
      </c>
      <c r="AG9" s="31" t="s">
        <v>149</v>
      </c>
      <c r="AH9" s="31" t="s">
        <v>149</v>
      </c>
      <c r="AI9" s="3"/>
      <c r="AJ9" s="33" t="s">
        <v>1309</v>
      </c>
    </row>
    <row x14ac:dyDescent="0.25" r="10" customHeight="1" ht="15.75">
      <c r="A10" s="35" t="s">
        <v>47</v>
      </c>
      <c r="B10" s="117">
        <v>87</v>
      </c>
      <c r="C10" s="117">
        <v>87</v>
      </c>
      <c r="D10" s="117">
        <v>85</v>
      </c>
      <c r="E10" s="117">
        <v>85</v>
      </c>
      <c r="F10" s="117">
        <v>129</v>
      </c>
      <c r="G10" s="117">
        <v>85</v>
      </c>
      <c r="H10" s="117">
        <v>85</v>
      </c>
      <c r="I10" s="117">
        <v>85</v>
      </c>
      <c r="J10" s="117">
        <v>130</v>
      </c>
      <c r="K10" s="117">
        <v>86</v>
      </c>
      <c r="L10" s="137">
        <v>86</v>
      </c>
      <c r="M10" s="117">
        <v>86</v>
      </c>
      <c r="N10" s="117">
        <v>85</v>
      </c>
      <c r="O10" s="117">
        <v>85</v>
      </c>
      <c r="P10" s="117">
        <v>85</v>
      </c>
      <c r="Q10" s="117">
        <v>85</v>
      </c>
      <c r="R10" s="117">
        <v>85</v>
      </c>
      <c r="S10" s="117">
        <v>85</v>
      </c>
      <c r="T10" s="117">
        <v>85</v>
      </c>
      <c r="U10" s="117">
        <v>85</v>
      </c>
      <c r="V10" s="117">
        <v>85</v>
      </c>
      <c r="W10" s="117">
        <v>85</v>
      </c>
      <c r="X10" s="117">
        <v>85</v>
      </c>
      <c r="Y10" s="117">
        <v>85</v>
      </c>
      <c r="Z10" s="117">
        <v>85</v>
      </c>
      <c r="AA10" s="117">
        <v>85</v>
      </c>
      <c r="AB10" s="117">
        <v>85</v>
      </c>
      <c r="AC10" s="117">
        <v>85</v>
      </c>
      <c r="AD10" s="117">
        <v>85</v>
      </c>
      <c r="AE10" s="117">
        <v>85</v>
      </c>
      <c r="AF10" s="117">
        <v>274</v>
      </c>
      <c r="AG10" s="117">
        <v>85</v>
      </c>
      <c r="AH10" s="117">
        <v>85</v>
      </c>
      <c r="AI10" s="3"/>
      <c r="AJ10" s="117">
        <v>86</v>
      </c>
    </row>
    <row x14ac:dyDescent="0.25" r="11" customHeight="1" ht="15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114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</row>
    <row x14ac:dyDescent="0.25" r="12" customHeight="1" ht="15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1025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114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  <c r="AI12" s="3"/>
      <c r="AJ12" s="31" t="s">
        <v>52</v>
      </c>
    </row>
    <row x14ac:dyDescent="0.25" r="13" customHeight="1" ht="15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1094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114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</row>
    <row x14ac:dyDescent="0.25" r="14" customHeight="1" ht="15.75">
      <c r="A14" s="30" t="s">
        <v>126</v>
      </c>
      <c r="B14" s="31" t="s">
        <v>52</v>
      </c>
      <c r="C14" s="31" t="s">
        <v>52</v>
      </c>
      <c r="D14" s="31" t="s">
        <v>52</v>
      </c>
      <c r="E14" s="31" t="s">
        <v>52</v>
      </c>
      <c r="F14" s="31" t="s">
        <v>1025</v>
      </c>
      <c r="G14" s="31" t="s">
        <v>52</v>
      </c>
      <c r="H14" s="31" t="s">
        <v>52</v>
      </c>
      <c r="I14" s="31" t="s">
        <v>52</v>
      </c>
      <c r="J14" s="31" t="s">
        <v>52</v>
      </c>
      <c r="K14" s="31" t="s">
        <v>52</v>
      </c>
      <c r="L14" s="114" t="s">
        <v>52</v>
      </c>
      <c r="M14" s="31" t="s">
        <v>52</v>
      </c>
      <c r="N14" s="31" t="s">
        <v>52</v>
      </c>
      <c r="O14" s="31" t="s">
        <v>52</v>
      </c>
      <c r="P14" s="31" t="s">
        <v>52</v>
      </c>
      <c r="Q14" s="31" t="s">
        <v>52</v>
      </c>
      <c r="R14" s="31" t="s">
        <v>52</v>
      </c>
      <c r="S14" s="31" t="s">
        <v>52</v>
      </c>
      <c r="T14" s="31" t="s">
        <v>52</v>
      </c>
      <c r="U14" s="31" t="s">
        <v>52</v>
      </c>
      <c r="V14" s="31" t="s">
        <v>52</v>
      </c>
      <c r="W14" s="31" t="s">
        <v>52</v>
      </c>
      <c r="X14" s="31" t="s">
        <v>52</v>
      </c>
      <c r="Y14" s="31" t="s">
        <v>52</v>
      </c>
      <c r="Z14" s="31" t="s">
        <v>52</v>
      </c>
      <c r="AA14" s="31" t="s">
        <v>52</v>
      </c>
      <c r="AB14" s="31" t="s">
        <v>52</v>
      </c>
      <c r="AC14" s="31" t="s">
        <v>52</v>
      </c>
      <c r="AD14" s="31" t="s">
        <v>52</v>
      </c>
      <c r="AE14" s="31" t="s">
        <v>52</v>
      </c>
      <c r="AF14" s="119" t="s">
        <v>843</v>
      </c>
      <c r="AG14" s="31" t="s">
        <v>52</v>
      </c>
      <c r="AH14" s="31" t="s">
        <v>52</v>
      </c>
      <c r="AI14" s="3"/>
      <c r="AJ14" s="31" t="s">
        <v>52</v>
      </c>
    </row>
    <row x14ac:dyDescent="0.25" r="15" customHeight="1" ht="15.75">
      <c r="A15" s="30" t="s">
        <v>127</v>
      </c>
      <c r="B15" s="33" t="s">
        <v>164</v>
      </c>
      <c r="C15" s="33" t="s">
        <v>164</v>
      </c>
      <c r="D15" s="33" t="s">
        <v>143</v>
      </c>
      <c r="E15" s="33" t="s">
        <v>143</v>
      </c>
      <c r="F15" s="33" t="s">
        <v>133</v>
      </c>
      <c r="G15" s="33" t="s">
        <v>143</v>
      </c>
      <c r="H15" s="33" t="s">
        <v>143</v>
      </c>
      <c r="I15" s="33" t="s">
        <v>143</v>
      </c>
      <c r="J15" s="33" t="s">
        <v>648</v>
      </c>
      <c r="K15" s="33" t="s">
        <v>133</v>
      </c>
      <c r="L15" s="31" t="s">
        <v>133</v>
      </c>
      <c r="M15" s="31" t="s">
        <v>133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1311</v>
      </c>
      <c r="AG15" s="31" t="s">
        <v>143</v>
      </c>
      <c r="AH15" s="31" t="s">
        <v>143</v>
      </c>
      <c r="AI15" s="3"/>
      <c r="AJ15" s="31" t="s">
        <v>133</v>
      </c>
    </row>
    <row x14ac:dyDescent="0.25" r="16" customHeight="1" ht="15.75">
      <c r="A16" s="30" t="s">
        <v>128</v>
      </c>
      <c r="B16" s="31">
        <f>-7/6</f>
      </c>
      <c r="C16" s="31">
        <f>-7/6</f>
      </c>
      <c r="D16" s="31">
        <v>0.75</v>
      </c>
      <c r="E16" s="31">
        <v>0.75</v>
      </c>
      <c r="F16" s="31">
        <f>AVERAGE(0,0,-1.25)</f>
      </c>
      <c r="G16" s="31">
        <v>0.75</v>
      </c>
      <c r="H16" s="31">
        <v>0.75</v>
      </c>
      <c r="I16" s="31">
        <v>0.75</v>
      </c>
      <c r="J16" s="31">
        <f>AVERAGE(0.75,0.75,0.75,0)</f>
      </c>
      <c r="K16" s="31">
        <v>0</v>
      </c>
      <c r="L16" s="31">
        <v>0</v>
      </c>
      <c r="M16" s="31">
        <v>0</v>
      </c>
      <c r="N16" s="31">
        <v>0.75</v>
      </c>
      <c r="O16" s="31">
        <v>0.75</v>
      </c>
      <c r="P16" s="31">
        <v>0.75</v>
      </c>
      <c r="Q16" s="31">
        <v>0.75</v>
      </c>
      <c r="R16" s="31">
        <v>0.75</v>
      </c>
      <c r="S16" s="31">
        <v>0.75</v>
      </c>
      <c r="T16" s="31">
        <v>0.75</v>
      </c>
      <c r="U16" s="31">
        <v>0.75</v>
      </c>
      <c r="V16" s="31">
        <v>0.75</v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f>AVERAGE(0.75,0.75,-3)</f>
      </c>
      <c r="AG16" s="31">
        <v>0.75</v>
      </c>
      <c r="AH16" s="31">
        <v>0.75</v>
      </c>
      <c r="AI16" s="3"/>
      <c r="AJ16" s="31">
        <v>0</v>
      </c>
    </row>
    <row x14ac:dyDescent="0.25" r="17" customHeight="1" ht="15.75">
      <c r="A17" s="30" t="s">
        <v>129</v>
      </c>
      <c r="B17" s="31" t="s">
        <v>167</v>
      </c>
      <c r="C17" s="31" t="s">
        <v>167</v>
      </c>
      <c r="D17" s="31" t="s">
        <v>167</v>
      </c>
      <c r="E17" s="31" t="s">
        <v>167</v>
      </c>
      <c r="F17" s="150" t="s">
        <v>1095</v>
      </c>
      <c r="G17" s="31" t="s">
        <v>167</v>
      </c>
      <c r="H17" s="31" t="s">
        <v>167</v>
      </c>
      <c r="I17" s="31" t="s">
        <v>167</v>
      </c>
      <c r="J17" s="31" t="s">
        <v>167</v>
      </c>
      <c r="K17" s="31" t="s">
        <v>167</v>
      </c>
      <c r="L17" s="31" t="s">
        <v>167</v>
      </c>
      <c r="M17" s="31" t="s">
        <v>167</v>
      </c>
      <c r="N17" s="31" t="s">
        <v>167</v>
      </c>
      <c r="O17" s="31" t="s">
        <v>167</v>
      </c>
      <c r="P17" s="31" t="s">
        <v>167</v>
      </c>
      <c r="Q17" s="31" t="s">
        <v>167</v>
      </c>
      <c r="R17" s="31" t="s">
        <v>167</v>
      </c>
      <c r="S17" s="31" t="s">
        <v>167</v>
      </c>
      <c r="T17" s="31" t="s">
        <v>167</v>
      </c>
      <c r="U17" s="31" t="s">
        <v>167</v>
      </c>
      <c r="V17" s="31" t="s">
        <v>167</v>
      </c>
      <c r="W17" s="31" t="s">
        <v>167</v>
      </c>
      <c r="X17" s="31" t="s">
        <v>167</v>
      </c>
      <c r="Y17" s="31" t="s">
        <v>167</v>
      </c>
      <c r="Z17" s="31" t="s">
        <v>167</v>
      </c>
      <c r="AA17" s="31" t="s">
        <v>167</v>
      </c>
      <c r="AB17" s="31" t="s">
        <v>167</v>
      </c>
      <c r="AC17" s="31" t="s">
        <v>167</v>
      </c>
      <c r="AD17" s="31" t="s">
        <v>167</v>
      </c>
      <c r="AE17" s="31" t="s">
        <v>167</v>
      </c>
      <c r="AF17" s="251" t="s">
        <v>1312</v>
      </c>
      <c r="AG17" s="31" t="s">
        <v>167</v>
      </c>
      <c r="AH17" s="31" t="s">
        <v>167</v>
      </c>
      <c r="AI17" s="3"/>
      <c r="AJ17" s="31" t="s">
        <v>167</v>
      </c>
    </row>
    <row x14ac:dyDescent="0.25" r="18" customHeight="1" ht="15.75">
      <c r="A18" s="30" t="s">
        <v>130</v>
      </c>
      <c r="B18" s="31">
        <v>0.75</v>
      </c>
      <c r="C18" s="31">
        <v>0.75</v>
      </c>
      <c r="D18" s="31">
        <v>0.75</v>
      </c>
      <c r="E18" s="31">
        <v>0.75</v>
      </c>
      <c r="F18" s="31">
        <f>AVERAGE(0.75,0.75,3)</f>
      </c>
      <c r="G18" s="31">
        <v>0.75</v>
      </c>
      <c r="H18" s="31">
        <v>0.75</v>
      </c>
      <c r="I18" s="31">
        <v>0.75</v>
      </c>
      <c r="J18" s="31">
        <v>0.75</v>
      </c>
      <c r="K18" s="31">
        <v>0.75</v>
      </c>
      <c r="L18" s="31">
        <v>0.75</v>
      </c>
      <c r="M18" s="31">
        <v>0.75</v>
      </c>
      <c r="N18" s="31">
        <v>0.75</v>
      </c>
      <c r="O18" s="31">
        <v>0.75</v>
      </c>
      <c r="P18" s="31">
        <v>0.75</v>
      </c>
      <c r="Q18" s="31">
        <v>0.75</v>
      </c>
      <c r="R18" s="31">
        <v>0.75</v>
      </c>
      <c r="S18" s="31">
        <v>0.75</v>
      </c>
      <c r="T18" s="31">
        <v>0.75</v>
      </c>
      <c r="U18" s="31">
        <v>0.75</v>
      </c>
      <c r="V18" s="31">
        <v>0.75</v>
      </c>
      <c r="W18" s="31">
        <v>0.75</v>
      </c>
      <c r="X18" s="31">
        <v>0.75</v>
      </c>
      <c r="Y18" s="31">
        <v>0.75</v>
      </c>
      <c r="Z18" s="31">
        <v>0.75</v>
      </c>
      <c r="AA18" s="31">
        <v>0.75</v>
      </c>
      <c r="AB18" s="31">
        <v>0.75</v>
      </c>
      <c r="AC18" s="31">
        <v>0.75</v>
      </c>
      <c r="AD18" s="31">
        <v>0.75</v>
      </c>
      <c r="AE18" s="31">
        <v>0.75</v>
      </c>
      <c r="AF18" s="31">
        <f>AVERAGE(0.75,0.75,1/3)</f>
      </c>
      <c r="AG18" s="31">
        <v>0.75</v>
      </c>
      <c r="AH18" s="31">
        <v>0.75</v>
      </c>
      <c r="AI18" s="3"/>
      <c r="AJ18" s="31">
        <v>0.75</v>
      </c>
    </row>
    <row x14ac:dyDescent="0.25" r="19" customHeight="1" ht="15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38" t="s">
        <v>1313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138" t="s">
        <v>1314</v>
      </c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209" t="s">
        <v>1315</v>
      </c>
      <c r="B21" s="40" t="s">
        <v>1316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</row>
    <row x14ac:dyDescent="0.25" r="22" customHeight="1" ht="18.75">
      <c r="A22" s="30"/>
      <c r="B22" s="40" t="s">
        <v>1317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</row>
    <row x14ac:dyDescent="0.25" r="23" customHeight="1" ht="18.75">
      <c r="A23" s="209" t="s">
        <v>1318</v>
      </c>
      <c r="B23" s="40" t="s">
        <v>1316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</row>
    <row x14ac:dyDescent="0.25" r="24" customHeight="1" ht="18.75">
      <c r="A24" s="30"/>
      <c r="B24" s="40" t="s">
        <v>1319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</row>
  </sheetData>
  <mergeCells count="7">
    <mergeCell ref="B3:D3"/>
    <mergeCell ref="F3:O3"/>
    <mergeCell ref="B4:D4"/>
    <mergeCell ref="F4:O5"/>
    <mergeCell ref="B5:D5"/>
    <mergeCell ref="A21:A22"/>
    <mergeCell ref="A23:A2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2"/>
      <c r="Y1" s="2"/>
      <c r="Z1" s="3"/>
      <c r="AA1" s="2"/>
      <c r="AB1" s="3"/>
      <c r="AC1" s="2"/>
      <c r="AD1" s="3"/>
      <c r="AE1" s="2"/>
      <c r="AF1" s="3"/>
      <c r="AG1" s="3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2"/>
      <c r="Y2" s="2"/>
      <c r="Z2" s="3"/>
      <c r="AA2" s="2"/>
      <c r="AB2" s="3"/>
      <c r="AC2" s="2"/>
      <c r="AD2" s="3"/>
      <c r="AE2" s="2"/>
      <c r="AF2" s="3"/>
      <c r="AG2" s="3"/>
      <c r="AH2" s="2"/>
    </row>
    <row x14ac:dyDescent="0.25" r="3" customHeight="1" ht="18.75">
      <c r="A3" s="1" t="s">
        <v>2</v>
      </c>
      <c r="B3" s="5">
        <v>28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3"/>
      <c r="W3" s="3"/>
      <c r="X3" s="2"/>
      <c r="Y3" s="2"/>
      <c r="Z3" s="3"/>
      <c r="AA3" s="2"/>
      <c r="AB3" s="3"/>
      <c r="AC3" s="2"/>
      <c r="AD3" s="3"/>
      <c r="AE3" s="2"/>
      <c r="AF3" s="3"/>
      <c r="AG3" s="3"/>
      <c r="AH3" s="2"/>
    </row>
    <row x14ac:dyDescent="0.25" r="4" customHeight="1" ht="18.75">
      <c r="A4" s="1" t="s">
        <v>4</v>
      </c>
      <c r="B4" s="7" t="s">
        <v>1288</v>
      </c>
      <c r="C4" s="7"/>
      <c r="D4" s="7"/>
      <c r="E4" s="2"/>
      <c r="F4" s="124" t="s">
        <v>1302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3"/>
      <c r="W4" s="3"/>
      <c r="X4" s="2"/>
      <c r="Y4" s="2"/>
      <c r="Z4" s="3"/>
      <c r="AA4" s="2"/>
      <c r="AB4" s="3"/>
      <c r="AC4" s="2"/>
      <c r="AD4" s="3"/>
      <c r="AE4" s="2"/>
      <c r="AF4" s="3"/>
      <c r="AG4" s="3"/>
      <c r="AH4" s="2"/>
    </row>
    <row x14ac:dyDescent="0.25" r="5" customHeight="1" ht="18.75">
      <c r="A5" s="1" t="s">
        <v>7</v>
      </c>
      <c r="B5" s="7" t="s">
        <v>1191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3"/>
      <c r="W5" s="3"/>
      <c r="X5" s="2"/>
      <c r="Y5" s="2"/>
      <c r="Z5" s="3"/>
      <c r="AA5" s="2"/>
      <c r="AB5" s="3"/>
      <c r="AC5" s="2"/>
      <c r="AD5" s="3"/>
      <c r="AE5" s="2"/>
      <c r="AF5" s="3"/>
      <c r="AG5" s="3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2"/>
      <c r="Y6" s="2"/>
      <c r="Z6" s="3"/>
      <c r="AA6" s="2"/>
      <c r="AB6" s="3"/>
      <c r="AC6" s="2"/>
      <c r="AD6" s="3"/>
      <c r="AE6" s="2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44</v>
      </c>
      <c r="C8" s="33" t="s">
        <v>132</v>
      </c>
      <c r="D8" s="33" t="s">
        <v>132</v>
      </c>
      <c r="E8" s="31" t="s">
        <v>220</v>
      </c>
      <c r="F8" s="31" t="s">
        <v>220</v>
      </c>
      <c r="G8" s="33" t="s">
        <v>132</v>
      </c>
      <c r="H8" s="33" t="s">
        <v>132</v>
      </c>
      <c r="I8" s="33" t="s">
        <v>132</v>
      </c>
      <c r="J8" s="33" t="s">
        <v>301</v>
      </c>
      <c r="K8" s="33" t="s">
        <v>132</v>
      </c>
      <c r="L8" s="33" t="s">
        <v>132</v>
      </c>
      <c r="M8" s="33" t="s">
        <v>132</v>
      </c>
      <c r="N8" s="33" t="s">
        <v>268</v>
      </c>
      <c r="O8" s="31" t="s">
        <v>268</v>
      </c>
      <c r="P8" s="33" t="s">
        <v>132</v>
      </c>
      <c r="Q8" s="33" t="s">
        <v>132</v>
      </c>
      <c r="R8" s="33" t="s">
        <v>607</v>
      </c>
      <c r="S8" s="33" t="s">
        <v>1291</v>
      </c>
      <c r="T8" s="33" t="s">
        <v>411</v>
      </c>
      <c r="U8" s="33" t="s">
        <v>801</v>
      </c>
      <c r="V8" s="34" t="s">
        <v>735</v>
      </c>
      <c r="W8" s="34" t="s">
        <v>411</v>
      </c>
      <c r="X8" s="33" t="s">
        <v>132</v>
      </c>
      <c r="Y8" s="33" t="s">
        <v>735</v>
      </c>
      <c r="Z8" s="34"/>
      <c r="AA8" s="33" t="s">
        <v>735</v>
      </c>
      <c r="AB8" s="34"/>
      <c r="AC8" s="33" t="s">
        <v>132</v>
      </c>
      <c r="AD8" s="34"/>
      <c r="AE8" s="33" t="s">
        <v>132</v>
      </c>
      <c r="AF8" s="34"/>
      <c r="AG8" s="34"/>
      <c r="AH8" s="33" t="s">
        <v>132</v>
      </c>
    </row>
    <row x14ac:dyDescent="0.25" r="9" customHeight="1" ht="18.75">
      <c r="A9" s="30" t="s">
        <v>45</v>
      </c>
      <c r="B9" s="33" t="s">
        <v>132</v>
      </c>
      <c r="C9" s="31" t="s">
        <v>271</v>
      </c>
      <c r="D9" s="31" t="s">
        <v>271</v>
      </c>
      <c r="E9" s="33" t="s">
        <v>227</v>
      </c>
      <c r="F9" s="33" t="s">
        <v>227</v>
      </c>
      <c r="G9" s="33" t="s">
        <v>220</v>
      </c>
      <c r="H9" s="31" t="s">
        <v>228</v>
      </c>
      <c r="I9" s="31" t="s">
        <v>228</v>
      </c>
      <c r="J9" s="33" t="s">
        <v>294</v>
      </c>
      <c r="K9" s="31" t="s">
        <v>271</v>
      </c>
      <c r="L9" s="31" t="s">
        <v>272</v>
      </c>
      <c r="M9" s="31" t="s">
        <v>271</v>
      </c>
      <c r="N9" s="119" t="s">
        <v>519</v>
      </c>
      <c r="O9" s="31" t="s">
        <v>271</v>
      </c>
      <c r="P9" s="31" t="s">
        <v>271</v>
      </c>
      <c r="Q9" s="31" t="s">
        <v>271</v>
      </c>
      <c r="R9" s="31" t="s">
        <v>272</v>
      </c>
      <c r="S9" s="33" t="s">
        <v>1292</v>
      </c>
      <c r="T9" s="33" t="s">
        <v>806</v>
      </c>
      <c r="U9" s="33" t="s">
        <v>807</v>
      </c>
      <c r="V9" s="34"/>
      <c r="W9" s="34"/>
      <c r="X9" s="33" t="s">
        <v>132</v>
      </c>
      <c r="Y9" s="31" t="s">
        <v>272</v>
      </c>
      <c r="Z9" s="34"/>
      <c r="AA9" s="31" t="s">
        <v>272</v>
      </c>
      <c r="AB9" s="34"/>
      <c r="AC9" s="33" t="s">
        <v>132</v>
      </c>
      <c r="AD9" s="34"/>
      <c r="AE9" s="33" t="s">
        <v>132</v>
      </c>
      <c r="AF9" s="34"/>
      <c r="AG9" s="34"/>
      <c r="AH9" s="31" t="s">
        <v>271</v>
      </c>
    </row>
    <row x14ac:dyDescent="0.25" r="10" customHeight="1" ht="18.75">
      <c r="A10" s="35" t="s">
        <v>47</v>
      </c>
      <c r="B10" s="117">
        <v>98</v>
      </c>
      <c r="C10" s="117">
        <v>57</v>
      </c>
      <c r="D10" s="117">
        <v>57</v>
      </c>
      <c r="E10" s="117">
        <v>56</v>
      </c>
      <c r="F10" s="117">
        <v>56</v>
      </c>
      <c r="G10" s="117">
        <v>63</v>
      </c>
      <c r="H10" s="117">
        <v>68</v>
      </c>
      <c r="I10" s="117">
        <v>68</v>
      </c>
      <c r="J10" s="117">
        <v>34</v>
      </c>
      <c r="K10" s="117">
        <v>57</v>
      </c>
      <c r="L10" s="117">
        <v>35</v>
      </c>
      <c r="M10" s="117">
        <v>57</v>
      </c>
      <c r="N10" s="117">
        <v>194</v>
      </c>
      <c r="O10" s="117">
        <v>57</v>
      </c>
      <c r="P10" s="117">
        <v>57</v>
      </c>
      <c r="Q10" s="117">
        <v>57</v>
      </c>
      <c r="R10" s="117">
        <v>35</v>
      </c>
      <c r="S10" s="117">
        <v>107</v>
      </c>
      <c r="T10" s="117">
        <v>111</v>
      </c>
      <c r="U10" s="117">
        <v>108</v>
      </c>
      <c r="V10" s="37"/>
      <c r="W10" s="37"/>
      <c r="X10" s="117">
        <v>98</v>
      </c>
      <c r="Y10" s="117">
        <v>35</v>
      </c>
      <c r="Z10" s="37"/>
      <c r="AA10" s="117">
        <v>35</v>
      </c>
      <c r="AB10" s="37"/>
      <c r="AC10" s="117">
        <v>98</v>
      </c>
      <c r="AD10" s="37"/>
      <c r="AE10" s="117">
        <v>98</v>
      </c>
      <c r="AF10" s="37"/>
      <c r="AG10" s="37"/>
      <c r="AH10" s="117">
        <v>57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3" t="s">
        <v>52</v>
      </c>
      <c r="H11" s="33" t="s">
        <v>52</v>
      </c>
      <c r="I11" s="33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2"/>
      <c r="W11" s="32"/>
      <c r="X11" s="31" t="s">
        <v>52</v>
      </c>
      <c r="Y11" s="31" t="s">
        <v>52</v>
      </c>
      <c r="Z11" s="32"/>
      <c r="AA11" s="31" t="s">
        <v>52</v>
      </c>
      <c r="AB11" s="32"/>
      <c r="AC11" s="31" t="s">
        <v>52</v>
      </c>
      <c r="AD11" s="32"/>
      <c r="AE11" s="31" t="s">
        <v>52</v>
      </c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49</v>
      </c>
      <c r="F12" s="31" t="s">
        <v>49</v>
      </c>
      <c r="G12" s="31" t="s">
        <v>49</v>
      </c>
      <c r="H12" s="33" t="s">
        <v>52</v>
      </c>
      <c r="I12" s="33" t="s">
        <v>52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2"/>
      <c r="W12" s="32"/>
      <c r="X12" s="31" t="s">
        <v>52</v>
      </c>
      <c r="Y12" s="31" t="s">
        <v>52</v>
      </c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49</v>
      </c>
      <c r="H13" s="31" t="s">
        <v>49</v>
      </c>
      <c r="I13" s="31" t="s">
        <v>49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48" t="s">
        <v>162</v>
      </c>
      <c r="T13" s="31" t="s">
        <v>52</v>
      </c>
      <c r="U13" s="31" t="s">
        <v>52</v>
      </c>
      <c r="V13" s="32"/>
      <c r="W13" s="32"/>
      <c r="X13" s="31" t="s">
        <v>49</v>
      </c>
      <c r="Y13" s="31" t="s">
        <v>52</v>
      </c>
      <c r="Z13" s="32"/>
      <c r="AA13" s="31" t="s">
        <v>52</v>
      </c>
      <c r="AB13" s="32"/>
      <c r="AC13" s="31" t="s">
        <v>49</v>
      </c>
      <c r="AD13" s="32"/>
      <c r="AE13" s="31" t="s">
        <v>49</v>
      </c>
      <c r="AF13" s="32"/>
      <c r="AG13" s="32"/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2"/>
      <c r="W14" s="32"/>
      <c r="X14" s="31" t="s">
        <v>49</v>
      </c>
      <c r="Y14" s="31" t="s">
        <v>49</v>
      </c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133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31" t="s">
        <v>234</v>
      </c>
      <c r="H15" s="31" t="s">
        <v>235</v>
      </c>
      <c r="I15" s="31" t="s">
        <v>235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520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143</v>
      </c>
      <c r="T15" s="31" t="s">
        <v>143</v>
      </c>
      <c r="U15" s="31" t="s">
        <v>194</v>
      </c>
      <c r="V15" s="32"/>
      <c r="W15" s="32"/>
      <c r="X15" s="31" t="s">
        <v>133</v>
      </c>
      <c r="Y15" s="31" t="s">
        <v>133</v>
      </c>
      <c r="Z15" s="32"/>
      <c r="AA15" s="31" t="s">
        <v>133</v>
      </c>
      <c r="AB15" s="32"/>
      <c r="AC15" s="31" t="s">
        <v>133</v>
      </c>
      <c r="AD15" s="32"/>
      <c r="AE15" s="31" t="s">
        <v>133</v>
      </c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-2</v>
      </c>
      <c r="C16" s="31">
        <v>-0.5</v>
      </c>
      <c r="D16" s="31">
        <v>-0.5</v>
      </c>
      <c r="E16" s="31">
        <v>-0.5</v>
      </c>
      <c r="F16" s="31">
        <v>-0.5</v>
      </c>
      <c r="G16" s="31">
        <v>-3</v>
      </c>
      <c r="H16" s="31">
        <v>-6</v>
      </c>
      <c r="I16" s="31">
        <v>-6</v>
      </c>
      <c r="J16" s="31">
        <v>-0.5</v>
      </c>
      <c r="K16" s="31">
        <v>-0.5</v>
      </c>
      <c r="L16" s="31">
        <v>-0.5</v>
      </c>
      <c r="M16" s="31">
        <v>-0.5</v>
      </c>
      <c r="N16" s="31">
        <f>AVERAGE(-0.5,-0.5,0.5)</f>
      </c>
      <c r="O16" s="31">
        <v>-0.5</v>
      </c>
      <c r="P16" s="31">
        <v>-0.5</v>
      </c>
      <c r="Q16" s="31">
        <v>-0.5</v>
      </c>
      <c r="R16" s="31">
        <v>-0.5</v>
      </c>
      <c r="S16" s="31">
        <f>AVERAGE(1,2)</f>
      </c>
      <c r="T16" s="31">
        <v>1</v>
      </c>
      <c r="U16" s="31">
        <f>AVERAGE(-0.5,1)</f>
      </c>
      <c r="V16" s="31"/>
      <c r="W16" s="31"/>
      <c r="X16" s="31">
        <v>-2</v>
      </c>
      <c r="Y16" s="31">
        <v>-0.5</v>
      </c>
      <c r="Z16" s="31"/>
      <c r="AA16" s="31">
        <v>-0.5</v>
      </c>
      <c r="AB16" s="31"/>
      <c r="AC16" s="31">
        <v>-2</v>
      </c>
      <c r="AD16" s="31"/>
      <c r="AE16" s="31">
        <v>-2</v>
      </c>
      <c r="AF16" s="31"/>
      <c r="AG16" s="31"/>
      <c r="AH16" s="31">
        <v>-0.5</v>
      </c>
    </row>
    <row x14ac:dyDescent="0.25" r="17" customHeight="1" ht="18.75">
      <c r="A17" s="30" t="s">
        <v>129</v>
      </c>
      <c r="B17" s="31" t="s">
        <v>134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274</v>
      </c>
      <c r="K17" s="31" t="s">
        <v>169</v>
      </c>
      <c r="L17" s="31" t="s">
        <v>274</v>
      </c>
      <c r="M17" s="31" t="s">
        <v>169</v>
      </c>
      <c r="N17" s="31" t="s">
        <v>274</v>
      </c>
      <c r="O17" s="31" t="s">
        <v>169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812</v>
      </c>
      <c r="U17" s="31" t="s">
        <v>813</v>
      </c>
      <c r="V17" s="32"/>
      <c r="W17" s="32"/>
      <c r="X17" s="31" t="s">
        <v>134</v>
      </c>
      <c r="Y17" s="31" t="s">
        <v>274</v>
      </c>
      <c r="Z17" s="32"/>
      <c r="AA17" s="31" t="s">
        <v>274</v>
      </c>
      <c r="AB17" s="32"/>
      <c r="AC17" s="31" t="s">
        <v>134</v>
      </c>
      <c r="AD17" s="32"/>
      <c r="AE17" s="31" t="s">
        <v>134</v>
      </c>
      <c r="AF17" s="32"/>
      <c r="AG17" s="32"/>
      <c r="AH17" s="31" t="s">
        <v>169</v>
      </c>
    </row>
    <row x14ac:dyDescent="0.25" r="18" customHeight="1" ht="18.75">
      <c r="A18" s="30" t="s">
        <v>130</v>
      </c>
      <c r="B18" s="31">
        <f>1/3</f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3</v>
      </c>
      <c r="K18" s="31">
        <v>2</v>
      </c>
      <c r="L18" s="31">
        <v>3</v>
      </c>
      <c r="M18" s="31">
        <v>2</v>
      </c>
      <c r="N18" s="31">
        <v>3</v>
      </c>
      <c r="O18" s="31">
        <v>2</v>
      </c>
      <c r="P18" s="31">
        <v>2</v>
      </c>
      <c r="Q18" s="31">
        <v>2</v>
      </c>
      <c r="R18" s="31">
        <v>3</v>
      </c>
      <c r="S18" s="31">
        <f>AVERAGE(3,2)</f>
      </c>
      <c r="T18" s="31">
        <f>AVERAGE(2,2,3)</f>
      </c>
      <c r="U18" s="31">
        <f>AVERAGE(3,2)</f>
      </c>
      <c r="V18" s="31"/>
      <c r="W18" s="31"/>
      <c r="X18" s="31">
        <f>1/3</f>
      </c>
      <c r="Y18" s="31">
        <v>3</v>
      </c>
      <c r="Z18" s="31"/>
      <c r="AA18" s="31">
        <v>3</v>
      </c>
      <c r="AB18" s="31"/>
      <c r="AC18" s="31">
        <f>1/3</f>
      </c>
      <c r="AD18" s="31"/>
      <c r="AE18" s="31">
        <f>1/3</f>
      </c>
      <c r="AF18" s="31"/>
      <c r="AG18" s="31"/>
      <c r="AH18" s="31">
        <v>2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2"/>
      <c r="Y19" s="2"/>
      <c r="Z19" s="3"/>
      <c r="AA19" s="2"/>
      <c r="AB19" s="3"/>
      <c r="AC19" s="2"/>
      <c r="AD19" s="3"/>
      <c r="AE19" s="2"/>
      <c r="AF19" s="3"/>
      <c r="AG19" s="3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2"/>
      <c r="Y20" s="2"/>
      <c r="Z20" s="3"/>
      <c r="AA20" s="2"/>
      <c r="AB20" s="3"/>
      <c r="AC20" s="2"/>
      <c r="AD20" s="3"/>
      <c r="AE20" s="2"/>
      <c r="AF20" s="3"/>
      <c r="AG20" s="3"/>
      <c r="AH20" s="2"/>
    </row>
    <row x14ac:dyDescent="0.25" r="21" customHeight="1" ht="18.75">
      <c r="A21" s="209" t="s">
        <v>1303</v>
      </c>
      <c r="B21" s="40" t="s">
        <v>1294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2"/>
      <c r="Y21" s="2"/>
      <c r="Z21" s="3"/>
      <c r="AA21" s="2"/>
      <c r="AB21" s="3"/>
      <c r="AC21" s="2"/>
      <c r="AD21" s="3"/>
      <c r="AE21" s="2"/>
      <c r="AF21" s="3"/>
      <c r="AG21" s="3"/>
      <c r="AH21" s="2"/>
    </row>
    <row x14ac:dyDescent="0.25" r="22" customHeight="1" ht="18.75">
      <c r="A22" s="30"/>
      <c r="B22" s="40" t="s">
        <v>1304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2"/>
      <c r="Y22" s="2"/>
      <c r="Z22" s="3"/>
      <c r="AA22" s="2"/>
      <c r="AB22" s="3"/>
      <c r="AC22" s="2"/>
      <c r="AD22" s="3"/>
      <c r="AE22" s="2"/>
      <c r="AF22" s="3"/>
      <c r="AG22" s="3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2"/>
      <c r="AB1" s="3"/>
      <c r="AC1" s="2"/>
      <c r="AD1" s="3"/>
      <c r="AE1" s="2"/>
      <c r="AF1" s="3"/>
      <c r="AG1" s="3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  <c r="AA2" s="2"/>
      <c r="AB2" s="3"/>
      <c r="AC2" s="2"/>
      <c r="AD2" s="3"/>
      <c r="AE2" s="2"/>
      <c r="AF2" s="3"/>
      <c r="AG2" s="3"/>
      <c r="AH2" s="2"/>
    </row>
    <row x14ac:dyDescent="0.25" r="3" customHeight="1" ht="18.75">
      <c r="A3" s="1" t="s">
        <v>2</v>
      </c>
      <c r="B3" s="5">
        <v>29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3"/>
      <c r="W3" s="3"/>
      <c r="X3" s="3"/>
      <c r="Y3" s="3"/>
      <c r="Z3" s="3"/>
      <c r="AA3" s="2"/>
      <c r="AB3" s="3"/>
      <c r="AC3" s="2"/>
      <c r="AD3" s="3"/>
      <c r="AE3" s="2"/>
      <c r="AF3" s="3"/>
      <c r="AG3" s="3"/>
      <c r="AH3" s="2"/>
    </row>
    <row x14ac:dyDescent="0.25" r="4" customHeight="1" ht="18.75">
      <c r="A4" s="1" t="s">
        <v>4</v>
      </c>
      <c r="B4" s="7" t="s">
        <v>1288</v>
      </c>
      <c r="C4" s="7"/>
      <c r="D4" s="7"/>
      <c r="E4" s="2"/>
      <c r="F4" s="124" t="s">
        <v>1296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3"/>
      <c r="W4" s="3"/>
      <c r="X4" s="3"/>
      <c r="Y4" s="3"/>
      <c r="Z4" s="3"/>
      <c r="AA4" s="2"/>
      <c r="AB4" s="3"/>
      <c r="AC4" s="2"/>
      <c r="AD4" s="3"/>
      <c r="AE4" s="2"/>
      <c r="AF4" s="3"/>
      <c r="AG4" s="3"/>
      <c r="AH4" s="2"/>
    </row>
    <row x14ac:dyDescent="0.25" r="5" customHeight="1" ht="18.75">
      <c r="A5" s="1" t="s">
        <v>7</v>
      </c>
      <c r="B5" s="7" t="s">
        <v>1297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3"/>
      <c r="W5" s="3"/>
      <c r="X5" s="3"/>
      <c r="Y5" s="3"/>
      <c r="Z5" s="3"/>
      <c r="AA5" s="2"/>
      <c r="AB5" s="3"/>
      <c r="AC5" s="2"/>
      <c r="AD5" s="3"/>
      <c r="AE5" s="2"/>
      <c r="AF5" s="3"/>
      <c r="AG5" s="3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3"/>
      <c r="Z6" s="3"/>
      <c r="AA6" s="2"/>
      <c r="AB6" s="3"/>
      <c r="AC6" s="2"/>
      <c r="AD6" s="3"/>
      <c r="AE6" s="2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44</v>
      </c>
      <c r="C8" s="33" t="s">
        <v>132</v>
      </c>
      <c r="D8" s="33" t="s">
        <v>132</v>
      </c>
      <c r="E8" s="31" t="s">
        <v>220</v>
      </c>
      <c r="F8" s="31" t="s">
        <v>220</v>
      </c>
      <c r="G8" s="146" t="s">
        <v>358</v>
      </c>
      <c r="H8" s="146" t="s">
        <v>358</v>
      </c>
      <c r="I8" s="146" t="s">
        <v>358</v>
      </c>
      <c r="J8" s="33" t="s">
        <v>301</v>
      </c>
      <c r="K8" s="33" t="s">
        <v>132</v>
      </c>
      <c r="L8" s="33" t="s">
        <v>132</v>
      </c>
      <c r="M8" s="33" t="s">
        <v>132</v>
      </c>
      <c r="N8" s="33" t="s">
        <v>268</v>
      </c>
      <c r="O8" s="31" t="s">
        <v>268</v>
      </c>
      <c r="P8" s="33" t="s">
        <v>1291</v>
      </c>
      <c r="Q8" s="33" t="s">
        <v>1291</v>
      </c>
      <c r="R8" s="33" t="s">
        <v>607</v>
      </c>
      <c r="S8" s="33" t="s">
        <v>1291</v>
      </c>
      <c r="T8" s="33" t="s">
        <v>411</v>
      </c>
      <c r="U8" s="33" t="s">
        <v>801</v>
      </c>
      <c r="V8" s="34" t="s">
        <v>1298</v>
      </c>
      <c r="W8" s="34" t="s">
        <v>411</v>
      </c>
      <c r="X8" s="34" t="s">
        <v>1299</v>
      </c>
      <c r="Y8" s="34" t="s">
        <v>735</v>
      </c>
      <c r="Z8" s="34"/>
      <c r="AA8" s="33" t="s">
        <v>735</v>
      </c>
      <c r="AB8" s="34"/>
      <c r="AC8" s="33" t="s">
        <v>132</v>
      </c>
      <c r="AD8" s="34"/>
      <c r="AE8" s="33" t="s">
        <v>132</v>
      </c>
      <c r="AF8" s="34"/>
      <c r="AG8" s="34"/>
      <c r="AH8" s="33" t="s">
        <v>132</v>
      </c>
    </row>
    <row x14ac:dyDescent="0.25" r="9" customHeight="1" ht="18.75">
      <c r="A9" s="30" t="s">
        <v>45</v>
      </c>
      <c r="B9" s="33" t="s">
        <v>132</v>
      </c>
      <c r="C9" s="31" t="s">
        <v>271</v>
      </c>
      <c r="D9" s="31" t="s">
        <v>271</v>
      </c>
      <c r="E9" s="33" t="s">
        <v>227</v>
      </c>
      <c r="F9" s="33" t="s">
        <v>227</v>
      </c>
      <c r="G9" s="146" t="s">
        <v>358</v>
      </c>
      <c r="H9" s="146" t="s">
        <v>358</v>
      </c>
      <c r="I9" s="146" t="s">
        <v>358</v>
      </c>
      <c r="J9" s="33" t="s">
        <v>294</v>
      </c>
      <c r="K9" s="31" t="s">
        <v>271</v>
      </c>
      <c r="L9" s="31" t="s">
        <v>272</v>
      </c>
      <c r="M9" s="31" t="s">
        <v>271</v>
      </c>
      <c r="N9" s="119" t="s">
        <v>519</v>
      </c>
      <c r="O9" s="31" t="s">
        <v>271</v>
      </c>
      <c r="P9" s="31" t="s">
        <v>271</v>
      </c>
      <c r="Q9" s="31" t="s">
        <v>271</v>
      </c>
      <c r="R9" s="31" t="s">
        <v>272</v>
      </c>
      <c r="S9" s="33" t="s">
        <v>1292</v>
      </c>
      <c r="T9" s="33" t="s">
        <v>806</v>
      </c>
      <c r="U9" s="33" t="s">
        <v>807</v>
      </c>
      <c r="V9" s="34"/>
      <c r="W9" s="34"/>
      <c r="X9" s="34"/>
      <c r="Y9" s="34"/>
      <c r="Z9" s="34"/>
      <c r="AA9" s="31" t="s">
        <v>272</v>
      </c>
      <c r="AB9" s="34"/>
      <c r="AC9" s="33" t="s">
        <v>132</v>
      </c>
      <c r="AD9" s="34"/>
      <c r="AE9" s="33" t="s">
        <v>132</v>
      </c>
      <c r="AF9" s="34"/>
      <c r="AG9" s="34"/>
      <c r="AH9" s="31" t="s">
        <v>271</v>
      </c>
    </row>
    <row x14ac:dyDescent="0.25" r="10" customHeight="1" ht="18.75">
      <c r="A10" s="35" t="s">
        <v>47</v>
      </c>
      <c r="B10" s="117">
        <v>98</v>
      </c>
      <c r="C10" s="117">
        <v>57</v>
      </c>
      <c r="D10" s="117">
        <v>57</v>
      </c>
      <c r="E10" s="117">
        <v>56</v>
      </c>
      <c r="F10" s="117">
        <v>56</v>
      </c>
      <c r="G10" s="144"/>
      <c r="H10" s="144"/>
      <c r="I10" s="144"/>
      <c r="J10" s="117">
        <v>34</v>
      </c>
      <c r="K10" s="117">
        <v>57</v>
      </c>
      <c r="L10" s="117">
        <v>35</v>
      </c>
      <c r="M10" s="117">
        <v>57</v>
      </c>
      <c r="N10" s="117">
        <v>194</v>
      </c>
      <c r="O10" s="117">
        <v>57</v>
      </c>
      <c r="P10" s="117">
        <v>57</v>
      </c>
      <c r="Q10" s="117">
        <v>57</v>
      </c>
      <c r="R10" s="117">
        <v>35</v>
      </c>
      <c r="S10" s="117">
        <v>107</v>
      </c>
      <c r="T10" s="117">
        <v>111</v>
      </c>
      <c r="U10" s="117">
        <v>108</v>
      </c>
      <c r="V10" s="37"/>
      <c r="W10" s="37"/>
      <c r="X10" s="37"/>
      <c r="Y10" s="37"/>
      <c r="Z10" s="37"/>
      <c r="AA10" s="117">
        <v>35</v>
      </c>
      <c r="AB10" s="37"/>
      <c r="AC10" s="117">
        <v>98</v>
      </c>
      <c r="AD10" s="37"/>
      <c r="AE10" s="117">
        <v>98</v>
      </c>
      <c r="AF10" s="37"/>
      <c r="AG10" s="37"/>
      <c r="AH10" s="117">
        <v>57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143" t="s">
        <v>49</v>
      </c>
      <c r="H11" s="143" t="s">
        <v>49</v>
      </c>
      <c r="I11" s="143" t="s">
        <v>49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2"/>
      <c r="W11" s="32"/>
      <c r="X11" s="32"/>
      <c r="Y11" s="32"/>
      <c r="Z11" s="32"/>
      <c r="AA11" s="31" t="s">
        <v>52</v>
      </c>
      <c r="AB11" s="32"/>
      <c r="AC11" s="31" t="s">
        <v>52</v>
      </c>
      <c r="AD11" s="32"/>
      <c r="AE11" s="31" t="s">
        <v>52</v>
      </c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49</v>
      </c>
      <c r="F12" s="31" t="s">
        <v>49</v>
      </c>
      <c r="G12" s="143" t="s">
        <v>52</v>
      </c>
      <c r="H12" s="143" t="s">
        <v>52</v>
      </c>
      <c r="I12" s="143" t="s">
        <v>52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2"/>
      <c r="W12" s="32"/>
      <c r="X12" s="32"/>
      <c r="Y12" s="32"/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31" t="s">
        <v>52</v>
      </c>
      <c r="G13" s="143" t="s">
        <v>49</v>
      </c>
      <c r="H13" s="143" t="s">
        <v>49</v>
      </c>
      <c r="I13" s="143" t="s">
        <v>49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48" t="s">
        <v>162</v>
      </c>
      <c r="T13" s="31" t="s">
        <v>52</v>
      </c>
      <c r="U13" s="31" t="s">
        <v>52</v>
      </c>
      <c r="V13" s="32"/>
      <c r="W13" s="32"/>
      <c r="X13" s="32"/>
      <c r="Y13" s="32"/>
      <c r="Z13" s="32"/>
      <c r="AA13" s="31" t="s">
        <v>52</v>
      </c>
      <c r="AB13" s="32"/>
      <c r="AC13" s="31" t="s">
        <v>49</v>
      </c>
      <c r="AD13" s="32"/>
      <c r="AE13" s="31" t="s">
        <v>49</v>
      </c>
      <c r="AF13" s="32"/>
      <c r="AG13" s="32"/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2"/>
      <c r="W14" s="32"/>
      <c r="X14" s="32"/>
      <c r="Y14" s="32"/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133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143" t="s">
        <v>133</v>
      </c>
      <c r="H15" s="143" t="s">
        <v>133</v>
      </c>
      <c r="I15" s="143" t="s">
        <v>133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520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143</v>
      </c>
      <c r="T15" s="31" t="s">
        <v>143</v>
      </c>
      <c r="U15" s="31" t="s">
        <v>194</v>
      </c>
      <c r="V15" s="32"/>
      <c r="W15" s="32"/>
      <c r="X15" s="32"/>
      <c r="Y15" s="32"/>
      <c r="Z15" s="32"/>
      <c r="AA15" s="31" t="s">
        <v>133</v>
      </c>
      <c r="AB15" s="32"/>
      <c r="AC15" s="31" t="s">
        <v>133</v>
      </c>
      <c r="AD15" s="32"/>
      <c r="AE15" s="31" t="s">
        <v>133</v>
      </c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-2</v>
      </c>
      <c r="C16" s="31">
        <v>-0.5</v>
      </c>
      <c r="D16" s="31">
        <v>-0.5</v>
      </c>
      <c r="E16" s="31">
        <v>-0.5</v>
      </c>
      <c r="F16" s="31">
        <v>-0.5</v>
      </c>
      <c r="G16" s="143">
        <v>-2</v>
      </c>
      <c r="H16" s="143">
        <v>-2</v>
      </c>
      <c r="I16" s="143">
        <v>-2</v>
      </c>
      <c r="J16" s="31">
        <v>-0.5</v>
      </c>
      <c r="K16" s="31">
        <v>-0.5</v>
      </c>
      <c r="L16" s="31">
        <v>-0.5</v>
      </c>
      <c r="M16" s="31">
        <v>-0.5</v>
      </c>
      <c r="N16" s="31">
        <f>AVERAGE(-0.5,-0.5,0.5)</f>
      </c>
      <c r="O16" s="31">
        <v>-0.5</v>
      </c>
      <c r="P16" s="31">
        <v>-0.5</v>
      </c>
      <c r="Q16" s="31">
        <v>-0.5</v>
      </c>
      <c r="R16" s="31">
        <v>-0.5</v>
      </c>
      <c r="S16" s="31">
        <f>AVERAGE(1,2)</f>
      </c>
      <c r="T16" s="31">
        <v>1</v>
      </c>
      <c r="U16" s="31">
        <f>AVERAGE(-0.5,1)</f>
      </c>
      <c r="V16" s="31"/>
      <c r="W16" s="31"/>
      <c r="X16" s="31"/>
      <c r="Y16" s="31"/>
      <c r="Z16" s="31"/>
      <c r="AA16" s="31">
        <v>-0.5</v>
      </c>
      <c r="AB16" s="31"/>
      <c r="AC16" s="31">
        <v>-2</v>
      </c>
      <c r="AD16" s="31"/>
      <c r="AE16" s="31">
        <v>-2</v>
      </c>
      <c r="AF16" s="31"/>
      <c r="AG16" s="31"/>
      <c r="AH16" s="31">
        <v>-0.5</v>
      </c>
    </row>
    <row x14ac:dyDescent="0.25" r="17" customHeight="1" ht="18.75">
      <c r="A17" s="30" t="s">
        <v>129</v>
      </c>
      <c r="B17" s="31" t="s">
        <v>134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143" t="s">
        <v>358</v>
      </c>
      <c r="H17" s="143" t="s">
        <v>358</v>
      </c>
      <c r="I17" s="143" t="s">
        <v>358</v>
      </c>
      <c r="J17" s="31" t="s">
        <v>274</v>
      </c>
      <c r="K17" s="31" t="s">
        <v>169</v>
      </c>
      <c r="L17" s="31" t="s">
        <v>274</v>
      </c>
      <c r="M17" s="31" t="s">
        <v>169</v>
      </c>
      <c r="N17" s="31" t="s">
        <v>274</v>
      </c>
      <c r="O17" s="31" t="s">
        <v>169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812</v>
      </c>
      <c r="U17" s="31" t="s">
        <v>813</v>
      </c>
      <c r="V17" s="32"/>
      <c r="W17" s="32"/>
      <c r="X17" s="32"/>
      <c r="Y17" s="32"/>
      <c r="Z17" s="32"/>
      <c r="AA17" s="31" t="s">
        <v>274</v>
      </c>
      <c r="AB17" s="32"/>
      <c r="AC17" s="31" t="s">
        <v>134</v>
      </c>
      <c r="AD17" s="32"/>
      <c r="AE17" s="31" t="s">
        <v>134</v>
      </c>
      <c r="AF17" s="32"/>
      <c r="AG17" s="32"/>
      <c r="AH17" s="31" t="s">
        <v>169</v>
      </c>
    </row>
    <row x14ac:dyDescent="0.25" r="18" customHeight="1" ht="18.75">
      <c r="A18" s="30" t="s">
        <v>130</v>
      </c>
      <c r="B18" s="31">
        <f>1/3</f>
      </c>
      <c r="C18" s="31">
        <v>2</v>
      </c>
      <c r="D18" s="31">
        <v>2</v>
      </c>
      <c r="E18" s="31">
        <v>2</v>
      </c>
      <c r="F18" s="31">
        <v>2</v>
      </c>
      <c r="G18" s="143">
        <v>0</v>
      </c>
      <c r="H18" s="143">
        <v>0</v>
      </c>
      <c r="I18" s="143">
        <v>0</v>
      </c>
      <c r="J18" s="31">
        <v>3</v>
      </c>
      <c r="K18" s="31">
        <v>2</v>
      </c>
      <c r="L18" s="31">
        <v>3</v>
      </c>
      <c r="M18" s="31">
        <v>2</v>
      </c>
      <c r="N18" s="31">
        <v>3</v>
      </c>
      <c r="O18" s="31">
        <v>2</v>
      </c>
      <c r="P18" s="31">
        <v>2</v>
      </c>
      <c r="Q18" s="31">
        <v>2</v>
      </c>
      <c r="R18" s="31">
        <v>3</v>
      </c>
      <c r="S18" s="31">
        <f>AVERAGE(3,2)</f>
      </c>
      <c r="T18" s="31">
        <f>AVERAGE(2,2,3)</f>
      </c>
      <c r="U18" s="31">
        <f>AVERAGE(3,2)</f>
      </c>
      <c r="V18" s="31"/>
      <c r="W18" s="31"/>
      <c r="X18" s="31"/>
      <c r="Y18" s="31"/>
      <c r="Z18" s="31"/>
      <c r="AA18" s="31">
        <v>3</v>
      </c>
      <c r="AB18" s="31"/>
      <c r="AC18" s="31">
        <f>1/3</f>
      </c>
      <c r="AD18" s="31"/>
      <c r="AE18" s="31">
        <f>1/3</f>
      </c>
      <c r="AF18" s="31"/>
      <c r="AG18" s="31"/>
      <c r="AH18" s="31">
        <v>2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  <c r="Y19" s="3"/>
      <c r="Z19" s="3"/>
      <c r="AA19" s="2"/>
      <c r="AB19" s="3"/>
      <c r="AC19" s="2"/>
      <c r="AD19" s="3"/>
      <c r="AE19" s="2"/>
      <c r="AF19" s="3"/>
      <c r="AG19" s="3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3"/>
      <c r="Y20" s="3"/>
      <c r="Z20" s="3"/>
      <c r="AA20" s="2"/>
      <c r="AB20" s="3"/>
      <c r="AC20" s="2"/>
      <c r="AD20" s="3"/>
      <c r="AE20" s="2"/>
      <c r="AF20" s="3"/>
      <c r="AG20" s="3"/>
      <c r="AH20" s="2"/>
    </row>
    <row x14ac:dyDescent="0.25" r="21" customHeight="1" ht="18.75">
      <c r="A21" s="209" t="s">
        <v>1300</v>
      </c>
      <c r="B21" s="40" t="s">
        <v>1294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  <c r="Z21" s="3"/>
      <c r="AA21" s="2"/>
      <c r="AB21" s="3"/>
      <c r="AC21" s="2"/>
      <c r="AD21" s="3"/>
      <c r="AE21" s="2"/>
      <c r="AF21" s="3"/>
      <c r="AG21" s="3"/>
      <c r="AH21" s="2"/>
    </row>
    <row x14ac:dyDescent="0.25" r="22" customHeight="1" ht="18.75">
      <c r="A22" s="30"/>
      <c r="B22" s="40" t="s">
        <v>1301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3"/>
      <c r="Z22" s="3"/>
      <c r="AA22" s="2"/>
      <c r="AB22" s="3"/>
      <c r="AC22" s="2"/>
      <c r="AD22" s="3"/>
      <c r="AE22" s="2"/>
      <c r="AF22" s="3"/>
      <c r="AG22" s="3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2"/>
      <c r="Z1" s="3"/>
      <c r="AA1" s="2"/>
      <c r="AB1" s="3"/>
      <c r="AC1" s="2"/>
      <c r="AD1" s="3"/>
      <c r="AE1" s="2"/>
      <c r="AF1" s="3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2"/>
      <c r="Z2" s="3"/>
      <c r="AA2" s="2"/>
      <c r="AB2" s="3"/>
      <c r="AC2" s="2"/>
      <c r="AD2" s="3"/>
      <c r="AE2" s="2"/>
      <c r="AF2" s="3"/>
      <c r="AG2" s="2"/>
      <c r="AH2" s="2"/>
    </row>
    <row x14ac:dyDescent="0.25" r="3" customHeight="1" ht="18.75">
      <c r="A3" s="1" t="s">
        <v>2</v>
      </c>
      <c r="B3" s="5">
        <v>30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3"/>
      <c r="W3" s="3"/>
      <c r="X3" s="3"/>
      <c r="Y3" s="2"/>
      <c r="Z3" s="3"/>
      <c r="AA3" s="2"/>
      <c r="AB3" s="3"/>
      <c r="AC3" s="2"/>
      <c r="AD3" s="3"/>
      <c r="AE3" s="2"/>
      <c r="AF3" s="3"/>
      <c r="AG3" s="2"/>
      <c r="AH3" s="2"/>
    </row>
    <row x14ac:dyDescent="0.25" r="4" customHeight="1" ht="18.75">
      <c r="A4" s="1" t="s">
        <v>4</v>
      </c>
      <c r="B4" s="7" t="s">
        <v>1288</v>
      </c>
      <c r="C4" s="7"/>
      <c r="D4" s="7"/>
      <c r="E4" s="2"/>
      <c r="F4" s="124" t="s">
        <v>1289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3"/>
      <c r="W4" s="3"/>
      <c r="X4" s="3"/>
      <c r="Y4" s="2"/>
      <c r="Z4" s="3"/>
      <c r="AA4" s="2"/>
      <c r="AB4" s="3"/>
      <c r="AC4" s="2"/>
      <c r="AD4" s="3"/>
      <c r="AE4" s="2"/>
      <c r="AF4" s="3"/>
      <c r="AG4" s="2"/>
      <c r="AH4" s="2"/>
    </row>
    <row x14ac:dyDescent="0.25" r="5" customHeight="1" ht="18.75">
      <c r="A5" s="1" t="s">
        <v>7</v>
      </c>
      <c r="B5" s="7" t="s">
        <v>1290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3"/>
      <c r="W5" s="3"/>
      <c r="X5" s="3"/>
      <c r="Y5" s="2"/>
      <c r="Z5" s="3"/>
      <c r="AA5" s="2"/>
      <c r="AB5" s="3"/>
      <c r="AC5" s="2"/>
      <c r="AD5" s="3"/>
      <c r="AE5" s="2"/>
      <c r="AF5" s="3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2"/>
      <c r="Z6" s="3"/>
      <c r="AA6" s="2"/>
      <c r="AB6" s="3"/>
      <c r="AC6" s="2"/>
      <c r="AD6" s="3"/>
      <c r="AE6" s="2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77" t="s">
        <v>30</v>
      </c>
      <c r="W7" s="77" t="s">
        <v>31</v>
      </c>
      <c r="X7" s="78" t="s">
        <v>32</v>
      </c>
      <c r="Y7" s="104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44</v>
      </c>
      <c r="C8" s="33" t="s">
        <v>132</v>
      </c>
      <c r="D8" s="33" t="s">
        <v>132</v>
      </c>
      <c r="E8" s="31" t="s">
        <v>220</v>
      </c>
      <c r="F8" s="31" t="s">
        <v>220</v>
      </c>
      <c r="G8" s="33" t="s">
        <v>515</v>
      </c>
      <c r="H8" s="33" t="s">
        <v>515</v>
      </c>
      <c r="I8" s="33" t="s">
        <v>515</v>
      </c>
      <c r="J8" s="33" t="s">
        <v>301</v>
      </c>
      <c r="K8" s="33" t="s">
        <v>132</v>
      </c>
      <c r="L8" s="33" t="s">
        <v>132</v>
      </c>
      <c r="M8" s="33" t="s">
        <v>132</v>
      </c>
      <c r="N8" s="33" t="s">
        <v>268</v>
      </c>
      <c r="O8" s="31" t="s">
        <v>268</v>
      </c>
      <c r="P8" s="33" t="s">
        <v>1291</v>
      </c>
      <c r="Q8" s="33" t="s">
        <v>1291</v>
      </c>
      <c r="R8" s="33" t="s">
        <v>607</v>
      </c>
      <c r="S8" s="33" t="s">
        <v>1291</v>
      </c>
      <c r="T8" s="33" t="s">
        <v>411</v>
      </c>
      <c r="U8" s="33" t="s">
        <v>801</v>
      </c>
      <c r="V8" s="34"/>
      <c r="W8" s="34"/>
      <c r="X8" s="34"/>
      <c r="Y8" s="33" t="s">
        <v>735</v>
      </c>
      <c r="Z8" s="34"/>
      <c r="AA8" s="33" t="s">
        <v>735</v>
      </c>
      <c r="AB8" s="34"/>
      <c r="AC8" s="33" t="s">
        <v>132</v>
      </c>
      <c r="AD8" s="34"/>
      <c r="AE8" s="33" t="s">
        <v>132</v>
      </c>
      <c r="AF8" s="34"/>
      <c r="AG8" s="33" t="s">
        <v>581</v>
      </c>
      <c r="AH8" s="33" t="s">
        <v>132</v>
      </c>
    </row>
    <row x14ac:dyDescent="0.25" r="9" customHeight="1" ht="18.75">
      <c r="A9" s="30" t="s">
        <v>45</v>
      </c>
      <c r="B9" s="33" t="s">
        <v>132</v>
      </c>
      <c r="C9" s="31" t="s">
        <v>271</v>
      </c>
      <c r="D9" s="31" t="s">
        <v>271</v>
      </c>
      <c r="E9" s="33" t="s">
        <v>227</v>
      </c>
      <c r="F9" s="33" t="s">
        <v>227</v>
      </c>
      <c r="G9" s="31" t="s">
        <v>1091</v>
      </c>
      <c r="H9" s="31" t="s">
        <v>1091</v>
      </c>
      <c r="I9" s="31" t="s">
        <v>1091</v>
      </c>
      <c r="J9" s="33" t="s">
        <v>294</v>
      </c>
      <c r="K9" s="31" t="s">
        <v>271</v>
      </c>
      <c r="L9" s="31" t="s">
        <v>272</v>
      </c>
      <c r="M9" s="31" t="s">
        <v>271</v>
      </c>
      <c r="N9" s="119" t="s">
        <v>519</v>
      </c>
      <c r="O9" s="31" t="s">
        <v>271</v>
      </c>
      <c r="P9" s="31" t="s">
        <v>271</v>
      </c>
      <c r="Q9" s="31" t="s">
        <v>271</v>
      </c>
      <c r="R9" s="31" t="s">
        <v>272</v>
      </c>
      <c r="S9" s="33" t="s">
        <v>1292</v>
      </c>
      <c r="T9" s="33" t="s">
        <v>806</v>
      </c>
      <c r="U9" s="33" t="s">
        <v>807</v>
      </c>
      <c r="V9" s="34"/>
      <c r="W9" s="34"/>
      <c r="X9" s="34"/>
      <c r="Y9" s="31" t="s">
        <v>272</v>
      </c>
      <c r="Z9" s="34"/>
      <c r="AA9" s="31" t="s">
        <v>272</v>
      </c>
      <c r="AB9" s="34"/>
      <c r="AC9" s="33" t="s">
        <v>132</v>
      </c>
      <c r="AD9" s="34"/>
      <c r="AE9" s="33" t="s">
        <v>132</v>
      </c>
      <c r="AF9" s="34"/>
      <c r="AG9" s="33" t="s">
        <v>582</v>
      </c>
      <c r="AH9" s="31" t="s">
        <v>271</v>
      </c>
    </row>
    <row x14ac:dyDescent="0.25" r="10" customHeight="1" ht="18.75">
      <c r="A10" s="35" t="s">
        <v>47</v>
      </c>
      <c r="B10" s="117">
        <v>98</v>
      </c>
      <c r="C10" s="117">
        <v>57</v>
      </c>
      <c r="D10" s="117">
        <v>57</v>
      </c>
      <c r="E10" s="117">
        <v>56</v>
      </c>
      <c r="F10" s="117">
        <v>56</v>
      </c>
      <c r="G10" s="117">
        <v>39</v>
      </c>
      <c r="H10" s="117">
        <v>39</v>
      </c>
      <c r="I10" s="117">
        <v>39</v>
      </c>
      <c r="J10" s="117">
        <v>34</v>
      </c>
      <c r="K10" s="117">
        <v>57</v>
      </c>
      <c r="L10" s="117">
        <v>35</v>
      </c>
      <c r="M10" s="117">
        <v>57</v>
      </c>
      <c r="N10" s="117">
        <v>194</v>
      </c>
      <c r="O10" s="117">
        <v>57</v>
      </c>
      <c r="P10" s="117">
        <v>57</v>
      </c>
      <c r="Q10" s="117">
        <v>57</v>
      </c>
      <c r="R10" s="117">
        <v>35</v>
      </c>
      <c r="S10" s="117">
        <v>107</v>
      </c>
      <c r="T10" s="117">
        <v>111</v>
      </c>
      <c r="U10" s="117">
        <v>108</v>
      </c>
      <c r="V10" s="37"/>
      <c r="W10" s="37"/>
      <c r="X10" s="37"/>
      <c r="Y10" s="117">
        <v>35</v>
      </c>
      <c r="Z10" s="37"/>
      <c r="AA10" s="117">
        <v>35</v>
      </c>
      <c r="AB10" s="37"/>
      <c r="AC10" s="117">
        <v>98</v>
      </c>
      <c r="AD10" s="37"/>
      <c r="AE10" s="117">
        <v>98</v>
      </c>
      <c r="AF10" s="37"/>
      <c r="AG10" s="117">
        <v>27</v>
      </c>
      <c r="AH10" s="117">
        <v>57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2"/>
      <c r="W11" s="32"/>
      <c r="X11" s="32"/>
      <c r="Y11" s="31" t="s">
        <v>52</v>
      </c>
      <c r="Z11" s="32"/>
      <c r="AA11" s="31" t="s">
        <v>52</v>
      </c>
      <c r="AB11" s="32"/>
      <c r="AC11" s="31" t="s">
        <v>52</v>
      </c>
      <c r="AD11" s="32"/>
      <c r="AE11" s="31" t="s">
        <v>52</v>
      </c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49</v>
      </c>
      <c r="F12" s="31" t="s">
        <v>49</v>
      </c>
      <c r="G12" s="31" t="s">
        <v>52</v>
      </c>
      <c r="H12" s="31" t="s">
        <v>52</v>
      </c>
      <c r="I12" s="31" t="s">
        <v>52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2"/>
      <c r="W12" s="32"/>
      <c r="X12" s="32"/>
      <c r="Y12" s="31" t="s">
        <v>52</v>
      </c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2"/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49</v>
      </c>
      <c r="H13" s="31" t="s">
        <v>49</v>
      </c>
      <c r="I13" s="31" t="s">
        <v>49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1" t="s">
        <v>52</v>
      </c>
      <c r="S13" s="48" t="s">
        <v>162</v>
      </c>
      <c r="T13" s="31" t="s">
        <v>52</v>
      </c>
      <c r="U13" s="31" t="s">
        <v>52</v>
      </c>
      <c r="V13" s="32"/>
      <c r="W13" s="32"/>
      <c r="X13" s="32"/>
      <c r="Y13" s="31" t="s">
        <v>52</v>
      </c>
      <c r="Z13" s="32"/>
      <c r="AA13" s="31" t="s">
        <v>52</v>
      </c>
      <c r="AB13" s="32"/>
      <c r="AC13" s="31" t="s">
        <v>49</v>
      </c>
      <c r="AD13" s="32"/>
      <c r="AE13" s="31" t="s">
        <v>49</v>
      </c>
      <c r="AF13" s="32"/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2"/>
      <c r="W14" s="32"/>
      <c r="X14" s="32"/>
      <c r="Y14" s="31" t="s">
        <v>49</v>
      </c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133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31" t="s">
        <v>133</v>
      </c>
      <c r="H15" s="31" t="s">
        <v>133</v>
      </c>
      <c r="I15" s="31" t="s">
        <v>133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520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143</v>
      </c>
      <c r="T15" s="31" t="s">
        <v>143</v>
      </c>
      <c r="U15" s="31" t="s">
        <v>194</v>
      </c>
      <c r="V15" s="32"/>
      <c r="W15" s="32"/>
      <c r="X15" s="32"/>
      <c r="Y15" s="31" t="s">
        <v>133</v>
      </c>
      <c r="Z15" s="32"/>
      <c r="AA15" s="31" t="s">
        <v>133</v>
      </c>
      <c r="AB15" s="32"/>
      <c r="AC15" s="31" t="s">
        <v>133</v>
      </c>
      <c r="AD15" s="32"/>
      <c r="AE15" s="31" t="s">
        <v>133</v>
      </c>
      <c r="AF15" s="32"/>
      <c r="AG15" s="31" t="s">
        <v>143</v>
      </c>
      <c r="AH15" s="31" t="s">
        <v>133</v>
      </c>
    </row>
    <row x14ac:dyDescent="0.25" r="16" customHeight="1" ht="18.75">
      <c r="A16" s="30" t="s">
        <v>128</v>
      </c>
      <c r="B16" s="31">
        <v>-2</v>
      </c>
      <c r="C16" s="31">
        <v>-0.5</v>
      </c>
      <c r="D16" s="31">
        <v>-0.5</v>
      </c>
      <c r="E16" s="31">
        <v>-0.5</v>
      </c>
      <c r="F16" s="31">
        <v>-0.5</v>
      </c>
      <c r="G16" s="31">
        <v>-2</v>
      </c>
      <c r="H16" s="31">
        <v>-2</v>
      </c>
      <c r="I16" s="31">
        <v>-2</v>
      </c>
      <c r="J16" s="31">
        <v>-0.5</v>
      </c>
      <c r="K16" s="31">
        <v>-0.5</v>
      </c>
      <c r="L16" s="31">
        <v>-0.5</v>
      </c>
      <c r="M16" s="31">
        <v>-0.5</v>
      </c>
      <c r="N16" s="31">
        <f>AVERAGE(-0.5,-0.5,0.5)</f>
      </c>
      <c r="O16" s="31">
        <v>-0.5</v>
      </c>
      <c r="P16" s="31">
        <v>-0.5</v>
      </c>
      <c r="Q16" s="31">
        <v>-0.5</v>
      </c>
      <c r="R16" s="31">
        <v>-0.5</v>
      </c>
      <c r="S16" s="31">
        <f>AVERAGE(1,2)</f>
      </c>
      <c r="T16" s="31">
        <v>1</v>
      </c>
      <c r="U16" s="31">
        <f>AVERAGE(-0.5,1)</f>
      </c>
      <c r="V16" s="31"/>
      <c r="W16" s="31"/>
      <c r="X16" s="31"/>
      <c r="Y16" s="31">
        <v>-0.5</v>
      </c>
      <c r="Z16" s="31"/>
      <c r="AA16" s="31">
        <v>-0.5</v>
      </c>
      <c r="AB16" s="31"/>
      <c r="AC16" s="31">
        <v>-2</v>
      </c>
      <c r="AD16" s="31"/>
      <c r="AE16" s="31">
        <v>-2</v>
      </c>
      <c r="AF16" s="31"/>
      <c r="AG16" s="31">
        <f>4/3</f>
      </c>
      <c r="AH16" s="31">
        <v>-0.5</v>
      </c>
    </row>
    <row x14ac:dyDescent="0.25" r="17" customHeight="1" ht="18.75">
      <c r="A17" s="30" t="s">
        <v>129</v>
      </c>
      <c r="B17" s="31" t="s">
        <v>134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274</v>
      </c>
      <c r="H17" s="31" t="s">
        <v>274</v>
      </c>
      <c r="I17" s="31" t="s">
        <v>274</v>
      </c>
      <c r="J17" s="31" t="s">
        <v>274</v>
      </c>
      <c r="K17" s="31" t="s">
        <v>169</v>
      </c>
      <c r="L17" s="31" t="s">
        <v>274</v>
      </c>
      <c r="M17" s="31" t="s">
        <v>169</v>
      </c>
      <c r="N17" s="31" t="s">
        <v>274</v>
      </c>
      <c r="O17" s="31" t="s">
        <v>169</v>
      </c>
      <c r="P17" s="31" t="s">
        <v>169</v>
      </c>
      <c r="Q17" s="31" t="s">
        <v>169</v>
      </c>
      <c r="R17" s="31" t="s">
        <v>274</v>
      </c>
      <c r="S17" s="31" t="s">
        <v>813</v>
      </c>
      <c r="T17" s="31" t="s">
        <v>812</v>
      </c>
      <c r="U17" s="31" t="s">
        <v>813</v>
      </c>
      <c r="V17" s="32"/>
      <c r="W17" s="32"/>
      <c r="X17" s="32"/>
      <c r="Y17" s="31" t="s">
        <v>274</v>
      </c>
      <c r="Z17" s="32"/>
      <c r="AA17" s="31" t="s">
        <v>274</v>
      </c>
      <c r="AB17" s="32"/>
      <c r="AC17" s="31" t="s">
        <v>134</v>
      </c>
      <c r="AD17" s="32"/>
      <c r="AE17" s="31" t="s">
        <v>134</v>
      </c>
      <c r="AF17" s="32"/>
      <c r="AG17" s="31" t="s">
        <v>274</v>
      </c>
      <c r="AH17" s="31" t="s">
        <v>169</v>
      </c>
    </row>
    <row x14ac:dyDescent="0.25" r="18" customHeight="1" ht="18.75">
      <c r="A18" s="30" t="s">
        <v>130</v>
      </c>
      <c r="B18" s="31">
        <f>1/3</f>
      </c>
      <c r="C18" s="31">
        <v>2</v>
      </c>
      <c r="D18" s="31">
        <v>2</v>
      </c>
      <c r="E18" s="31">
        <v>2</v>
      </c>
      <c r="F18" s="31">
        <v>2</v>
      </c>
      <c r="G18" s="31">
        <v>3</v>
      </c>
      <c r="H18" s="31">
        <v>3</v>
      </c>
      <c r="I18" s="31">
        <v>3</v>
      </c>
      <c r="J18" s="31">
        <v>3</v>
      </c>
      <c r="K18" s="31">
        <v>2</v>
      </c>
      <c r="L18" s="31">
        <v>3</v>
      </c>
      <c r="M18" s="31">
        <v>2</v>
      </c>
      <c r="N18" s="31">
        <v>3</v>
      </c>
      <c r="O18" s="31">
        <v>2</v>
      </c>
      <c r="P18" s="31">
        <v>2</v>
      </c>
      <c r="Q18" s="31">
        <v>2</v>
      </c>
      <c r="R18" s="31">
        <v>3</v>
      </c>
      <c r="S18" s="31">
        <f>AVERAGE(3,2)</f>
      </c>
      <c r="T18" s="31">
        <f>AVERAGE(2,2,3)</f>
      </c>
      <c r="U18" s="31">
        <f>AVERAGE(3,2)</f>
      </c>
      <c r="V18" s="31"/>
      <c r="W18" s="31"/>
      <c r="X18" s="31"/>
      <c r="Y18" s="31">
        <v>3</v>
      </c>
      <c r="Z18" s="31"/>
      <c r="AA18" s="31">
        <v>3</v>
      </c>
      <c r="AB18" s="31"/>
      <c r="AC18" s="31">
        <f>1/3</f>
      </c>
      <c r="AD18" s="31"/>
      <c r="AE18" s="31">
        <f>1/3</f>
      </c>
      <c r="AF18" s="31"/>
      <c r="AG18" s="31">
        <v>3</v>
      </c>
      <c r="AH18" s="31">
        <v>2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  <c r="Y19" s="2"/>
      <c r="Z19" s="3"/>
      <c r="AA19" s="2"/>
      <c r="AB19" s="3"/>
      <c r="AC19" s="2"/>
      <c r="AD19" s="3"/>
      <c r="AE19" s="2"/>
      <c r="AF19" s="3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3"/>
      <c r="Y20" s="2"/>
      <c r="Z20" s="3"/>
      <c r="AA20" s="2"/>
      <c r="AB20" s="3"/>
      <c r="AC20" s="2"/>
      <c r="AD20" s="3"/>
      <c r="AE20" s="2"/>
      <c r="AF20" s="3"/>
      <c r="AG20" s="2"/>
      <c r="AH20" s="2"/>
    </row>
    <row x14ac:dyDescent="0.25" r="21" customHeight="1" ht="18.75">
      <c r="A21" s="209" t="s">
        <v>1293</v>
      </c>
      <c r="B21" s="40" t="s">
        <v>1294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2"/>
      <c r="Z21" s="3"/>
      <c r="AA21" s="2"/>
      <c r="AB21" s="3"/>
      <c r="AC21" s="2"/>
      <c r="AD21" s="3"/>
      <c r="AE21" s="2"/>
      <c r="AF21" s="3"/>
      <c r="AG21" s="2"/>
      <c r="AH21" s="2"/>
    </row>
    <row x14ac:dyDescent="0.25" r="22" customHeight="1" ht="18.75">
      <c r="A22" s="30"/>
      <c r="B22" s="40" t="s">
        <v>1295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2"/>
      <c r="Z22" s="3"/>
      <c r="AA22" s="2"/>
      <c r="AB22" s="3"/>
      <c r="AC22" s="2"/>
      <c r="AD22" s="3"/>
      <c r="AE22" s="2"/>
      <c r="AF22" s="3"/>
      <c r="AG22" s="2"/>
      <c r="AH22" s="2"/>
    </row>
  </sheetData>
  <mergeCells count="6">
    <mergeCell ref="B3:D3"/>
    <mergeCell ref="F3:O3"/>
    <mergeCell ref="B4:D4"/>
    <mergeCell ref="F4:O5"/>
    <mergeCell ref="B5:D5"/>
    <mergeCell ref="A21:A2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5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3" width="13.576428571428572" customWidth="1" bestFit="1"/>
    <col min="33" max="33" style="44" width="13.576428571428572" customWidth="1" bestFit="1"/>
    <col min="34" max="34" style="44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1267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3"/>
      <c r="AF1" s="2"/>
      <c r="AG1" s="3"/>
      <c r="AH1" s="3"/>
    </row>
    <row x14ac:dyDescent="0.25" r="2" customHeight="1" ht="18.7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3"/>
      <c r="AF2" s="2"/>
      <c r="AG2" s="3"/>
      <c r="AH2" s="3"/>
    </row>
    <row x14ac:dyDescent="0.25" r="3" customHeight="1" ht="18.75">
      <c r="A3" s="1" t="s">
        <v>2</v>
      </c>
      <c r="B3" s="7" t="s">
        <v>1284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3"/>
      <c r="AF3" s="2"/>
      <c r="AG3" s="3"/>
      <c r="AH3" s="3"/>
    </row>
    <row x14ac:dyDescent="0.25" r="4" customHeight="1" ht="18.75">
      <c r="A4" s="1" t="s">
        <v>4</v>
      </c>
      <c r="B4" s="7" t="s">
        <v>1269</v>
      </c>
      <c r="C4" s="7"/>
      <c r="D4" s="7"/>
      <c r="E4" s="2"/>
      <c r="F4" s="124" t="s">
        <v>1285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3"/>
      <c r="AF4" s="2"/>
      <c r="AG4" s="3"/>
      <c r="AH4" s="3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3"/>
      <c r="AF5" s="2"/>
      <c r="AG5" s="3"/>
      <c r="AH5" s="3"/>
    </row>
    <row x14ac:dyDescent="0.25" r="6" customHeight="1" ht="18.7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3"/>
      <c r="AF6" s="2"/>
      <c r="AG6" s="3"/>
      <c r="AH6" s="3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6" t="s">
        <v>36</v>
      </c>
      <c r="AC7" s="202" t="s">
        <v>37</v>
      </c>
      <c r="AD7" s="26" t="s">
        <v>38</v>
      </c>
      <c r="AE7" s="27" t="s">
        <v>39</v>
      </c>
      <c r="AF7" s="203" t="s">
        <v>40</v>
      </c>
      <c r="AG7" s="29" t="s">
        <v>41</v>
      </c>
      <c r="AH7" s="29" t="s">
        <v>42</v>
      </c>
    </row>
    <row x14ac:dyDescent="0.25" r="8" customHeight="1" ht="18.75">
      <c r="A8" s="30" t="s">
        <v>43</v>
      </c>
      <c r="B8" s="143"/>
      <c r="C8" s="114" t="s">
        <v>665</v>
      </c>
      <c r="D8" s="31" t="s">
        <v>665</v>
      </c>
      <c r="E8" s="31" t="s">
        <v>665</v>
      </c>
      <c r="F8" s="31" t="s">
        <v>665</v>
      </c>
      <c r="G8" s="31" t="s">
        <v>665</v>
      </c>
      <c r="H8" s="31" t="s">
        <v>665</v>
      </c>
      <c r="I8" s="31" t="s">
        <v>665</v>
      </c>
      <c r="J8" s="31" t="s">
        <v>665</v>
      </c>
      <c r="K8" s="31" t="s">
        <v>665</v>
      </c>
      <c r="L8" s="31" t="s">
        <v>665</v>
      </c>
      <c r="M8" s="31" t="s">
        <v>665</v>
      </c>
      <c r="N8" s="31" t="s">
        <v>665</v>
      </c>
      <c r="O8" s="31" t="s">
        <v>665</v>
      </c>
      <c r="P8" s="31" t="s">
        <v>665</v>
      </c>
      <c r="Q8" s="31" t="s">
        <v>665</v>
      </c>
      <c r="R8" s="143"/>
      <c r="S8" s="31" t="s">
        <v>665</v>
      </c>
      <c r="T8" s="31" t="s">
        <v>268</v>
      </c>
      <c r="U8" s="31" t="s">
        <v>268</v>
      </c>
      <c r="V8" s="31" t="s">
        <v>268</v>
      </c>
      <c r="W8" s="31" t="s">
        <v>482</v>
      </c>
      <c r="X8" s="31" t="s">
        <v>268</v>
      </c>
      <c r="Y8" s="31" t="s">
        <v>268</v>
      </c>
      <c r="Z8" s="31" t="s">
        <v>665</v>
      </c>
      <c r="AA8" s="31" t="s">
        <v>268</v>
      </c>
      <c r="AB8" s="32"/>
      <c r="AC8" s="31" t="s">
        <v>1272</v>
      </c>
      <c r="AD8" s="145"/>
      <c r="AE8" s="32"/>
      <c r="AF8" s="31" t="s">
        <v>1272</v>
      </c>
      <c r="AG8" s="32"/>
      <c r="AH8" s="249"/>
    </row>
    <row x14ac:dyDescent="0.25" r="9" customHeight="1" ht="18.75">
      <c r="A9" s="30" t="s">
        <v>45</v>
      </c>
      <c r="B9" s="146"/>
      <c r="C9" s="33" t="s">
        <v>511</v>
      </c>
      <c r="D9" s="33" t="s">
        <v>511</v>
      </c>
      <c r="E9" s="33" t="s">
        <v>511</v>
      </c>
      <c r="F9" s="33" t="s">
        <v>511</v>
      </c>
      <c r="G9" s="33" t="s">
        <v>511</v>
      </c>
      <c r="H9" s="33" t="s">
        <v>511</v>
      </c>
      <c r="I9" s="33" t="s">
        <v>511</v>
      </c>
      <c r="J9" s="33" t="s">
        <v>511</v>
      </c>
      <c r="K9" s="33" t="s">
        <v>511</v>
      </c>
      <c r="L9" s="33" t="s">
        <v>511</v>
      </c>
      <c r="M9" s="33" t="s">
        <v>511</v>
      </c>
      <c r="N9" s="33" t="s">
        <v>511</v>
      </c>
      <c r="O9" s="33" t="s">
        <v>511</v>
      </c>
      <c r="P9" s="33" t="s">
        <v>511</v>
      </c>
      <c r="Q9" s="33" t="s">
        <v>511</v>
      </c>
      <c r="R9" s="146"/>
      <c r="S9" s="33" t="s">
        <v>511</v>
      </c>
      <c r="T9" s="33" t="s">
        <v>511</v>
      </c>
      <c r="U9" s="33" t="s">
        <v>511</v>
      </c>
      <c r="V9" s="33" t="s">
        <v>511</v>
      </c>
      <c r="W9" s="33" t="s">
        <v>918</v>
      </c>
      <c r="X9" s="33" t="s">
        <v>511</v>
      </c>
      <c r="Y9" s="33" t="s">
        <v>511</v>
      </c>
      <c r="Z9" s="33" t="s">
        <v>1273</v>
      </c>
      <c r="AA9" s="33" t="s">
        <v>511</v>
      </c>
      <c r="AB9" s="34"/>
      <c r="AC9" s="31" t="s">
        <v>1117</v>
      </c>
      <c r="AD9" s="227"/>
      <c r="AE9" s="32"/>
      <c r="AF9" s="31" t="s">
        <v>1117</v>
      </c>
      <c r="AG9" s="34"/>
      <c r="AH9" s="250"/>
    </row>
    <row x14ac:dyDescent="0.25" r="10" customHeight="1" ht="18.75">
      <c r="A10" s="35" t="s">
        <v>47</v>
      </c>
      <c r="B10" s="146"/>
      <c r="C10" s="117">
        <v>20</v>
      </c>
      <c r="D10" s="117">
        <v>20</v>
      </c>
      <c r="E10" s="117">
        <v>20</v>
      </c>
      <c r="F10" s="117">
        <v>20</v>
      </c>
      <c r="G10" s="117">
        <v>20</v>
      </c>
      <c r="H10" s="117">
        <v>20</v>
      </c>
      <c r="I10" s="117">
        <v>20</v>
      </c>
      <c r="J10" s="117">
        <v>20</v>
      </c>
      <c r="K10" s="117">
        <v>20</v>
      </c>
      <c r="L10" s="117">
        <v>20</v>
      </c>
      <c r="M10" s="117">
        <v>20</v>
      </c>
      <c r="N10" s="117">
        <v>20</v>
      </c>
      <c r="O10" s="117">
        <v>20</v>
      </c>
      <c r="P10" s="117">
        <v>20</v>
      </c>
      <c r="Q10" s="117">
        <v>20</v>
      </c>
      <c r="R10" s="146"/>
      <c r="S10" s="117">
        <v>20</v>
      </c>
      <c r="T10" s="117">
        <v>20</v>
      </c>
      <c r="U10" s="117">
        <v>20</v>
      </c>
      <c r="V10" s="117">
        <v>20</v>
      </c>
      <c r="W10" s="117">
        <v>138</v>
      </c>
      <c r="X10" s="117">
        <v>20</v>
      </c>
      <c r="Y10" s="117">
        <v>20</v>
      </c>
      <c r="Z10" s="117">
        <v>16</v>
      </c>
      <c r="AA10" s="117">
        <v>20</v>
      </c>
      <c r="AB10" s="37"/>
      <c r="AC10" s="117">
        <v>136</v>
      </c>
      <c r="AD10" s="248"/>
      <c r="AE10" s="37"/>
      <c r="AF10" s="117">
        <v>136</v>
      </c>
      <c r="AG10" s="37"/>
      <c r="AH10" s="250"/>
    </row>
    <row x14ac:dyDescent="0.25" r="11" customHeight="1" ht="18.75">
      <c r="A11" s="30" t="s">
        <v>123</v>
      </c>
      <c r="B11" s="143"/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143"/>
      <c r="S11" s="33" t="s">
        <v>52</v>
      </c>
      <c r="T11" s="33" t="s">
        <v>52</v>
      </c>
      <c r="U11" s="33" t="s">
        <v>52</v>
      </c>
      <c r="V11" s="33" t="s">
        <v>52</v>
      </c>
      <c r="W11" s="31" t="s">
        <v>162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2"/>
      <c r="AC11" s="31" t="s">
        <v>162</v>
      </c>
      <c r="AD11" s="145"/>
      <c r="AE11" s="32"/>
      <c r="AF11" s="31" t="s">
        <v>162</v>
      </c>
      <c r="AG11" s="32"/>
      <c r="AH11" s="249"/>
    </row>
    <row x14ac:dyDescent="0.25" r="12" customHeight="1" ht="18.75">
      <c r="A12" s="30" t="s">
        <v>124</v>
      </c>
      <c r="B12" s="143"/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143"/>
      <c r="S12" s="33" t="s">
        <v>52</v>
      </c>
      <c r="T12" s="33" t="s">
        <v>52</v>
      </c>
      <c r="U12" s="33" t="s">
        <v>52</v>
      </c>
      <c r="V12" s="33" t="s">
        <v>52</v>
      </c>
      <c r="W12" s="31" t="s">
        <v>162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2"/>
      <c r="AC12" s="31" t="s">
        <v>162</v>
      </c>
      <c r="AD12" s="145"/>
      <c r="AE12" s="32"/>
      <c r="AF12" s="31" t="s">
        <v>162</v>
      </c>
      <c r="AG12" s="32"/>
      <c r="AH12" s="249"/>
    </row>
    <row x14ac:dyDescent="0.25" r="13" customHeight="1" ht="18.75">
      <c r="A13" s="30" t="s">
        <v>125</v>
      </c>
      <c r="B13" s="143"/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143"/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145"/>
      <c r="AE13" s="32"/>
      <c r="AF13" s="31" t="s">
        <v>49</v>
      </c>
      <c r="AG13" s="32"/>
      <c r="AH13" s="249"/>
    </row>
    <row x14ac:dyDescent="0.25" r="14" customHeight="1" ht="18.75">
      <c r="A14" s="30" t="s">
        <v>126</v>
      </c>
      <c r="B14" s="143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/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145"/>
      <c r="AE14" s="32"/>
      <c r="AF14" s="31" t="s">
        <v>49</v>
      </c>
      <c r="AG14" s="32"/>
      <c r="AH14" s="249"/>
    </row>
    <row x14ac:dyDescent="0.25" r="15" customHeight="1" ht="18.75">
      <c r="A15" s="30" t="s">
        <v>127</v>
      </c>
      <c r="B15" s="143"/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143"/>
      <c r="S15" s="31" t="s">
        <v>234</v>
      </c>
      <c r="T15" s="31" t="s">
        <v>234</v>
      </c>
      <c r="U15" s="31" t="s">
        <v>234</v>
      </c>
      <c r="V15" s="31" t="s">
        <v>234</v>
      </c>
      <c r="W15" s="31" t="s">
        <v>140</v>
      </c>
      <c r="X15" s="31" t="s">
        <v>234</v>
      </c>
      <c r="Y15" s="31" t="s">
        <v>234</v>
      </c>
      <c r="Z15" s="31" t="s">
        <v>488</v>
      </c>
      <c r="AA15" s="31" t="s">
        <v>234</v>
      </c>
      <c r="AB15" s="32"/>
      <c r="AC15" s="31" t="s">
        <v>234</v>
      </c>
      <c r="AD15" s="32"/>
      <c r="AE15" s="34"/>
      <c r="AF15" s="31" t="s">
        <v>234</v>
      </c>
      <c r="AG15" s="32"/>
      <c r="AH15" s="249"/>
    </row>
    <row x14ac:dyDescent="0.25" r="16" customHeight="1" ht="18.75">
      <c r="A16" s="30" t="s">
        <v>128</v>
      </c>
      <c r="B16" s="143"/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143"/>
      <c r="S16" s="31">
        <v>-3</v>
      </c>
      <c r="T16" s="31">
        <v>-3</v>
      </c>
      <c r="U16" s="31">
        <v>-3</v>
      </c>
      <c r="V16" s="31">
        <v>-3</v>
      </c>
      <c r="W16" s="31">
        <v>2.5</v>
      </c>
      <c r="X16" s="31">
        <v>-3</v>
      </c>
      <c r="Y16" s="31">
        <v>-3</v>
      </c>
      <c r="Z16" s="31">
        <v>-1.5</v>
      </c>
      <c r="AA16" s="31">
        <v>-3</v>
      </c>
      <c r="AB16" s="31"/>
      <c r="AC16" s="31">
        <v>-3</v>
      </c>
      <c r="AD16" s="31"/>
      <c r="AE16" s="31"/>
      <c r="AF16" s="31">
        <v>-3</v>
      </c>
      <c r="AG16" s="31"/>
      <c r="AH16" s="143"/>
    </row>
    <row x14ac:dyDescent="0.25" r="17" customHeight="1" ht="18.75">
      <c r="A17" s="30" t="s">
        <v>129</v>
      </c>
      <c r="B17" s="143"/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143"/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919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2"/>
      <c r="AC17" s="31" t="s">
        <v>1120</v>
      </c>
      <c r="AD17" s="32"/>
      <c r="AE17" s="32"/>
      <c r="AF17" s="31" t="s">
        <v>1120</v>
      </c>
      <c r="AG17" s="32"/>
      <c r="AH17" s="249"/>
    </row>
    <row x14ac:dyDescent="0.25" r="18" customHeight="1" ht="18.75">
      <c r="A18" s="30" t="s">
        <v>130</v>
      </c>
      <c r="B18" s="143"/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143"/>
      <c r="S18" s="31">
        <v>4</v>
      </c>
      <c r="T18" s="31">
        <v>4</v>
      </c>
      <c r="U18" s="31">
        <v>4</v>
      </c>
      <c r="V18" s="31">
        <v>4</v>
      </c>
      <c r="W18" s="31">
        <f>AVERAGE(2,0)</f>
      </c>
      <c r="X18" s="31">
        <v>4</v>
      </c>
      <c r="Y18" s="31">
        <v>4</v>
      </c>
      <c r="Z18" s="31">
        <v>4</v>
      </c>
      <c r="AA18" s="31">
        <v>4</v>
      </c>
      <c r="AB18" s="31"/>
      <c r="AC18" s="31">
        <f>AVERAGE(4,0)</f>
      </c>
      <c r="AD18" s="31"/>
      <c r="AE18" s="31"/>
      <c r="AF18" s="31">
        <f>AVERAGE(4,0)</f>
      </c>
      <c r="AG18" s="31"/>
      <c r="AH18" s="143"/>
    </row>
    <row x14ac:dyDescent="0.25" r="19" customHeight="1" ht="18.7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3"/>
      <c r="AF19" s="2"/>
      <c r="AG19" s="3"/>
      <c r="AH19" s="3"/>
    </row>
    <row x14ac:dyDescent="0.25" r="20" customHeight="1" ht="18.75">
      <c r="A20" s="30" t="s">
        <v>43</v>
      </c>
      <c r="B20" s="31" t="s">
        <v>1274</v>
      </c>
      <c r="C20" s="242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31" t="s">
        <v>486</v>
      </c>
      <c r="S20" s="143"/>
      <c r="T20" s="31" t="s">
        <v>1275</v>
      </c>
      <c r="U20" s="31" t="s">
        <v>483</v>
      </c>
      <c r="V20" s="31" t="s">
        <v>775</v>
      </c>
      <c r="W20" s="31" t="s">
        <v>483</v>
      </c>
      <c r="X20" s="31" t="s">
        <v>775</v>
      </c>
      <c r="Y20" s="31" t="s">
        <v>483</v>
      </c>
      <c r="Z20" s="143"/>
      <c r="AA20" s="31" t="s">
        <v>483</v>
      </c>
      <c r="AB20" s="32"/>
      <c r="AC20" s="31" t="s">
        <v>1276</v>
      </c>
      <c r="AD20" s="32"/>
      <c r="AE20" s="32"/>
      <c r="AF20" s="31" t="s">
        <v>1276</v>
      </c>
      <c r="AG20" s="32"/>
      <c r="AH20" s="249"/>
    </row>
    <row x14ac:dyDescent="0.25" r="21" customHeight="1" ht="18.75">
      <c r="A21" s="30" t="s">
        <v>45</v>
      </c>
      <c r="B21" s="33" t="s">
        <v>486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33" t="s">
        <v>486</v>
      </c>
      <c r="S21" s="146"/>
      <c r="T21" s="33" t="s">
        <v>486</v>
      </c>
      <c r="U21" s="33" t="s">
        <v>486</v>
      </c>
      <c r="V21" s="186" t="s">
        <v>776</v>
      </c>
      <c r="W21" s="33" t="s">
        <v>486</v>
      </c>
      <c r="X21" s="186" t="s">
        <v>776</v>
      </c>
      <c r="Y21" s="33" t="s">
        <v>486</v>
      </c>
      <c r="Z21" s="146"/>
      <c r="AA21" s="33" t="s">
        <v>486</v>
      </c>
      <c r="AB21" s="34"/>
      <c r="AC21" s="33" t="s">
        <v>1278</v>
      </c>
      <c r="AD21" s="34"/>
      <c r="AE21" s="34"/>
      <c r="AF21" s="33" t="s">
        <v>1278</v>
      </c>
      <c r="AG21" s="34"/>
      <c r="AH21" s="250"/>
    </row>
    <row x14ac:dyDescent="0.25" r="22" customHeight="1" ht="18.75">
      <c r="A22" s="35" t="s">
        <v>47</v>
      </c>
      <c r="B22" s="117">
        <v>97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17">
        <v>97</v>
      </c>
      <c r="S22" s="146"/>
      <c r="T22" s="117">
        <v>97</v>
      </c>
      <c r="U22" s="117">
        <v>97</v>
      </c>
      <c r="V22" s="117">
        <v>134</v>
      </c>
      <c r="W22" s="117">
        <v>97</v>
      </c>
      <c r="X22" s="117">
        <v>134</v>
      </c>
      <c r="Y22" s="117">
        <v>97</v>
      </c>
      <c r="Z22" s="243"/>
      <c r="AA22" s="117">
        <v>97</v>
      </c>
      <c r="AB22" s="37"/>
      <c r="AC22" s="117">
        <v>137</v>
      </c>
      <c r="AD22" s="37"/>
      <c r="AE22" s="37"/>
      <c r="AF22" s="117">
        <v>137</v>
      </c>
      <c r="AG22" s="37"/>
      <c r="AH22" s="250"/>
    </row>
    <row x14ac:dyDescent="0.25" r="23" customHeight="1" ht="18.75">
      <c r="A23" s="30" t="s">
        <v>123</v>
      </c>
      <c r="B23" s="31" t="s">
        <v>52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31" t="s">
        <v>52</v>
      </c>
      <c r="S23" s="143"/>
      <c r="T23" s="31" t="s">
        <v>52</v>
      </c>
      <c r="U23" s="31" t="s">
        <v>52</v>
      </c>
      <c r="V23" s="31" t="s">
        <v>162</v>
      </c>
      <c r="W23" s="31" t="s">
        <v>52</v>
      </c>
      <c r="X23" s="31" t="s">
        <v>162</v>
      </c>
      <c r="Y23" s="31" t="s">
        <v>52</v>
      </c>
      <c r="Z23" s="143"/>
      <c r="AA23" s="31" t="s">
        <v>52</v>
      </c>
      <c r="AB23" s="32"/>
      <c r="AC23" s="31" t="s">
        <v>52</v>
      </c>
      <c r="AD23" s="32"/>
      <c r="AE23" s="34"/>
      <c r="AF23" s="31" t="s">
        <v>52</v>
      </c>
      <c r="AG23" s="32"/>
      <c r="AH23" s="249"/>
    </row>
    <row x14ac:dyDescent="0.25" r="24" customHeight="1" ht="18.75">
      <c r="A24" s="30" t="s">
        <v>124</v>
      </c>
      <c r="B24" s="31" t="s">
        <v>52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31" t="s">
        <v>52</v>
      </c>
      <c r="S24" s="143"/>
      <c r="T24" s="31" t="s">
        <v>52</v>
      </c>
      <c r="U24" s="31" t="s">
        <v>52</v>
      </c>
      <c r="V24" s="31" t="s">
        <v>162</v>
      </c>
      <c r="W24" s="31" t="s">
        <v>52</v>
      </c>
      <c r="X24" s="31" t="s">
        <v>162</v>
      </c>
      <c r="Y24" s="31" t="s">
        <v>52</v>
      </c>
      <c r="Z24" s="143"/>
      <c r="AA24" s="31" t="s">
        <v>52</v>
      </c>
      <c r="AB24" s="32"/>
      <c r="AC24" s="31" t="s">
        <v>52</v>
      </c>
      <c r="AD24" s="32"/>
      <c r="AE24" s="32"/>
      <c r="AF24" s="31" t="s">
        <v>52</v>
      </c>
      <c r="AG24" s="32"/>
      <c r="AH24" s="249"/>
    </row>
    <row x14ac:dyDescent="0.25" r="25" customHeight="1" ht="18.75">
      <c r="A25" s="30" t="s">
        <v>125</v>
      </c>
      <c r="B25" s="31" t="s">
        <v>49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31" t="s">
        <v>49</v>
      </c>
      <c r="S25" s="143"/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143"/>
      <c r="AA25" s="31" t="s">
        <v>49</v>
      </c>
      <c r="AB25" s="32"/>
      <c r="AC25" s="31" t="s">
        <v>49</v>
      </c>
      <c r="AD25" s="32"/>
      <c r="AE25" s="32"/>
      <c r="AF25" s="31" t="s">
        <v>49</v>
      </c>
      <c r="AG25" s="32"/>
      <c r="AH25" s="249"/>
    </row>
    <row x14ac:dyDescent="0.25" r="26" customHeight="1" ht="18.75">
      <c r="A26" s="30" t="s">
        <v>126</v>
      </c>
      <c r="B26" s="31" t="s">
        <v>49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31" t="s">
        <v>49</v>
      </c>
      <c r="S26" s="143"/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143"/>
      <c r="AA26" s="31" t="s">
        <v>49</v>
      </c>
      <c r="AB26" s="32"/>
      <c r="AC26" s="31" t="s">
        <v>49</v>
      </c>
      <c r="AD26" s="32"/>
      <c r="AE26" s="32"/>
      <c r="AF26" s="31" t="s">
        <v>49</v>
      </c>
      <c r="AG26" s="32"/>
      <c r="AH26" s="249"/>
    </row>
    <row x14ac:dyDescent="0.25" r="27" customHeight="1" ht="18.75">
      <c r="A27" s="30" t="s">
        <v>127</v>
      </c>
      <c r="B27" s="31" t="s">
        <v>488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31" t="s">
        <v>488</v>
      </c>
      <c r="S27" s="143"/>
      <c r="T27" s="31" t="s">
        <v>488</v>
      </c>
      <c r="U27" s="31" t="s">
        <v>488</v>
      </c>
      <c r="V27" s="31" t="s">
        <v>488</v>
      </c>
      <c r="W27" s="31" t="s">
        <v>488</v>
      </c>
      <c r="X27" s="31" t="s">
        <v>488</v>
      </c>
      <c r="Y27" s="31" t="s">
        <v>488</v>
      </c>
      <c r="Z27" s="143"/>
      <c r="AA27" s="31" t="s">
        <v>488</v>
      </c>
      <c r="AB27" s="32"/>
      <c r="AC27" s="186" t="s">
        <v>487</v>
      </c>
      <c r="AD27" s="32"/>
      <c r="AE27" s="32"/>
      <c r="AF27" s="186" t="s">
        <v>487</v>
      </c>
      <c r="AG27" s="32"/>
      <c r="AH27" s="249"/>
    </row>
    <row x14ac:dyDescent="0.25" r="28" customHeight="1" ht="18.75">
      <c r="A28" s="30" t="s">
        <v>128</v>
      </c>
      <c r="B28" s="31">
        <v>0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31">
        <v>0</v>
      </c>
      <c r="S28" s="143"/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143"/>
      <c r="AA28" s="31">
        <v>0</v>
      </c>
      <c r="AB28" s="31"/>
      <c r="AC28" s="31">
        <f>AVERAGE(0,2.5)</f>
      </c>
      <c r="AD28" s="31"/>
      <c r="AE28" s="31"/>
      <c r="AF28" s="31">
        <f>AVERAGE(0,2.5)</f>
      </c>
      <c r="AG28" s="31"/>
      <c r="AH28" s="143"/>
    </row>
    <row x14ac:dyDescent="0.25" r="29" customHeight="1" ht="18.75">
      <c r="A29" s="30" t="s">
        <v>129</v>
      </c>
      <c r="B29" s="31" t="s">
        <v>134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31" t="s">
        <v>134</v>
      </c>
      <c r="S29" s="143"/>
      <c r="T29" s="31" t="s">
        <v>134</v>
      </c>
      <c r="U29" s="31" t="s">
        <v>134</v>
      </c>
      <c r="V29" s="119" t="s">
        <v>369</v>
      </c>
      <c r="W29" s="31" t="s">
        <v>134</v>
      </c>
      <c r="X29" s="119" t="s">
        <v>369</v>
      </c>
      <c r="Y29" s="31" t="s">
        <v>134</v>
      </c>
      <c r="Z29" s="143"/>
      <c r="AA29" s="31" t="s">
        <v>134</v>
      </c>
      <c r="AB29" s="32"/>
      <c r="AC29" s="31" t="s">
        <v>489</v>
      </c>
      <c r="AD29" s="32"/>
      <c r="AE29" s="32"/>
      <c r="AF29" s="31" t="s">
        <v>489</v>
      </c>
      <c r="AG29" s="32"/>
      <c r="AH29" s="249"/>
    </row>
    <row x14ac:dyDescent="0.25" r="30" customHeight="1" ht="18.75">
      <c r="A30" s="30" t="s">
        <v>130</v>
      </c>
      <c r="B30" s="31">
        <f>1/3</f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31">
        <f>1/3</f>
      </c>
      <c r="S30" s="143"/>
      <c r="T30" s="31">
        <f>1/3</f>
      </c>
      <c r="U30" s="31">
        <f>1/3</f>
      </c>
      <c r="V30" s="31">
        <f>AVERAGE(1/3,0)</f>
      </c>
      <c r="W30" s="31">
        <f>1/3</f>
      </c>
      <c r="X30" s="31">
        <f>AVERAGE(1/3,0)</f>
      </c>
      <c r="Y30" s="31">
        <f>1/3</f>
      </c>
      <c r="Z30" s="143"/>
      <c r="AA30" s="31">
        <f>1/3</f>
      </c>
      <c r="AB30" s="31"/>
      <c r="AC30" s="31">
        <f>AVERAGE(0.5,2.5)</f>
      </c>
      <c r="AD30" s="31"/>
      <c r="AE30" s="31"/>
      <c r="AF30" s="31">
        <f>AVERAGE(0.5,2.5)</f>
      </c>
      <c r="AG30" s="31"/>
      <c r="AH30" s="143"/>
    </row>
    <row x14ac:dyDescent="0.25" r="31" customHeight="1" ht="18.7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"/>
      <c r="AC31" s="2"/>
      <c r="AD31" s="3"/>
      <c r="AE31" s="3"/>
      <c r="AF31" s="2"/>
      <c r="AG31" s="3"/>
      <c r="AH31" s="3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  <c r="AC32" s="2"/>
      <c r="AD32" s="3"/>
      <c r="AE32" s="3"/>
      <c r="AF32" s="2"/>
      <c r="AG32" s="3"/>
      <c r="AH32" s="3"/>
    </row>
    <row x14ac:dyDescent="0.25" r="33" customHeight="1" ht="18.75">
      <c r="A33" s="209" t="s">
        <v>1286</v>
      </c>
      <c r="B33" s="40" t="s">
        <v>849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  <c r="AC33" s="2"/>
      <c r="AD33" s="3"/>
      <c r="AE33" s="3"/>
      <c r="AF33" s="2"/>
      <c r="AG33" s="3"/>
      <c r="AH33" s="3"/>
    </row>
    <row x14ac:dyDescent="0.25" r="34" customHeight="1" ht="18.75">
      <c r="A34" s="30"/>
      <c r="B34" s="40" t="s">
        <v>1287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  <c r="AC34" s="2"/>
      <c r="AD34" s="3"/>
      <c r="AE34" s="3"/>
      <c r="AF34" s="2"/>
      <c r="AG34" s="3"/>
      <c r="AH34" s="3"/>
    </row>
    <row x14ac:dyDescent="0.25" r="35" customHeight="1" ht="18.75">
      <c r="A35" s="41" t="s">
        <v>1283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  <c r="AC35" s="2"/>
      <c r="AD35" s="3"/>
      <c r="AE35" s="3"/>
      <c r="AF35" s="2"/>
      <c r="AG35" s="3"/>
      <c r="AH35" s="3"/>
    </row>
  </sheetData>
  <mergeCells count="6">
    <mergeCell ref="B3:D3"/>
    <mergeCell ref="F3:O3"/>
    <mergeCell ref="B4:D4"/>
    <mergeCell ref="F4:O5"/>
    <mergeCell ref="B5:D5"/>
    <mergeCell ref="A33:A3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46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151" width="13.576428571428572" customWidth="1" bestFit="1"/>
    <col min="6" max="6" style="151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57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3" width="13.576428571428572" customWidth="1" bestFit="1"/>
    <col min="33" max="33" style="57" width="13.576428571428572" customWidth="1" bestFit="1"/>
    <col min="34" max="34" style="44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149"/>
      <c r="F1" s="149"/>
      <c r="G1" s="2"/>
      <c r="H1" s="2"/>
      <c r="I1" s="45" t="s">
        <v>1267</v>
      </c>
      <c r="J1" s="4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3"/>
      <c r="AF1" s="2"/>
      <c r="AG1" s="46"/>
      <c r="AH1" s="3"/>
    </row>
    <row x14ac:dyDescent="0.25" r="2" customHeight="1" ht="18.75">
      <c r="A2" s="3"/>
      <c r="B2" s="2"/>
      <c r="C2" s="2"/>
      <c r="D2" s="2"/>
      <c r="E2" s="149"/>
      <c r="F2" s="149"/>
      <c r="G2" s="2"/>
      <c r="H2" s="2"/>
      <c r="I2" s="2"/>
      <c r="J2" s="4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3"/>
      <c r="AF2" s="2"/>
      <c r="AG2" s="46"/>
      <c r="AH2" s="3"/>
    </row>
    <row x14ac:dyDescent="0.25" r="3" customHeight="1" ht="18.75">
      <c r="A3" s="1" t="s">
        <v>2</v>
      </c>
      <c r="B3" s="7" t="s">
        <v>1268</v>
      </c>
      <c r="C3" s="7"/>
      <c r="D3" s="7"/>
      <c r="E3" s="45"/>
      <c r="F3" s="90" t="s">
        <v>3</v>
      </c>
      <c r="G3" s="90"/>
      <c r="H3" s="90"/>
      <c r="I3" s="90"/>
      <c r="J3" s="89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3"/>
      <c r="AF3" s="2"/>
      <c r="AG3" s="46"/>
      <c r="AH3" s="3"/>
    </row>
    <row x14ac:dyDescent="0.25" r="4" customHeight="1" ht="18.75">
      <c r="A4" s="1" t="s">
        <v>4</v>
      </c>
      <c r="B4" s="7" t="s">
        <v>1269</v>
      </c>
      <c r="C4" s="7"/>
      <c r="D4" s="7"/>
      <c r="E4" s="149"/>
      <c r="F4" s="124" t="s">
        <v>1270</v>
      </c>
      <c r="G4" s="92"/>
      <c r="H4" s="92"/>
      <c r="I4" s="92"/>
      <c r="J4" s="93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3"/>
      <c r="AF4" s="2"/>
      <c r="AG4" s="46"/>
      <c r="AH4" s="3"/>
    </row>
    <row x14ac:dyDescent="0.25" r="5" customHeight="1" ht="18.75">
      <c r="A5" s="1" t="s">
        <v>7</v>
      </c>
      <c r="B5" s="7" t="s">
        <v>1271</v>
      </c>
      <c r="C5" s="7"/>
      <c r="D5" s="7"/>
      <c r="E5" s="149"/>
      <c r="F5" s="126"/>
      <c r="G5" s="96"/>
      <c r="H5" s="96"/>
      <c r="I5" s="96"/>
      <c r="J5" s="97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3"/>
      <c r="AF5" s="2"/>
      <c r="AG5" s="46"/>
      <c r="AH5" s="3"/>
    </row>
    <row x14ac:dyDescent="0.25" r="6" customHeight="1" ht="18.75">
      <c r="A6" s="3"/>
      <c r="B6" s="2"/>
      <c r="C6" s="2"/>
      <c r="D6" s="2"/>
      <c r="E6" s="149"/>
      <c r="F6" s="149"/>
      <c r="G6" s="2"/>
      <c r="H6" s="2"/>
      <c r="I6" s="2"/>
      <c r="J6" s="4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3"/>
      <c r="AF6" s="2"/>
      <c r="AG6" s="46"/>
      <c r="AH6" s="3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6" t="s">
        <v>36</v>
      </c>
      <c r="AC7" s="202" t="s">
        <v>37</v>
      </c>
      <c r="AD7" s="26" t="s">
        <v>38</v>
      </c>
      <c r="AE7" s="27" t="s">
        <v>39</v>
      </c>
      <c r="AF7" s="203" t="s">
        <v>40</v>
      </c>
      <c r="AG7" s="29" t="s">
        <v>41</v>
      </c>
      <c r="AH7" s="29" t="s">
        <v>42</v>
      </c>
    </row>
    <row x14ac:dyDescent="0.25" r="8" customHeight="1" ht="18.75">
      <c r="A8" s="30" t="s">
        <v>43</v>
      </c>
      <c r="B8" s="143"/>
      <c r="C8" s="31" t="s">
        <v>268</v>
      </c>
      <c r="D8" s="31" t="s">
        <v>268</v>
      </c>
      <c r="E8" s="31" t="s">
        <v>268</v>
      </c>
      <c r="F8" s="31" t="s">
        <v>268</v>
      </c>
      <c r="G8" s="31" t="s">
        <v>268</v>
      </c>
      <c r="H8" s="31" t="s">
        <v>268</v>
      </c>
      <c r="I8" s="31" t="s">
        <v>268</v>
      </c>
      <c r="J8" s="32"/>
      <c r="K8" s="139" t="s">
        <v>268</v>
      </c>
      <c r="L8" s="31" t="s">
        <v>268</v>
      </c>
      <c r="M8" s="31" t="s">
        <v>268</v>
      </c>
      <c r="N8" s="31" t="s">
        <v>268</v>
      </c>
      <c r="O8" s="31" t="s">
        <v>268</v>
      </c>
      <c r="P8" s="31" t="s">
        <v>268</v>
      </c>
      <c r="Q8" s="31" t="s">
        <v>268</v>
      </c>
      <c r="R8" s="143"/>
      <c r="S8" s="143"/>
      <c r="T8" s="31" t="s">
        <v>268</v>
      </c>
      <c r="U8" s="31" t="s">
        <v>268</v>
      </c>
      <c r="V8" s="31" t="s">
        <v>268</v>
      </c>
      <c r="W8" s="31" t="s">
        <v>482</v>
      </c>
      <c r="X8" s="31" t="s">
        <v>268</v>
      </c>
      <c r="Y8" s="31" t="s">
        <v>268</v>
      </c>
      <c r="Z8" s="31" t="s">
        <v>665</v>
      </c>
      <c r="AA8" s="31" t="s">
        <v>268</v>
      </c>
      <c r="AB8" s="32"/>
      <c r="AC8" s="31" t="s">
        <v>1272</v>
      </c>
      <c r="AD8" s="145"/>
      <c r="AE8" s="32"/>
      <c r="AF8" s="31" t="s">
        <v>1272</v>
      </c>
      <c r="AG8" s="32"/>
      <c r="AH8" s="246"/>
    </row>
    <row x14ac:dyDescent="0.25" r="9" customHeight="1" ht="18.75">
      <c r="A9" s="30" t="s">
        <v>45</v>
      </c>
      <c r="B9" s="146"/>
      <c r="C9" s="33" t="s">
        <v>511</v>
      </c>
      <c r="D9" s="33" t="s">
        <v>511</v>
      </c>
      <c r="E9" s="33" t="s">
        <v>511</v>
      </c>
      <c r="F9" s="33" t="s">
        <v>511</v>
      </c>
      <c r="G9" s="33" t="s">
        <v>511</v>
      </c>
      <c r="H9" s="33" t="s">
        <v>511</v>
      </c>
      <c r="I9" s="33" t="s">
        <v>511</v>
      </c>
      <c r="J9" s="34"/>
      <c r="K9" s="33" t="s">
        <v>511</v>
      </c>
      <c r="L9" s="33" t="s">
        <v>511</v>
      </c>
      <c r="M9" s="33" t="s">
        <v>511</v>
      </c>
      <c r="N9" s="33" t="s">
        <v>511</v>
      </c>
      <c r="O9" s="31" t="s">
        <v>1117</v>
      </c>
      <c r="P9" s="33" t="s">
        <v>511</v>
      </c>
      <c r="Q9" s="33" t="s">
        <v>511</v>
      </c>
      <c r="R9" s="146"/>
      <c r="S9" s="146"/>
      <c r="T9" s="33" t="s">
        <v>511</v>
      </c>
      <c r="U9" s="33" t="s">
        <v>511</v>
      </c>
      <c r="V9" s="33" t="s">
        <v>511</v>
      </c>
      <c r="W9" s="33" t="s">
        <v>918</v>
      </c>
      <c r="X9" s="33" t="s">
        <v>511</v>
      </c>
      <c r="Y9" s="33" t="s">
        <v>511</v>
      </c>
      <c r="Z9" s="33" t="s">
        <v>1273</v>
      </c>
      <c r="AA9" s="33" t="s">
        <v>511</v>
      </c>
      <c r="AB9" s="34"/>
      <c r="AC9" s="31" t="s">
        <v>1117</v>
      </c>
      <c r="AD9" s="227"/>
      <c r="AE9" s="32"/>
      <c r="AF9" s="31" t="s">
        <v>1117</v>
      </c>
      <c r="AG9" s="32"/>
      <c r="AH9" s="247"/>
    </row>
    <row x14ac:dyDescent="0.25" r="10" customHeight="1" ht="18.75">
      <c r="A10" s="35" t="s">
        <v>47</v>
      </c>
      <c r="B10" s="146"/>
      <c r="C10" s="117">
        <v>20</v>
      </c>
      <c r="D10" s="117">
        <v>20</v>
      </c>
      <c r="E10" s="117">
        <v>20</v>
      </c>
      <c r="F10" s="117">
        <v>20</v>
      </c>
      <c r="G10" s="117">
        <v>20</v>
      </c>
      <c r="H10" s="117">
        <v>20</v>
      </c>
      <c r="I10" s="117">
        <v>20</v>
      </c>
      <c r="J10" s="37"/>
      <c r="K10" s="117">
        <v>20</v>
      </c>
      <c r="L10" s="117">
        <v>20</v>
      </c>
      <c r="M10" s="117">
        <v>20</v>
      </c>
      <c r="N10" s="117">
        <v>20</v>
      </c>
      <c r="O10" s="117">
        <v>136</v>
      </c>
      <c r="P10" s="117">
        <v>20</v>
      </c>
      <c r="Q10" s="117">
        <v>20</v>
      </c>
      <c r="R10" s="146"/>
      <c r="S10" s="146"/>
      <c r="T10" s="117">
        <v>20</v>
      </c>
      <c r="U10" s="117">
        <v>20</v>
      </c>
      <c r="V10" s="117">
        <v>20</v>
      </c>
      <c r="W10" s="117">
        <v>138</v>
      </c>
      <c r="X10" s="117">
        <v>20</v>
      </c>
      <c r="Y10" s="117">
        <v>20</v>
      </c>
      <c r="Z10" s="117">
        <v>16</v>
      </c>
      <c r="AA10" s="117">
        <v>20</v>
      </c>
      <c r="AB10" s="37"/>
      <c r="AC10" s="117">
        <v>136</v>
      </c>
      <c r="AD10" s="248"/>
      <c r="AE10" s="37"/>
      <c r="AF10" s="117">
        <v>136</v>
      </c>
      <c r="AG10" s="37"/>
      <c r="AH10" s="247"/>
    </row>
    <row x14ac:dyDescent="0.25" r="11" customHeight="1" ht="18.75">
      <c r="A11" s="30" t="s">
        <v>123</v>
      </c>
      <c r="B11" s="143"/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2"/>
      <c r="K11" s="33" t="s">
        <v>52</v>
      </c>
      <c r="L11" s="33" t="s">
        <v>52</v>
      </c>
      <c r="M11" s="33" t="s">
        <v>52</v>
      </c>
      <c r="N11" s="33" t="s">
        <v>52</v>
      </c>
      <c r="O11" s="31" t="s">
        <v>162</v>
      </c>
      <c r="P11" s="33" t="s">
        <v>52</v>
      </c>
      <c r="Q11" s="33" t="s">
        <v>52</v>
      </c>
      <c r="R11" s="143"/>
      <c r="S11" s="143"/>
      <c r="T11" s="33" t="s">
        <v>52</v>
      </c>
      <c r="U11" s="33" t="s">
        <v>52</v>
      </c>
      <c r="V11" s="33" t="s">
        <v>52</v>
      </c>
      <c r="W11" s="31" t="s">
        <v>162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2"/>
      <c r="AC11" s="31" t="s">
        <v>162</v>
      </c>
      <c r="AD11" s="145"/>
      <c r="AE11" s="32"/>
      <c r="AF11" s="31" t="s">
        <v>162</v>
      </c>
      <c r="AG11" s="32"/>
      <c r="AH11" s="246"/>
    </row>
    <row x14ac:dyDescent="0.25" r="12" customHeight="1" ht="18.75">
      <c r="A12" s="30" t="s">
        <v>124</v>
      </c>
      <c r="B12" s="143"/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2"/>
      <c r="K12" s="33" t="s">
        <v>52</v>
      </c>
      <c r="L12" s="33" t="s">
        <v>52</v>
      </c>
      <c r="M12" s="33" t="s">
        <v>52</v>
      </c>
      <c r="N12" s="33" t="s">
        <v>52</v>
      </c>
      <c r="O12" s="31" t="s">
        <v>162</v>
      </c>
      <c r="P12" s="33" t="s">
        <v>52</v>
      </c>
      <c r="Q12" s="33" t="s">
        <v>52</v>
      </c>
      <c r="R12" s="143"/>
      <c r="S12" s="143"/>
      <c r="T12" s="33" t="s">
        <v>52</v>
      </c>
      <c r="U12" s="33" t="s">
        <v>52</v>
      </c>
      <c r="V12" s="33" t="s">
        <v>52</v>
      </c>
      <c r="W12" s="31" t="s">
        <v>162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2"/>
      <c r="AC12" s="31" t="s">
        <v>162</v>
      </c>
      <c r="AD12" s="145"/>
      <c r="AE12" s="32"/>
      <c r="AF12" s="31" t="s">
        <v>162</v>
      </c>
      <c r="AG12" s="32"/>
      <c r="AH12" s="246"/>
    </row>
    <row x14ac:dyDescent="0.25" r="13" customHeight="1" ht="18.75">
      <c r="A13" s="30" t="s">
        <v>125</v>
      </c>
      <c r="B13" s="143"/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143"/>
      <c r="S13" s="143"/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145"/>
      <c r="AE13" s="32"/>
      <c r="AF13" s="31" t="s">
        <v>49</v>
      </c>
      <c r="AG13" s="32"/>
      <c r="AH13" s="246"/>
    </row>
    <row x14ac:dyDescent="0.25" r="14" customHeight="1" ht="18.75">
      <c r="A14" s="30" t="s">
        <v>126</v>
      </c>
      <c r="B14" s="143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/>
      <c r="S14" s="143"/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145"/>
      <c r="AE14" s="32"/>
      <c r="AF14" s="31" t="s">
        <v>49</v>
      </c>
      <c r="AG14" s="32"/>
      <c r="AH14" s="246"/>
    </row>
    <row x14ac:dyDescent="0.25" r="15" customHeight="1" ht="18.75">
      <c r="A15" s="30" t="s">
        <v>127</v>
      </c>
      <c r="B15" s="143"/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2"/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143"/>
      <c r="S15" s="143"/>
      <c r="T15" s="31" t="s">
        <v>234</v>
      </c>
      <c r="U15" s="31" t="s">
        <v>234</v>
      </c>
      <c r="V15" s="31" t="s">
        <v>234</v>
      </c>
      <c r="W15" s="31" t="s">
        <v>140</v>
      </c>
      <c r="X15" s="31" t="s">
        <v>234</v>
      </c>
      <c r="Y15" s="31" t="s">
        <v>234</v>
      </c>
      <c r="Z15" s="31" t="s">
        <v>488</v>
      </c>
      <c r="AA15" s="31" t="s">
        <v>234</v>
      </c>
      <c r="AB15" s="32"/>
      <c r="AC15" s="31" t="s">
        <v>234</v>
      </c>
      <c r="AD15" s="32"/>
      <c r="AE15" s="34"/>
      <c r="AF15" s="31" t="s">
        <v>234</v>
      </c>
      <c r="AG15" s="34"/>
      <c r="AH15" s="249"/>
    </row>
    <row x14ac:dyDescent="0.25" r="16" customHeight="1" ht="18.75">
      <c r="A16" s="30" t="s">
        <v>128</v>
      </c>
      <c r="B16" s="143"/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/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143"/>
      <c r="S16" s="143"/>
      <c r="T16" s="31">
        <v>-3</v>
      </c>
      <c r="U16" s="31">
        <v>-3</v>
      </c>
      <c r="V16" s="31">
        <v>-3</v>
      </c>
      <c r="W16" s="31">
        <v>2.5</v>
      </c>
      <c r="X16" s="31">
        <v>-3</v>
      </c>
      <c r="Y16" s="31">
        <v>-3</v>
      </c>
      <c r="Z16" s="31">
        <v>-1.5</v>
      </c>
      <c r="AA16" s="31">
        <v>-3</v>
      </c>
      <c r="AB16" s="31"/>
      <c r="AC16" s="31">
        <v>-3</v>
      </c>
      <c r="AD16" s="31"/>
      <c r="AE16" s="31"/>
      <c r="AF16" s="31">
        <v>-3</v>
      </c>
      <c r="AG16" s="31"/>
      <c r="AH16" s="143"/>
    </row>
    <row x14ac:dyDescent="0.25" r="17" customHeight="1" ht="18.75">
      <c r="A17" s="30" t="s">
        <v>129</v>
      </c>
      <c r="B17" s="143"/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2"/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1120</v>
      </c>
      <c r="P17" s="31" t="s">
        <v>138</v>
      </c>
      <c r="Q17" s="31" t="s">
        <v>138</v>
      </c>
      <c r="R17" s="143"/>
      <c r="S17" s="143"/>
      <c r="T17" s="31" t="s">
        <v>138</v>
      </c>
      <c r="U17" s="31" t="s">
        <v>138</v>
      </c>
      <c r="V17" s="31" t="s">
        <v>138</v>
      </c>
      <c r="W17" s="31" t="s">
        <v>919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2"/>
      <c r="AC17" s="31" t="s">
        <v>1120</v>
      </c>
      <c r="AD17" s="32"/>
      <c r="AE17" s="32"/>
      <c r="AF17" s="31" t="s">
        <v>1120</v>
      </c>
      <c r="AG17" s="32"/>
      <c r="AH17" s="249"/>
    </row>
    <row x14ac:dyDescent="0.25" r="18" customHeight="1" ht="18.75">
      <c r="A18" s="30" t="s">
        <v>130</v>
      </c>
      <c r="B18" s="143"/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/>
      <c r="K18" s="31">
        <v>4</v>
      </c>
      <c r="L18" s="31">
        <v>4</v>
      </c>
      <c r="M18" s="31">
        <v>4</v>
      </c>
      <c r="N18" s="31">
        <v>4</v>
      </c>
      <c r="O18" s="31">
        <f>AVERAGE(4,0)</f>
      </c>
      <c r="P18" s="31">
        <v>4</v>
      </c>
      <c r="Q18" s="31">
        <v>4</v>
      </c>
      <c r="R18" s="143"/>
      <c r="S18" s="143"/>
      <c r="T18" s="31">
        <v>4</v>
      </c>
      <c r="U18" s="31">
        <v>4</v>
      </c>
      <c r="V18" s="31">
        <v>4</v>
      </c>
      <c r="W18" s="31">
        <f>AVERAGE(2,0)</f>
      </c>
      <c r="X18" s="31">
        <v>4</v>
      </c>
      <c r="Y18" s="31">
        <v>4</v>
      </c>
      <c r="Z18" s="31">
        <v>4</v>
      </c>
      <c r="AA18" s="31">
        <v>4</v>
      </c>
      <c r="AB18" s="31"/>
      <c r="AC18" s="31">
        <f>AVERAGE(4,0)</f>
      </c>
      <c r="AD18" s="31"/>
      <c r="AE18" s="31"/>
      <c r="AF18" s="31">
        <f>AVERAGE(4,0)</f>
      </c>
      <c r="AG18" s="31"/>
      <c r="AH18" s="143"/>
    </row>
    <row x14ac:dyDescent="0.25" r="19" customHeight="1" ht="18.75">
      <c r="A19" s="3"/>
      <c r="B19" s="2"/>
      <c r="C19" s="2"/>
      <c r="D19" s="2"/>
      <c r="E19" s="149"/>
      <c r="F19" s="149"/>
      <c r="G19" s="2"/>
      <c r="H19" s="2"/>
      <c r="I19" s="2"/>
      <c r="J19" s="4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3"/>
      <c r="AF19" s="2"/>
      <c r="AG19" s="46"/>
      <c r="AH19" s="3"/>
    </row>
    <row x14ac:dyDescent="0.25" r="20" customHeight="1" ht="18.75">
      <c r="A20" s="30" t="s">
        <v>43</v>
      </c>
      <c r="B20" s="31" t="s">
        <v>1274</v>
      </c>
      <c r="C20" s="114" t="s">
        <v>483</v>
      </c>
      <c r="D20" s="31" t="s">
        <v>483</v>
      </c>
      <c r="E20" s="31" t="s">
        <v>775</v>
      </c>
      <c r="F20" s="31" t="s">
        <v>483</v>
      </c>
      <c r="G20" s="31" t="s">
        <v>483</v>
      </c>
      <c r="H20" s="31" t="s">
        <v>483</v>
      </c>
      <c r="I20" s="139" t="s">
        <v>483</v>
      </c>
      <c r="J20" s="32"/>
      <c r="K20" s="31" t="s">
        <v>483</v>
      </c>
      <c r="L20" s="31" t="s">
        <v>483</v>
      </c>
      <c r="M20" s="31" t="s">
        <v>483</v>
      </c>
      <c r="N20" s="143"/>
      <c r="O20" s="31" t="s">
        <v>775</v>
      </c>
      <c r="P20" s="143"/>
      <c r="Q20" s="143"/>
      <c r="R20" s="31" t="s">
        <v>486</v>
      </c>
      <c r="S20" s="31" t="s">
        <v>1275</v>
      </c>
      <c r="T20" s="31" t="s">
        <v>1275</v>
      </c>
      <c r="U20" s="31" t="s">
        <v>483</v>
      </c>
      <c r="V20" s="31" t="s">
        <v>775</v>
      </c>
      <c r="W20" s="31" t="s">
        <v>483</v>
      </c>
      <c r="X20" s="31" t="s">
        <v>775</v>
      </c>
      <c r="Y20" s="31" t="s">
        <v>483</v>
      </c>
      <c r="Z20" s="143"/>
      <c r="AA20" s="31" t="s">
        <v>483</v>
      </c>
      <c r="AB20" s="32"/>
      <c r="AC20" s="31" t="s">
        <v>1276</v>
      </c>
      <c r="AD20" s="32"/>
      <c r="AE20" s="32"/>
      <c r="AF20" s="31" t="s">
        <v>1276</v>
      </c>
      <c r="AG20" s="32"/>
      <c r="AH20" s="249"/>
    </row>
    <row x14ac:dyDescent="0.25" r="21" customHeight="1" ht="18.75">
      <c r="A21" s="30" t="s">
        <v>45</v>
      </c>
      <c r="B21" s="33" t="s">
        <v>486</v>
      </c>
      <c r="C21" s="33" t="s">
        <v>486</v>
      </c>
      <c r="D21" s="33" t="s">
        <v>486</v>
      </c>
      <c r="E21" s="186" t="s">
        <v>776</v>
      </c>
      <c r="F21" s="33" t="s">
        <v>486</v>
      </c>
      <c r="G21" s="33" t="s">
        <v>486</v>
      </c>
      <c r="H21" s="33" t="s">
        <v>486</v>
      </c>
      <c r="I21" s="33" t="s">
        <v>486</v>
      </c>
      <c r="J21" s="34"/>
      <c r="K21" s="33" t="s">
        <v>486</v>
      </c>
      <c r="L21" s="33" t="s">
        <v>486</v>
      </c>
      <c r="M21" s="33" t="s">
        <v>486</v>
      </c>
      <c r="N21" s="146"/>
      <c r="O21" s="186" t="s">
        <v>776</v>
      </c>
      <c r="P21" s="146"/>
      <c r="Q21" s="146"/>
      <c r="R21" s="33" t="s">
        <v>486</v>
      </c>
      <c r="S21" s="33" t="s">
        <v>1277</v>
      </c>
      <c r="T21" s="33" t="s">
        <v>486</v>
      </c>
      <c r="U21" s="33" t="s">
        <v>486</v>
      </c>
      <c r="V21" s="186" t="s">
        <v>776</v>
      </c>
      <c r="W21" s="33" t="s">
        <v>486</v>
      </c>
      <c r="X21" s="186" t="s">
        <v>776</v>
      </c>
      <c r="Y21" s="33" t="s">
        <v>486</v>
      </c>
      <c r="Z21" s="146"/>
      <c r="AA21" s="33" t="s">
        <v>486</v>
      </c>
      <c r="AB21" s="34"/>
      <c r="AC21" s="33" t="s">
        <v>1278</v>
      </c>
      <c r="AD21" s="34"/>
      <c r="AE21" s="34"/>
      <c r="AF21" s="33" t="s">
        <v>1278</v>
      </c>
      <c r="AG21" s="34"/>
      <c r="AH21" s="250"/>
    </row>
    <row x14ac:dyDescent="0.25" r="22" customHeight="1" ht="18.75">
      <c r="A22" s="35" t="s">
        <v>47</v>
      </c>
      <c r="B22" s="117">
        <v>97</v>
      </c>
      <c r="C22" s="117">
        <v>97</v>
      </c>
      <c r="D22" s="117">
        <v>97</v>
      </c>
      <c r="E22" s="117">
        <v>134</v>
      </c>
      <c r="F22" s="117">
        <v>97</v>
      </c>
      <c r="G22" s="117">
        <v>97</v>
      </c>
      <c r="H22" s="117">
        <v>97</v>
      </c>
      <c r="I22" s="117">
        <v>97</v>
      </c>
      <c r="J22" s="37"/>
      <c r="K22" s="117">
        <v>97</v>
      </c>
      <c r="L22" s="117">
        <v>97</v>
      </c>
      <c r="M22" s="117">
        <v>97</v>
      </c>
      <c r="N22" s="243"/>
      <c r="O22" s="117">
        <v>134</v>
      </c>
      <c r="P22" s="146"/>
      <c r="Q22" s="146"/>
      <c r="R22" s="117">
        <v>97</v>
      </c>
      <c r="S22" s="117">
        <v>135</v>
      </c>
      <c r="T22" s="117">
        <v>97</v>
      </c>
      <c r="U22" s="117">
        <v>97</v>
      </c>
      <c r="V22" s="117">
        <v>134</v>
      </c>
      <c r="W22" s="117">
        <v>97</v>
      </c>
      <c r="X22" s="117">
        <v>134</v>
      </c>
      <c r="Y22" s="117">
        <v>97</v>
      </c>
      <c r="Z22" s="243"/>
      <c r="AA22" s="117">
        <v>97</v>
      </c>
      <c r="AB22" s="37"/>
      <c r="AC22" s="117">
        <v>137</v>
      </c>
      <c r="AD22" s="37"/>
      <c r="AE22" s="37"/>
      <c r="AF22" s="117">
        <v>137</v>
      </c>
      <c r="AG22" s="37"/>
      <c r="AH22" s="250"/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162</v>
      </c>
      <c r="F23" s="31" t="s">
        <v>52</v>
      </c>
      <c r="G23" s="31" t="s">
        <v>52</v>
      </c>
      <c r="H23" s="31" t="s">
        <v>52</v>
      </c>
      <c r="I23" s="31" t="s">
        <v>52</v>
      </c>
      <c r="J23" s="32"/>
      <c r="K23" s="31" t="s">
        <v>52</v>
      </c>
      <c r="L23" s="31" t="s">
        <v>52</v>
      </c>
      <c r="M23" s="31" t="s">
        <v>52</v>
      </c>
      <c r="N23" s="143"/>
      <c r="O23" s="31" t="s">
        <v>162</v>
      </c>
      <c r="P23" s="143"/>
      <c r="Q23" s="143"/>
      <c r="R23" s="31" t="s">
        <v>52</v>
      </c>
      <c r="S23" s="31" t="s">
        <v>52</v>
      </c>
      <c r="T23" s="31" t="s">
        <v>52</v>
      </c>
      <c r="U23" s="31" t="s">
        <v>52</v>
      </c>
      <c r="V23" s="31" t="s">
        <v>162</v>
      </c>
      <c r="W23" s="31" t="s">
        <v>52</v>
      </c>
      <c r="X23" s="31" t="s">
        <v>162</v>
      </c>
      <c r="Y23" s="31" t="s">
        <v>52</v>
      </c>
      <c r="Z23" s="143"/>
      <c r="AA23" s="31" t="s">
        <v>52</v>
      </c>
      <c r="AB23" s="32"/>
      <c r="AC23" s="31" t="s">
        <v>52</v>
      </c>
      <c r="AD23" s="32"/>
      <c r="AE23" s="34"/>
      <c r="AF23" s="31" t="s">
        <v>52</v>
      </c>
      <c r="AG23" s="32"/>
      <c r="AH23" s="249"/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162</v>
      </c>
      <c r="F24" s="31" t="s">
        <v>52</v>
      </c>
      <c r="G24" s="31" t="s">
        <v>52</v>
      </c>
      <c r="H24" s="31" t="s">
        <v>52</v>
      </c>
      <c r="I24" s="31" t="s">
        <v>52</v>
      </c>
      <c r="J24" s="32"/>
      <c r="K24" s="31" t="s">
        <v>52</v>
      </c>
      <c r="L24" s="31" t="s">
        <v>52</v>
      </c>
      <c r="M24" s="31" t="s">
        <v>52</v>
      </c>
      <c r="N24" s="143"/>
      <c r="O24" s="31" t="s">
        <v>162</v>
      </c>
      <c r="P24" s="143"/>
      <c r="Q24" s="143"/>
      <c r="R24" s="31" t="s">
        <v>52</v>
      </c>
      <c r="S24" s="31" t="s">
        <v>52</v>
      </c>
      <c r="T24" s="31" t="s">
        <v>52</v>
      </c>
      <c r="U24" s="31" t="s">
        <v>52</v>
      </c>
      <c r="V24" s="31" t="s">
        <v>162</v>
      </c>
      <c r="W24" s="31" t="s">
        <v>52</v>
      </c>
      <c r="X24" s="31" t="s">
        <v>162</v>
      </c>
      <c r="Y24" s="31" t="s">
        <v>52</v>
      </c>
      <c r="Z24" s="143"/>
      <c r="AA24" s="31" t="s">
        <v>52</v>
      </c>
      <c r="AB24" s="32"/>
      <c r="AC24" s="31" t="s">
        <v>52</v>
      </c>
      <c r="AD24" s="32"/>
      <c r="AE24" s="32"/>
      <c r="AF24" s="31" t="s">
        <v>52</v>
      </c>
      <c r="AG24" s="32"/>
      <c r="AH24" s="249"/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2"/>
      <c r="K25" s="31" t="s">
        <v>49</v>
      </c>
      <c r="L25" s="31" t="s">
        <v>49</v>
      </c>
      <c r="M25" s="31" t="s">
        <v>49</v>
      </c>
      <c r="N25" s="143"/>
      <c r="O25" s="31" t="s">
        <v>49</v>
      </c>
      <c r="P25" s="143"/>
      <c r="Q25" s="143"/>
      <c r="R25" s="31" t="s">
        <v>49</v>
      </c>
      <c r="S25" s="31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143"/>
      <c r="AA25" s="31" t="s">
        <v>49</v>
      </c>
      <c r="AB25" s="32"/>
      <c r="AC25" s="31" t="s">
        <v>49</v>
      </c>
      <c r="AD25" s="32"/>
      <c r="AE25" s="32"/>
      <c r="AF25" s="31" t="s">
        <v>49</v>
      </c>
      <c r="AG25" s="32"/>
      <c r="AH25" s="249"/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2"/>
      <c r="K26" s="31" t="s">
        <v>49</v>
      </c>
      <c r="L26" s="31" t="s">
        <v>49</v>
      </c>
      <c r="M26" s="31" t="s">
        <v>49</v>
      </c>
      <c r="N26" s="143"/>
      <c r="O26" s="31" t="s">
        <v>49</v>
      </c>
      <c r="P26" s="143"/>
      <c r="Q26" s="143"/>
      <c r="R26" s="31" t="s">
        <v>49</v>
      </c>
      <c r="S26" s="31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143"/>
      <c r="AA26" s="31" t="s">
        <v>49</v>
      </c>
      <c r="AB26" s="32"/>
      <c r="AC26" s="31" t="s">
        <v>49</v>
      </c>
      <c r="AD26" s="32"/>
      <c r="AE26" s="32"/>
      <c r="AF26" s="31" t="s">
        <v>49</v>
      </c>
      <c r="AG26" s="32"/>
      <c r="AH26" s="249"/>
    </row>
    <row x14ac:dyDescent="0.25" r="27" customHeight="1" ht="18.75">
      <c r="A27" s="30" t="s">
        <v>127</v>
      </c>
      <c r="B27" s="31" t="s">
        <v>488</v>
      </c>
      <c r="C27" s="31" t="s">
        <v>488</v>
      </c>
      <c r="D27" s="31" t="s">
        <v>488</v>
      </c>
      <c r="E27" s="31" t="s">
        <v>488</v>
      </c>
      <c r="F27" s="31" t="s">
        <v>488</v>
      </c>
      <c r="G27" s="31" t="s">
        <v>488</v>
      </c>
      <c r="H27" s="31" t="s">
        <v>488</v>
      </c>
      <c r="I27" s="31" t="s">
        <v>488</v>
      </c>
      <c r="J27" s="32"/>
      <c r="K27" s="31" t="s">
        <v>488</v>
      </c>
      <c r="L27" s="31" t="s">
        <v>488</v>
      </c>
      <c r="M27" s="31" t="s">
        <v>488</v>
      </c>
      <c r="N27" s="143"/>
      <c r="O27" s="31" t="s">
        <v>488</v>
      </c>
      <c r="P27" s="143"/>
      <c r="Q27" s="143"/>
      <c r="R27" s="31" t="s">
        <v>488</v>
      </c>
      <c r="S27" s="119" t="s">
        <v>1279</v>
      </c>
      <c r="T27" s="31" t="s">
        <v>488</v>
      </c>
      <c r="U27" s="31" t="s">
        <v>488</v>
      </c>
      <c r="V27" s="31" t="s">
        <v>488</v>
      </c>
      <c r="W27" s="31" t="s">
        <v>488</v>
      </c>
      <c r="X27" s="31" t="s">
        <v>488</v>
      </c>
      <c r="Y27" s="31" t="s">
        <v>488</v>
      </c>
      <c r="Z27" s="143"/>
      <c r="AA27" s="31" t="s">
        <v>488</v>
      </c>
      <c r="AB27" s="32"/>
      <c r="AC27" s="186" t="s">
        <v>487</v>
      </c>
      <c r="AD27" s="32"/>
      <c r="AE27" s="32"/>
      <c r="AF27" s="186" t="s">
        <v>487</v>
      </c>
      <c r="AG27" s="32"/>
      <c r="AH27" s="249"/>
    </row>
    <row x14ac:dyDescent="0.25" r="28" customHeight="1" ht="18.75">
      <c r="A28" s="30" t="s">
        <v>128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/>
      <c r="K28" s="31">
        <v>0</v>
      </c>
      <c r="L28" s="31">
        <v>0</v>
      </c>
      <c r="M28" s="31">
        <v>0</v>
      </c>
      <c r="N28" s="143"/>
      <c r="O28" s="31">
        <v>0</v>
      </c>
      <c r="P28" s="143"/>
      <c r="Q28" s="143"/>
      <c r="R28" s="31">
        <v>0</v>
      </c>
      <c r="S28" s="31">
        <f>AVERAGE(-3,0)</f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143"/>
      <c r="AA28" s="31">
        <v>0</v>
      </c>
      <c r="AB28" s="31"/>
      <c r="AC28" s="31">
        <f>AVERAGE(0,2.5)</f>
      </c>
      <c r="AD28" s="31"/>
      <c r="AE28" s="31"/>
      <c r="AF28" s="31">
        <f>AVERAGE(0,2.5)</f>
      </c>
      <c r="AG28" s="31"/>
      <c r="AH28" s="143"/>
    </row>
    <row x14ac:dyDescent="0.25" r="29" customHeight="1" ht="18.75">
      <c r="A29" s="30" t="s">
        <v>129</v>
      </c>
      <c r="B29" s="31" t="s">
        <v>134</v>
      </c>
      <c r="C29" s="31" t="s">
        <v>134</v>
      </c>
      <c r="D29" s="31" t="s">
        <v>134</v>
      </c>
      <c r="E29" s="119" t="s">
        <v>369</v>
      </c>
      <c r="F29" s="31" t="s">
        <v>134</v>
      </c>
      <c r="G29" s="31" t="s">
        <v>134</v>
      </c>
      <c r="H29" s="31" t="s">
        <v>134</v>
      </c>
      <c r="I29" s="31" t="s">
        <v>134</v>
      </c>
      <c r="J29" s="32"/>
      <c r="K29" s="31" t="s">
        <v>134</v>
      </c>
      <c r="L29" s="31" t="s">
        <v>134</v>
      </c>
      <c r="M29" s="31" t="s">
        <v>134</v>
      </c>
      <c r="N29" s="143"/>
      <c r="O29" s="119" t="s">
        <v>369</v>
      </c>
      <c r="P29" s="143"/>
      <c r="Q29" s="143"/>
      <c r="R29" s="31" t="s">
        <v>134</v>
      </c>
      <c r="S29" s="31" t="s">
        <v>321</v>
      </c>
      <c r="T29" s="31" t="s">
        <v>134</v>
      </c>
      <c r="U29" s="31" t="s">
        <v>134</v>
      </c>
      <c r="V29" s="119" t="s">
        <v>369</v>
      </c>
      <c r="W29" s="31" t="s">
        <v>134</v>
      </c>
      <c r="X29" s="119" t="s">
        <v>369</v>
      </c>
      <c r="Y29" s="31" t="s">
        <v>134</v>
      </c>
      <c r="Z29" s="143"/>
      <c r="AA29" s="31" t="s">
        <v>134</v>
      </c>
      <c r="AB29" s="32"/>
      <c r="AC29" s="31" t="s">
        <v>489</v>
      </c>
      <c r="AD29" s="32"/>
      <c r="AE29" s="32"/>
      <c r="AF29" s="31" t="s">
        <v>489</v>
      </c>
      <c r="AG29" s="32"/>
      <c r="AH29" s="249"/>
    </row>
    <row x14ac:dyDescent="0.25" r="30" customHeight="1" ht="18.75">
      <c r="A30" s="30" t="s">
        <v>130</v>
      </c>
      <c r="B30" s="31">
        <f>1/3</f>
      </c>
      <c r="C30" s="31">
        <f>1/3</f>
      </c>
      <c r="D30" s="31">
        <f>1/3</f>
      </c>
      <c r="E30" s="31">
        <f>AVERAGE(1/3,0)</f>
      </c>
      <c r="F30" s="31">
        <f>1/3</f>
      </c>
      <c r="G30" s="31">
        <f>1/3</f>
      </c>
      <c r="H30" s="31">
        <f>1/3</f>
      </c>
      <c r="I30" s="31">
        <f>1/3</f>
      </c>
      <c r="J30" s="31"/>
      <c r="K30" s="31">
        <f>1/3</f>
      </c>
      <c r="L30" s="31">
        <f>1/3</f>
      </c>
      <c r="M30" s="31">
        <f>1/3</f>
      </c>
      <c r="N30" s="143"/>
      <c r="O30" s="31">
        <f>AVERAGE(1/3,0)</f>
      </c>
      <c r="P30" s="143"/>
      <c r="Q30" s="143"/>
      <c r="R30" s="31">
        <f>1/3</f>
      </c>
      <c r="S30" s="31">
        <f>AVERAGE(4,0.5)</f>
      </c>
      <c r="T30" s="31">
        <f>1/3</f>
      </c>
      <c r="U30" s="31">
        <f>1/3</f>
      </c>
      <c r="V30" s="31">
        <f>AVERAGE(1/3,0)</f>
      </c>
      <c r="W30" s="31">
        <f>1/3</f>
      </c>
      <c r="X30" s="31">
        <f>AVERAGE(1/3,0)</f>
      </c>
      <c r="Y30" s="31">
        <f>1/3</f>
      </c>
      <c r="Z30" s="143"/>
      <c r="AA30" s="31">
        <f>1/3</f>
      </c>
      <c r="AB30" s="31"/>
      <c r="AC30" s="31">
        <f>AVERAGE(0.5,2.5)</f>
      </c>
      <c r="AD30" s="31"/>
      <c r="AE30" s="31"/>
      <c r="AF30" s="31">
        <f>AVERAGE(0.5,2.5)</f>
      </c>
      <c r="AG30" s="31"/>
      <c r="AH30" s="143"/>
    </row>
    <row x14ac:dyDescent="0.25" r="31" customHeight="1" ht="18.75">
      <c r="A31" s="3"/>
      <c r="B31" s="2"/>
      <c r="C31" s="2"/>
      <c r="D31" s="2"/>
      <c r="E31" s="149"/>
      <c r="F31" s="149"/>
      <c r="G31" s="2"/>
      <c r="H31" s="2"/>
      <c r="I31" s="2"/>
      <c r="J31" s="4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"/>
      <c r="AC31" s="2"/>
      <c r="AD31" s="3"/>
      <c r="AE31" s="3"/>
      <c r="AF31" s="2"/>
      <c r="AG31" s="46"/>
      <c r="AH31" s="3"/>
    </row>
    <row x14ac:dyDescent="0.25" r="32" customHeight="1" ht="18.75">
      <c r="A32" s="38" t="s">
        <v>64</v>
      </c>
      <c r="B32" s="2"/>
      <c r="C32" s="2"/>
      <c r="D32" s="2"/>
      <c r="E32" s="149"/>
      <c r="F32" s="149"/>
      <c r="G32" s="2"/>
      <c r="H32" s="2"/>
      <c r="I32" s="2"/>
      <c r="J32" s="4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  <c r="AC32" s="2"/>
      <c r="AD32" s="3"/>
      <c r="AE32" s="3"/>
      <c r="AF32" s="2"/>
      <c r="AG32" s="46"/>
      <c r="AH32" s="3"/>
    </row>
    <row x14ac:dyDescent="0.25" r="33" customHeight="1" ht="18.75">
      <c r="A33" s="207" t="s">
        <v>1280</v>
      </c>
      <c r="B33" s="40" t="s">
        <v>1281</v>
      </c>
      <c r="C33" s="2"/>
      <c r="D33" s="2"/>
      <c r="E33" s="149"/>
      <c r="F33" s="149"/>
      <c r="G33" s="2"/>
      <c r="H33" s="2"/>
      <c r="I33" s="2"/>
      <c r="J33" s="4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  <c r="AC33" s="2"/>
      <c r="AD33" s="3"/>
      <c r="AE33" s="3"/>
      <c r="AF33" s="2"/>
      <c r="AG33" s="46"/>
      <c r="AH33" s="3"/>
    </row>
    <row x14ac:dyDescent="0.25" r="34" customHeight="1" ht="18.75">
      <c r="A34" s="123"/>
      <c r="B34" s="40" t="s">
        <v>1282</v>
      </c>
      <c r="C34" s="2"/>
      <c r="D34" s="2"/>
      <c r="E34" s="149"/>
      <c r="F34" s="149"/>
      <c r="G34" s="2"/>
      <c r="H34" s="2"/>
      <c r="I34" s="2"/>
      <c r="J34" s="4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  <c r="AC34" s="2"/>
      <c r="AD34" s="3"/>
      <c r="AE34" s="3"/>
      <c r="AF34" s="2"/>
      <c r="AG34" s="46"/>
      <c r="AH34" s="3"/>
    </row>
    <row x14ac:dyDescent="0.25" r="35" customHeight="1" ht="18.75">
      <c r="A35" s="41" t="s">
        <v>1283</v>
      </c>
      <c r="B35" s="238"/>
      <c r="C35" s="2"/>
      <c r="D35" s="2"/>
      <c r="E35" s="149"/>
      <c r="F35" s="149"/>
      <c r="G35" s="2"/>
      <c r="H35" s="2"/>
      <c r="I35" s="2"/>
      <c r="J35" s="4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  <c r="AC35" s="2"/>
      <c r="AD35" s="3"/>
      <c r="AE35" s="3"/>
      <c r="AF35" s="2"/>
      <c r="AG35" s="46"/>
      <c r="AH35" s="3"/>
    </row>
    <row x14ac:dyDescent="0.25" r="36" customHeight="1" ht="18.75">
      <c r="A36" s="3"/>
      <c r="B36" s="2"/>
      <c r="C36" s="2"/>
      <c r="D36" s="2"/>
      <c r="E36" s="149"/>
      <c r="F36" s="149"/>
      <c r="G36" s="2"/>
      <c r="H36" s="2"/>
      <c r="I36" s="2"/>
      <c r="J36" s="4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/>
      <c r="AC36" s="2"/>
      <c r="AD36" s="3"/>
      <c r="AE36" s="3"/>
      <c r="AF36" s="2"/>
      <c r="AG36" s="46"/>
      <c r="AH36" s="3"/>
    </row>
    <row x14ac:dyDescent="0.25" r="37" customHeight="1" ht="18.75">
      <c r="A37" s="3"/>
      <c r="B37" s="2"/>
      <c r="C37" s="2"/>
      <c r="D37" s="2"/>
      <c r="E37" s="149"/>
      <c r="F37" s="149"/>
      <c r="G37" s="2"/>
      <c r="H37" s="2"/>
      <c r="I37" s="2"/>
      <c r="J37" s="4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  <c r="AC37" s="2"/>
      <c r="AD37" s="3"/>
      <c r="AE37" s="3"/>
      <c r="AF37" s="2"/>
      <c r="AG37" s="46"/>
      <c r="AH37" s="3"/>
    </row>
    <row x14ac:dyDescent="0.25" r="38" customHeight="1" ht="18.75">
      <c r="A38" s="3"/>
      <c r="B38" s="2"/>
      <c r="C38" s="2"/>
      <c r="D38" s="2"/>
      <c r="E38" s="149"/>
      <c r="F38" s="149"/>
      <c r="G38" s="2"/>
      <c r="H38" s="2"/>
      <c r="I38" s="2"/>
      <c r="J38" s="4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"/>
      <c r="AC38" s="2"/>
      <c r="AD38" s="3"/>
      <c r="AE38" s="3"/>
      <c r="AF38" s="2"/>
      <c r="AG38" s="46"/>
      <c r="AH38" s="3"/>
    </row>
    <row x14ac:dyDescent="0.25" r="39" customHeight="1" ht="18.75">
      <c r="A39" s="3"/>
      <c r="B39" s="2"/>
      <c r="C39" s="2"/>
      <c r="D39" s="2"/>
      <c r="E39" s="149"/>
      <c r="F39" s="149"/>
      <c r="G39" s="2"/>
      <c r="H39" s="2"/>
      <c r="I39" s="2"/>
      <c r="J39" s="4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"/>
      <c r="AC39" s="2"/>
      <c r="AD39" s="3"/>
      <c r="AE39" s="3"/>
      <c r="AF39" s="2"/>
      <c r="AG39" s="46"/>
      <c r="AH39" s="3"/>
    </row>
    <row x14ac:dyDescent="0.25" r="40" customHeight="1" ht="18.75">
      <c r="A40" s="3"/>
      <c r="B40" s="2"/>
      <c r="C40" s="2"/>
      <c r="D40" s="2"/>
      <c r="E40" s="149"/>
      <c r="F40" s="149"/>
      <c r="G40" s="2"/>
      <c r="H40" s="2"/>
      <c r="I40" s="2"/>
      <c r="J40" s="4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"/>
      <c r="AC40" s="2"/>
      <c r="AD40" s="3"/>
      <c r="AE40" s="3"/>
      <c r="AF40" s="2"/>
      <c r="AG40" s="46"/>
      <c r="AH40" s="3"/>
    </row>
    <row x14ac:dyDescent="0.25" r="41" customHeight="1" ht="18.75">
      <c r="A41" s="3"/>
      <c r="B41" s="2"/>
      <c r="C41" s="2"/>
      <c r="D41" s="2"/>
      <c r="E41" s="149"/>
      <c r="F41" s="149"/>
      <c r="G41" s="2"/>
      <c r="H41" s="2"/>
      <c r="I41" s="2"/>
      <c r="J41" s="46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50"/>
      <c r="X41" s="2"/>
      <c r="Y41" s="2"/>
      <c r="Z41" s="2"/>
      <c r="AA41" s="2"/>
      <c r="AB41" s="3"/>
      <c r="AC41" s="2"/>
      <c r="AD41" s="3"/>
      <c r="AE41" s="3"/>
      <c r="AF41" s="2"/>
      <c r="AG41" s="46"/>
      <c r="AH41" s="3"/>
    </row>
    <row x14ac:dyDescent="0.25" r="42" customHeight="1" ht="18.75">
      <c r="A42" s="3"/>
      <c r="B42" s="2"/>
      <c r="C42" s="2"/>
      <c r="D42" s="2"/>
      <c r="E42" s="149"/>
      <c r="F42" s="149"/>
      <c r="G42" s="2"/>
      <c r="H42" s="2"/>
      <c r="I42" s="2"/>
      <c r="J42" s="4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"/>
      <c r="AC42" s="2"/>
      <c r="AD42" s="3"/>
      <c r="AE42" s="3"/>
      <c r="AF42" s="2"/>
      <c r="AG42" s="46"/>
      <c r="AH42" s="3"/>
    </row>
    <row x14ac:dyDescent="0.25" r="43" customHeight="1" ht="18.75">
      <c r="A43" s="3"/>
      <c r="B43" s="2"/>
      <c r="C43" s="2"/>
      <c r="D43" s="2"/>
      <c r="E43" s="149"/>
      <c r="F43" s="149"/>
      <c r="G43" s="2"/>
      <c r="H43" s="2"/>
      <c r="I43" s="2"/>
      <c r="J43" s="4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  <c r="AC43" s="2"/>
      <c r="AD43" s="3"/>
      <c r="AE43" s="3"/>
      <c r="AF43" s="2"/>
      <c r="AG43" s="46"/>
      <c r="AH43" s="3"/>
    </row>
    <row x14ac:dyDescent="0.25" r="44" customHeight="1" ht="18.75">
      <c r="A44" s="3"/>
      <c r="B44" s="2"/>
      <c r="C44" s="2"/>
      <c r="D44" s="2"/>
      <c r="E44" s="149"/>
      <c r="F44" s="149"/>
      <c r="G44" s="2"/>
      <c r="H44" s="2"/>
      <c r="I44" s="2"/>
      <c r="J44" s="46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"/>
      <c r="AC44" s="2"/>
      <c r="AD44" s="3"/>
      <c r="AE44" s="3"/>
      <c r="AF44" s="2"/>
      <c r="AG44" s="46"/>
      <c r="AH44" s="3"/>
    </row>
    <row x14ac:dyDescent="0.25" r="45" customHeight="1" ht="18.75">
      <c r="A45" s="3"/>
      <c r="B45" s="2"/>
      <c r="C45" s="2"/>
      <c r="D45" s="2"/>
      <c r="E45" s="149"/>
      <c r="F45" s="149"/>
      <c r="G45" s="2"/>
      <c r="H45" s="2"/>
      <c r="I45" s="2"/>
      <c r="J45" s="46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"/>
      <c r="AC45" s="2"/>
      <c r="AD45" s="3"/>
      <c r="AE45" s="3"/>
      <c r="AF45" s="2"/>
      <c r="AG45" s="46"/>
      <c r="AH45" s="3"/>
    </row>
    <row x14ac:dyDescent="0.25" r="46" customHeight="1" ht="18.75">
      <c r="A46" s="3"/>
      <c r="B46" s="2"/>
      <c r="C46" s="2"/>
      <c r="D46" s="2"/>
      <c r="E46" s="150"/>
      <c r="F46" s="150"/>
      <c r="G46" s="2"/>
      <c r="H46" s="2"/>
      <c r="I46" s="2"/>
      <c r="J46" s="3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/>
      <c r="AC46" s="2"/>
      <c r="AD46" s="3"/>
      <c r="AE46" s="3"/>
      <c r="AF46" s="2"/>
      <c r="AG46" s="30"/>
      <c r="AH46" s="3"/>
    </row>
  </sheetData>
  <mergeCells count="6">
    <mergeCell ref="B3:D3"/>
    <mergeCell ref="F3:O3"/>
    <mergeCell ref="B4:D4"/>
    <mergeCell ref="F4:O5"/>
    <mergeCell ref="B5:D5"/>
    <mergeCell ref="A33:A3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6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32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1260</v>
      </c>
      <c r="C4" s="7"/>
      <c r="D4" s="7"/>
      <c r="E4" s="2"/>
      <c r="F4" s="124" t="s">
        <v>1261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11" t="s">
        <v>10</v>
      </c>
    </row>
    <row x14ac:dyDescent="0.25" r="8" customHeight="1" ht="15.75">
      <c r="A8" s="30" t="s">
        <v>43</v>
      </c>
      <c r="B8" s="31" t="s">
        <v>138</v>
      </c>
      <c r="C8" s="31" t="s">
        <v>301</v>
      </c>
      <c r="D8" s="31" t="s">
        <v>301</v>
      </c>
      <c r="E8" s="31" t="s">
        <v>301</v>
      </c>
      <c r="F8" s="143"/>
      <c r="G8" s="143"/>
      <c r="H8" s="242"/>
      <c r="I8" s="143"/>
      <c r="J8" s="31" t="s">
        <v>139</v>
      </c>
      <c r="K8" s="31" t="s">
        <v>139</v>
      </c>
      <c r="L8" s="31" t="s">
        <v>139</v>
      </c>
      <c r="M8" s="31" t="s">
        <v>139</v>
      </c>
      <c r="N8" s="31" t="s">
        <v>139</v>
      </c>
      <c r="O8" s="31" t="s">
        <v>139</v>
      </c>
      <c r="P8" s="31" t="s">
        <v>139</v>
      </c>
      <c r="Q8" s="31" t="s">
        <v>139</v>
      </c>
      <c r="R8" s="31" t="s">
        <v>139</v>
      </c>
      <c r="S8" s="31" t="s">
        <v>139</v>
      </c>
      <c r="T8" s="31" t="s">
        <v>571</v>
      </c>
      <c r="U8" s="31" t="s">
        <v>139</v>
      </c>
      <c r="V8" s="31" t="s">
        <v>139</v>
      </c>
      <c r="W8" s="31" t="s">
        <v>139</v>
      </c>
      <c r="X8" s="31" t="s">
        <v>139</v>
      </c>
      <c r="Y8" s="31" t="s">
        <v>139</v>
      </c>
      <c r="Z8" s="31" t="s">
        <v>139</v>
      </c>
      <c r="AA8" s="31" t="s">
        <v>139</v>
      </c>
      <c r="AB8" s="31" t="s">
        <v>139</v>
      </c>
      <c r="AC8" s="31" t="s">
        <v>1213</v>
      </c>
      <c r="AD8" s="31" t="s">
        <v>1213</v>
      </c>
      <c r="AE8" s="31" t="s">
        <v>1213</v>
      </c>
      <c r="AF8" s="31" t="s">
        <v>139</v>
      </c>
      <c r="AG8" s="31" t="s">
        <v>139</v>
      </c>
      <c r="AH8" s="31" t="s">
        <v>139</v>
      </c>
      <c r="AI8" s="3"/>
      <c r="AJ8" s="31" t="s">
        <v>138</v>
      </c>
    </row>
    <row x14ac:dyDescent="0.25" r="9" customHeight="1" ht="15.75">
      <c r="A9" s="30" t="s">
        <v>45</v>
      </c>
      <c r="B9" s="31" t="s">
        <v>139</v>
      </c>
      <c r="C9" s="31" t="s">
        <v>227</v>
      </c>
      <c r="D9" s="31" t="s">
        <v>227</v>
      </c>
      <c r="E9" s="31" t="s">
        <v>294</v>
      </c>
      <c r="F9" s="143"/>
      <c r="G9" s="143"/>
      <c r="H9" s="242"/>
      <c r="I9" s="143"/>
      <c r="J9" s="33" t="s">
        <v>139</v>
      </c>
      <c r="K9" s="33" t="s">
        <v>139</v>
      </c>
      <c r="L9" s="33" t="s">
        <v>139</v>
      </c>
      <c r="M9" s="33" t="s">
        <v>139</v>
      </c>
      <c r="N9" s="33" t="s">
        <v>139</v>
      </c>
      <c r="O9" s="33" t="s">
        <v>139</v>
      </c>
      <c r="P9" s="33" t="s">
        <v>139</v>
      </c>
      <c r="Q9" s="33" t="s">
        <v>139</v>
      </c>
      <c r="R9" s="33" t="s">
        <v>139</v>
      </c>
      <c r="S9" s="33" t="s">
        <v>139</v>
      </c>
      <c r="T9" s="31" t="s">
        <v>294</v>
      </c>
      <c r="U9" s="33" t="s">
        <v>139</v>
      </c>
      <c r="V9" s="33" t="s">
        <v>139</v>
      </c>
      <c r="W9" s="33" t="s">
        <v>139</v>
      </c>
      <c r="X9" s="33" t="s">
        <v>139</v>
      </c>
      <c r="Y9" s="33" t="s">
        <v>139</v>
      </c>
      <c r="Z9" s="33" t="s">
        <v>139</v>
      </c>
      <c r="AA9" s="33" t="s">
        <v>139</v>
      </c>
      <c r="AB9" s="33" t="s">
        <v>139</v>
      </c>
      <c r="AC9" s="33" t="s">
        <v>281</v>
      </c>
      <c r="AD9" s="33" t="s">
        <v>281</v>
      </c>
      <c r="AE9" s="33" t="s">
        <v>281</v>
      </c>
      <c r="AF9" s="33" t="s">
        <v>139</v>
      </c>
      <c r="AG9" s="33" t="s">
        <v>139</v>
      </c>
      <c r="AH9" s="33" t="s">
        <v>139</v>
      </c>
      <c r="AI9" s="3"/>
      <c r="AJ9" s="33" t="s">
        <v>139</v>
      </c>
    </row>
    <row x14ac:dyDescent="0.25" r="10" customHeight="1" ht="15.75">
      <c r="A10" s="35" t="s">
        <v>47</v>
      </c>
      <c r="B10" s="117">
        <v>1</v>
      </c>
      <c r="C10" s="117">
        <v>56</v>
      </c>
      <c r="D10" s="117">
        <v>56</v>
      </c>
      <c r="E10" s="117">
        <v>34</v>
      </c>
      <c r="F10" s="243"/>
      <c r="G10" s="243"/>
      <c r="H10" s="244"/>
      <c r="I10" s="243"/>
      <c r="J10" s="117">
        <v>1</v>
      </c>
      <c r="K10" s="117">
        <v>1</v>
      </c>
      <c r="L10" s="117">
        <v>1</v>
      </c>
      <c r="M10" s="117">
        <v>1</v>
      </c>
      <c r="N10" s="117">
        <v>1</v>
      </c>
      <c r="O10" s="117">
        <v>1</v>
      </c>
      <c r="P10" s="117">
        <v>1</v>
      </c>
      <c r="Q10" s="117">
        <v>1</v>
      </c>
      <c r="R10" s="117">
        <v>1</v>
      </c>
      <c r="S10" s="117">
        <v>1</v>
      </c>
      <c r="T10" s="117">
        <v>34</v>
      </c>
      <c r="U10" s="117">
        <v>1</v>
      </c>
      <c r="V10" s="117">
        <v>1</v>
      </c>
      <c r="W10" s="117">
        <v>1</v>
      </c>
      <c r="X10" s="117">
        <v>1</v>
      </c>
      <c r="Y10" s="117">
        <v>1</v>
      </c>
      <c r="Z10" s="117">
        <v>1</v>
      </c>
      <c r="AA10" s="117">
        <v>1</v>
      </c>
      <c r="AB10" s="117">
        <v>1</v>
      </c>
      <c r="AC10" s="117">
        <v>17</v>
      </c>
      <c r="AD10" s="117">
        <v>17</v>
      </c>
      <c r="AE10" s="117">
        <v>17</v>
      </c>
      <c r="AF10" s="117">
        <v>1</v>
      </c>
      <c r="AG10" s="117">
        <v>1</v>
      </c>
      <c r="AH10" s="117">
        <v>1</v>
      </c>
      <c r="AI10" s="3"/>
      <c r="AJ10" s="117">
        <v>1</v>
      </c>
    </row>
    <row x14ac:dyDescent="0.25" r="11" customHeight="1" ht="15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143"/>
      <c r="G11" s="143"/>
      <c r="H11" s="242"/>
      <c r="I11" s="143"/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</row>
    <row x14ac:dyDescent="0.25" r="12" customHeight="1" ht="15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143"/>
      <c r="G12" s="143"/>
      <c r="H12" s="242"/>
      <c r="I12" s="143"/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1" t="s">
        <v>49</v>
      </c>
    </row>
    <row x14ac:dyDescent="0.25" r="13" customHeight="1" ht="15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143"/>
      <c r="G13" s="143"/>
      <c r="H13" s="242"/>
      <c r="I13" s="143"/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52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</row>
    <row x14ac:dyDescent="0.25" r="14" customHeight="1" ht="15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143"/>
      <c r="G14" s="143"/>
      <c r="H14" s="242"/>
      <c r="I14" s="143"/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5.75">
      <c r="A15" s="30" t="s">
        <v>127</v>
      </c>
      <c r="B15" s="31" t="s">
        <v>140</v>
      </c>
      <c r="C15" s="31" t="s">
        <v>133</v>
      </c>
      <c r="D15" s="31" t="s">
        <v>133</v>
      </c>
      <c r="E15" s="31" t="s">
        <v>133</v>
      </c>
      <c r="F15" s="143"/>
      <c r="G15" s="143"/>
      <c r="H15" s="242"/>
      <c r="I15" s="143"/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133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133</v>
      </c>
      <c r="AD15" s="31" t="s">
        <v>133</v>
      </c>
      <c r="AE15" s="31" t="s">
        <v>133</v>
      </c>
      <c r="AF15" s="31" t="s">
        <v>140</v>
      </c>
      <c r="AG15" s="31" t="s">
        <v>140</v>
      </c>
      <c r="AH15" s="31" t="s">
        <v>140</v>
      </c>
      <c r="AI15" s="3"/>
      <c r="AJ15" s="31" t="s">
        <v>140</v>
      </c>
    </row>
    <row x14ac:dyDescent="0.25" r="16" customHeight="1" ht="15.75">
      <c r="A16" s="30" t="s">
        <v>128</v>
      </c>
      <c r="B16" s="33">
        <v>3</v>
      </c>
      <c r="C16" s="33">
        <v>-0.5</v>
      </c>
      <c r="D16" s="33">
        <v>-0.5</v>
      </c>
      <c r="E16" s="33">
        <v>-0.5</v>
      </c>
      <c r="F16" s="146"/>
      <c r="G16" s="146"/>
      <c r="H16" s="143"/>
      <c r="I16" s="143"/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33">
        <v>-0.5</v>
      </c>
      <c r="U16" s="31">
        <v>3</v>
      </c>
      <c r="V16" s="31">
        <v>3</v>
      </c>
      <c r="W16" s="31">
        <v>3</v>
      </c>
      <c r="X16" s="31">
        <v>3</v>
      </c>
      <c r="Y16" s="31">
        <v>3</v>
      </c>
      <c r="Z16" s="31">
        <v>3</v>
      </c>
      <c r="AA16" s="31">
        <v>3</v>
      </c>
      <c r="AB16" s="31">
        <v>3</v>
      </c>
      <c r="AC16" s="31">
        <v>-2</v>
      </c>
      <c r="AD16" s="31">
        <v>-2</v>
      </c>
      <c r="AE16" s="31">
        <v>-2</v>
      </c>
      <c r="AF16" s="31">
        <v>3</v>
      </c>
      <c r="AG16" s="31">
        <v>3</v>
      </c>
      <c r="AH16" s="31">
        <v>3</v>
      </c>
      <c r="AI16" s="3"/>
      <c r="AJ16" s="31">
        <v>3</v>
      </c>
    </row>
    <row x14ac:dyDescent="0.25" r="17" customHeight="1" ht="15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274</v>
      </c>
      <c r="F17" s="143"/>
      <c r="G17" s="143"/>
      <c r="H17" s="143"/>
      <c r="I17" s="143"/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274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  <c r="AI17" s="3"/>
      <c r="AJ17" s="31" t="s">
        <v>138</v>
      </c>
    </row>
    <row x14ac:dyDescent="0.25" r="18" customHeight="1" ht="15.75">
      <c r="A18" s="30" t="s">
        <v>130</v>
      </c>
      <c r="B18" s="31">
        <v>4</v>
      </c>
      <c r="C18" s="31">
        <v>2</v>
      </c>
      <c r="D18" s="31">
        <v>2</v>
      </c>
      <c r="E18" s="31">
        <v>3</v>
      </c>
      <c r="F18" s="143"/>
      <c r="G18" s="143"/>
      <c r="H18" s="143"/>
      <c r="I18" s="143"/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3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  <c r="AI18" s="3"/>
      <c r="AJ18" s="31">
        <v>4</v>
      </c>
    </row>
    <row x14ac:dyDescent="0.25" r="19" customHeight="1" ht="15.7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</row>
    <row x14ac:dyDescent="0.25" r="20" customHeight="1" ht="15.75">
      <c r="A20" s="30" t="s">
        <v>43</v>
      </c>
      <c r="B20" s="31" t="s">
        <v>198</v>
      </c>
      <c r="C20" s="143"/>
      <c r="D20" s="143"/>
      <c r="E20" s="143"/>
      <c r="F20" s="31" t="s">
        <v>1087</v>
      </c>
      <c r="G20" s="31" t="s">
        <v>150</v>
      </c>
      <c r="H20" s="31" t="s">
        <v>150</v>
      </c>
      <c r="I20" s="31" t="s">
        <v>150</v>
      </c>
      <c r="J20" s="31" t="s">
        <v>1088</v>
      </c>
      <c r="K20" s="31" t="s">
        <v>149</v>
      </c>
      <c r="L20" s="31" t="s">
        <v>149</v>
      </c>
      <c r="M20" s="31" t="s">
        <v>149</v>
      </c>
      <c r="N20" s="31" t="s">
        <v>149</v>
      </c>
      <c r="O20" s="31" t="s">
        <v>149</v>
      </c>
      <c r="P20" s="31" t="s">
        <v>149</v>
      </c>
      <c r="Q20" s="31" t="s">
        <v>149</v>
      </c>
      <c r="R20" s="31" t="s">
        <v>149</v>
      </c>
      <c r="S20" s="31" t="s">
        <v>1089</v>
      </c>
      <c r="T20" s="143"/>
      <c r="U20" s="31" t="s">
        <v>68</v>
      </c>
      <c r="V20" s="31" t="s">
        <v>149</v>
      </c>
      <c r="W20" s="31" t="s">
        <v>149</v>
      </c>
      <c r="X20" s="31" t="s">
        <v>180</v>
      </c>
      <c r="Y20" s="31" t="s">
        <v>180</v>
      </c>
      <c r="Z20" s="31" t="s">
        <v>68</v>
      </c>
      <c r="AA20" s="31" t="s">
        <v>68</v>
      </c>
      <c r="AB20" s="31" t="s">
        <v>68</v>
      </c>
      <c r="AC20" s="143"/>
      <c r="AD20" s="143"/>
      <c r="AE20" s="143"/>
      <c r="AF20" s="31" t="s">
        <v>68</v>
      </c>
      <c r="AG20" s="31" t="s">
        <v>149</v>
      </c>
      <c r="AH20" s="31" t="s">
        <v>149</v>
      </c>
      <c r="AI20" s="3"/>
      <c r="AJ20" s="31" t="s">
        <v>198</v>
      </c>
    </row>
    <row x14ac:dyDescent="0.25" r="21" customHeight="1" ht="15.75">
      <c r="A21" s="30" t="s">
        <v>45</v>
      </c>
      <c r="B21" s="31" t="s">
        <v>156</v>
      </c>
      <c r="C21" s="143"/>
      <c r="D21" s="143"/>
      <c r="E21" s="146"/>
      <c r="F21" s="31" t="s">
        <v>1090</v>
      </c>
      <c r="G21" s="31" t="s">
        <v>732</v>
      </c>
      <c r="H21" s="31" t="s">
        <v>1091</v>
      </c>
      <c r="I21" s="31" t="s">
        <v>1091</v>
      </c>
      <c r="J21" s="31" t="s">
        <v>1092</v>
      </c>
      <c r="K21" s="33" t="s">
        <v>149</v>
      </c>
      <c r="L21" s="31" t="s">
        <v>749</v>
      </c>
      <c r="M21" s="31" t="s">
        <v>750</v>
      </c>
      <c r="N21" s="33" t="s">
        <v>149</v>
      </c>
      <c r="O21" s="33" t="s">
        <v>149</v>
      </c>
      <c r="P21" s="33" t="s">
        <v>149</v>
      </c>
      <c r="Q21" s="33" t="s">
        <v>149</v>
      </c>
      <c r="R21" s="33" t="s">
        <v>149</v>
      </c>
      <c r="S21" s="33" t="s">
        <v>1093</v>
      </c>
      <c r="T21" s="146"/>
      <c r="U21" s="31" t="s">
        <v>132</v>
      </c>
      <c r="V21" s="33" t="s">
        <v>149</v>
      </c>
      <c r="W21" s="33" t="s">
        <v>149</v>
      </c>
      <c r="X21" s="31" t="s">
        <v>374</v>
      </c>
      <c r="Y21" s="31" t="s">
        <v>374</v>
      </c>
      <c r="Z21" s="31" t="s">
        <v>132</v>
      </c>
      <c r="AA21" s="31" t="s">
        <v>132</v>
      </c>
      <c r="AB21" s="31" t="s">
        <v>132</v>
      </c>
      <c r="AC21" s="146"/>
      <c r="AD21" s="146"/>
      <c r="AE21" s="146"/>
      <c r="AF21" s="31" t="s">
        <v>132</v>
      </c>
      <c r="AG21" s="33" t="s">
        <v>149</v>
      </c>
      <c r="AH21" s="33" t="s">
        <v>149</v>
      </c>
      <c r="AI21" s="3"/>
      <c r="AJ21" s="31" t="s">
        <v>361</v>
      </c>
    </row>
    <row x14ac:dyDescent="0.25" r="22" customHeight="1" ht="15.75">
      <c r="A22" s="35" t="s">
        <v>47</v>
      </c>
      <c r="B22" s="117">
        <v>87</v>
      </c>
      <c r="C22" s="243"/>
      <c r="D22" s="243"/>
      <c r="E22" s="243"/>
      <c r="F22" s="117">
        <v>129</v>
      </c>
      <c r="G22" s="117">
        <v>90</v>
      </c>
      <c r="H22" s="117">
        <v>39</v>
      </c>
      <c r="I22" s="117">
        <v>39</v>
      </c>
      <c r="J22" s="117">
        <v>130</v>
      </c>
      <c r="K22" s="117">
        <v>85</v>
      </c>
      <c r="L22" s="117">
        <v>89</v>
      </c>
      <c r="M22" s="117">
        <v>140</v>
      </c>
      <c r="N22" s="117">
        <v>85</v>
      </c>
      <c r="O22" s="117">
        <v>85</v>
      </c>
      <c r="P22" s="117">
        <v>85</v>
      </c>
      <c r="Q22" s="117">
        <v>85</v>
      </c>
      <c r="R22" s="117">
        <v>85</v>
      </c>
      <c r="S22" s="117">
        <v>133</v>
      </c>
      <c r="T22" s="243"/>
      <c r="U22" s="117">
        <v>98</v>
      </c>
      <c r="V22" s="117">
        <v>85</v>
      </c>
      <c r="W22" s="117">
        <v>85</v>
      </c>
      <c r="X22" s="117">
        <v>83</v>
      </c>
      <c r="Y22" s="117">
        <v>83</v>
      </c>
      <c r="Z22" s="117">
        <v>98</v>
      </c>
      <c r="AA22" s="117">
        <v>98</v>
      </c>
      <c r="AB22" s="117">
        <v>98</v>
      </c>
      <c r="AC22" s="243"/>
      <c r="AD22" s="243"/>
      <c r="AE22" s="243"/>
      <c r="AF22" s="117">
        <v>98</v>
      </c>
      <c r="AG22" s="117">
        <v>85</v>
      </c>
      <c r="AH22" s="117">
        <v>85</v>
      </c>
      <c r="AI22" s="3"/>
      <c r="AJ22" s="117">
        <v>139</v>
      </c>
    </row>
    <row x14ac:dyDescent="0.25" r="23" customHeight="1" ht="15.75">
      <c r="A23" s="30" t="s">
        <v>123</v>
      </c>
      <c r="B23" s="31" t="s">
        <v>52</v>
      </c>
      <c r="C23" s="143"/>
      <c r="D23" s="143"/>
      <c r="E23" s="143"/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143"/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146"/>
      <c r="AD23" s="143"/>
      <c r="AE23" s="146"/>
      <c r="AF23" s="31" t="s">
        <v>52</v>
      </c>
      <c r="AG23" s="31" t="s">
        <v>52</v>
      </c>
      <c r="AH23" s="31" t="s">
        <v>52</v>
      </c>
      <c r="AI23" s="3"/>
      <c r="AJ23" s="31" t="s">
        <v>52</v>
      </c>
    </row>
    <row x14ac:dyDescent="0.25" r="24" customHeight="1" ht="15.75">
      <c r="A24" s="30" t="s">
        <v>124</v>
      </c>
      <c r="B24" s="31" t="s">
        <v>52</v>
      </c>
      <c r="C24" s="143"/>
      <c r="D24" s="143"/>
      <c r="E24" s="143"/>
      <c r="F24" s="31" t="s">
        <v>1025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142" t="s">
        <v>52</v>
      </c>
      <c r="S24" s="142" t="s">
        <v>52</v>
      </c>
      <c r="T24" s="143"/>
      <c r="U24" s="31" t="s">
        <v>52</v>
      </c>
      <c r="V24" s="142" t="s">
        <v>52</v>
      </c>
      <c r="W24" s="142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143"/>
      <c r="AD24" s="143"/>
      <c r="AE24" s="143"/>
      <c r="AF24" s="31" t="s">
        <v>52</v>
      </c>
      <c r="AG24" s="31" t="s">
        <v>52</v>
      </c>
      <c r="AH24" s="31" t="s">
        <v>52</v>
      </c>
      <c r="AI24" s="3"/>
      <c r="AJ24" s="31" t="s">
        <v>52</v>
      </c>
    </row>
    <row x14ac:dyDescent="0.25" r="25" customHeight="1" ht="15.75">
      <c r="A25" s="30" t="s">
        <v>125</v>
      </c>
      <c r="B25" s="31" t="s">
        <v>49</v>
      </c>
      <c r="C25" s="143"/>
      <c r="D25" s="143"/>
      <c r="E25" s="143"/>
      <c r="F25" s="31" t="s">
        <v>1094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139" t="s">
        <v>49</v>
      </c>
      <c r="R25" s="31" t="s">
        <v>49</v>
      </c>
      <c r="S25" s="31" t="s">
        <v>49</v>
      </c>
      <c r="T25" s="143"/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143"/>
      <c r="AD25" s="143"/>
      <c r="AE25" s="143"/>
      <c r="AF25" s="31" t="s">
        <v>49</v>
      </c>
      <c r="AG25" s="31" t="s">
        <v>49</v>
      </c>
      <c r="AH25" s="31" t="s">
        <v>49</v>
      </c>
      <c r="AI25" s="3"/>
      <c r="AJ25" s="31" t="s">
        <v>49</v>
      </c>
    </row>
    <row x14ac:dyDescent="0.25" r="26" customHeight="1" ht="15.75">
      <c r="A26" s="30" t="s">
        <v>126</v>
      </c>
      <c r="B26" s="31" t="s">
        <v>52</v>
      </c>
      <c r="C26" s="143"/>
      <c r="D26" s="143"/>
      <c r="E26" s="143"/>
      <c r="F26" s="31" t="s">
        <v>1025</v>
      </c>
      <c r="G26" s="31" t="s">
        <v>52</v>
      </c>
      <c r="H26" s="31" t="s">
        <v>49</v>
      </c>
      <c r="I26" s="31" t="s">
        <v>49</v>
      </c>
      <c r="J26" s="31" t="s">
        <v>52</v>
      </c>
      <c r="K26" s="31" t="s">
        <v>52</v>
      </c>
      <c r="L26" s="31" t="s">
        <v>52</v>
      </c>
      <c r="M26" s="31" t="s">
        <v>52</v>
      </c>
      <c r="N26" s="31" t="s">
        <v>52</v>
      </c>
      <c r="O26" s="31" t="s">
        <v>52</v>
      </c>
      <c r="P26" s="31" t="s">
        <v>52</v>
      </c>
      <c r="Q26" s="139" t="s">
        <v>52</v>
      </c>
      <c r="R26" s="31" t="s">
        <v>52</v>
      </c>
      <c r="S26" s="31" t="s">
        <v>1025</v>
      </c>
      <c r="T26" s="143"/>
      <c r="U26" s="31" t="s">
        <v>49</v>
      </c>
      <c r="V26" s="31" t="s">
        <v>52</v>
      </c>
      <c r="W26" s="31" t="s">
        <v>52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143"/>
      <c r="AD26" s="143"/>
      <c r="AE26" s="143"/>
      <c r="AF26" s="31" t="s">
        <v>49</v>
      </c>
      <c r="AG26" s="31" t="s">
        <v>52</v>
      </c>
      <c r="AH26" s="31" t="s">
        <v>52</v>
      </c>
      <c r="AI26" s="3"/>
      <c r="AJ26" s="31" t="s">
        <v>52</v>
      </c>
    </row>
    <row x14ac:dyDescent="0.25" r="27" customHeight="1" ht="15.75">
      <c r="A27" s="30" t="s">
        <v>127</v>
      </c>
      <c r="B27" s="31" t="s">
        <v>164</v>
      </c>
      <c r="C27" s="143"/>
      <c r="D27" s="143"/>
      <c r="E27" s="143"/>
      <c r="F27" s="31" t="s">
        <v>133</v>
      </c>
      <c r="G27" s="31" t="s">
        <v>133</v>
      </c>
      <c r="H27" s="31" t="s">
        <v>133</v>
      </c>
      <c r="I27" s="31" t="s">
        <v>133</v>
      </c>
      <c r="J27" s="33" t="s">
        <v>648</v>
      </c>
      <c r="K27" s="31" t="s">
        <v>143</v>
      </c>
      <c r="L27" s="31" t="s">
        <v>164</v>
      </c>
      <c r="M27" s="31" t="s">
        <v>234</v>
      </c>
      <c r="N27" s="31" t="s">
        <v>143</v>
      </c>
      <c r="O27" s="31" t="s">
        <v>143</v>
      </c>
      <c r="P27" s="31" t="s">
        <v>143</v>
      </c>
      <c r="Q27" s="139" t="s">
        <v>143</v>
      </c>
      <c r="R27" s="31" t="s">
        <v>143</v>
      </c>
      <c r="S27" s="33" t="s">
        <v>648</v>
      </c>
      <c r="T27" s="143"/>
      <c r="U27" s="31" t="s">
        <v>133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133</v>
      </c>
      <c r="AA27" s="31" t="s">
        <v>133</v>
      </c>
      <c r="AB27" s="31" t="s">
        <v>133</v>
      </c>
      <c r="AC27" s="143"/>
      <c r="AD27" s="143"/>
      <c r="AE27" s="143"/>
      <c r="AF27" s="31" t="s">
        <v>133</v>
      </c>
      <c r="AG27" s="31" t="s">
        <v>143</v>
      </c>
      <c r="AH27" s="31" t="s">
        <v>143</v>
      </c>
      <c r="AI27" s="3"/>
      <c r="AJ27" s="31" t="s">
        <v>133</v>
      </c>
    </row>
    <row x14ac:dyDescent="0.25" r="28" customHeight="1" ht="15.75">
      <c r="A28" s="30" t="s">
        <v>128</v>
      </c>
      <c r="B28" s="31">
        <f>-7/6</f>
      </c>
      <c r="C28" s="143"/>
      <c r="D28" s="143"/>
      <c r="E28" s="143"/>
      <c r="F28" s="33">
        <f>AVERAGE(0,0,-1.25)</f>
      </c>
      <c r="G28" s="31">
        <v>-2</v>
      </c>
      <c r="H28" s="31">
        <v>-2</v>
      </c>
      <c r="I28" s="31">
        <v>-2</v>
      </c>
      <c r="J28" s="31">
        <f>AVERAGE(0.75,0.75,0.75,0)</f>
      </c>
      <c r="K28" s="31">
        <v>0.75</v>
      </c>
      <c r="L28" s="31">
        <v>-1.625</v>
      </c>
      <c r="M28" s="31">
        <v>-3</v>
      </c>
      <c r="N28" s="31">
        <v>0.75</v>
      </c>
      <c r="O28" s="31">
        <v>0.75</v>
      </c>
      <c r="P28" s="31">
        <v>0.75</v>
      </c>
      <c r="Q28" s="31">
        <v>0.75</v>
      </c>
      <c r="R28" s="33">
        <v>0.75</v>
      </c>
      <c r="S28" s="31">
        <f>AVERAGE(0.75,0.75,(AVERAGE(0,-2)))</f>
      </c>
      <c r="T28" s="143"/>
      <c r="U28" s="31">
        <v>-2</v>
      </c>
      <c r="V28" s="33">
        <v>0.75</v>
      </c>
      <c r="W28" s="33">
        <v>0.75</v>
      </c>
      <c r="X28" s="31">
        <v>0.75</v>
      </c>
      <c r="Y28" s="31">
        <v>0.75</v>
      </c>
      <c r="Z28" s="31">
        <v>-2</v>
      </c>
      <c r="AA28" s="31">
        <v>-2</v>
      </c>
      <c r="AB28" s="31">
        <v>-2</v>
      </c>
      <c r="AC28" s="143"/>
      <c r="AD28" s="143"/>
      <c r="AE28" s="143"/>
      <c r="AF28" s="31">
        <v>-2</v>
      </c>
      <c r="AG28" s="31">
        <v>0.75</v>
      </c>
      <c r="AH28" s="31">
        <v>0.75</v>
      </c>
      <c r="AI28" s="3"/>
      <c r="AJ28" s="31">
        <f>-1/6</f>
      </c>
    </row>
    <row x14ac:dyDescent="0.25" r="29" customHeight="1" ht="15.75">
      <c r="A29" s="30" t="s">
        <v>129</v>
      </c>
      <c r="B29" s="31" t="s">
        <v>167</v>
      </c>
      <c r="C29" s="143"/>
      <c r="D29" s="143"/>
      <c r="E29" s="143"/>
      <c r="F29" s="150" t="s">
        <v>1095</v>
      </c>
      <c r="G29" s="31" t="s">
        <v>198</v>
      </c>
      <c r="H29" s="31" t="s">
        <v>274</v>
      </c>
      <c r="I29" s="31" t="s">
        <v>274</v>
      </c>
      <c r="J29" s="31" t="s">
        <v>167</v>
      </c>
      <c r="K29" s="31" t="s">
        <v>167</v>
      </c>
      <c r="L29" s="31" t="s">
        <v>167</v>
      </c>
      <c r="M29" s="31" t="s">
        <v>167</v>
      </c>
      <c r="N29" s="31" t="s">
        <v>167</v>
      </c>
      <c r="O29" s="31" t="s">
        <v>167</v>
      </c>
      <c r="P29" s="31" t="s">
        <v>167</v>
      </c>
      <c r="Q29" s="31" t="s">
        <v>167</v>
      </c>
      <c r="R29" s="31" t="s">
        <v>167</v>
      </c>
      <c r="S29" s="31" t="s">
        <v>1096</v>
      </c>
      <c r="T29" s="143"/>
      <c r="U29" s="31" t="s">
        <v>134</v>
      </c>
      <c r="V29" s="31" t="s">
        <v>167</v>
      </c>
      <c r="W29" s="31" t="s">
        <v>167</v>
      </c>
      <c r="X29" s="31" t="s">
        <v>198</v>
      </c>
      <c r="Y29" s="31" t="s">
        <v>198</v>
      </c>
      <c r="Z29" s="31" t="s">
        <v>134</v>
      </c>
      <c r="AA29" s="31" t="s">
        <v>134</v>
      </c>
      <c r="AB29" s="31" t="s">
        <v>134</v>
      </c>
      <c r="AC29" s="143"/>
      <c r="AD29" s="143"/>
      <c r="AE29" s="143"/>
      <c r="AF29" s="31" t="s">
        <v>134</v>
      </c>
      <c r="AG29" s="31" t="s">
        <v>167</v>
      </c>
      <c r="AH29" s="31" t="s">
        <v>167</v>
      </c>
      <c r="AI29" s="3"/>
      <c r="AJ29" s="31" t="s">
        <v>167</v>
      </c>
    </row>
    <row x14ac:dyDescent="0.25" r="30" customHeight="1" ht="15.75">
      <c r="A30" s="30" t="s">
        <v>130</v>
      </c>
      <c r="B30" s="31">
        <v>0.75</v>
      </c>
      <c r="C30" s="143"/>
      <c r="D30" s="143"/>
      <c r="E30" s="143"/>
      <c r="F30" s="31">
        <f>AVERAGE(0.75,0.75,3)</f>
      </c>
      <c r="G30" s="31">
        <v>0.75</v>
      </c>
      <c r="H30" s="31">
        <v>3</v>
      </c>
      <c r="I30" s="31">
        <v>3</v>
      </c>
      <c r="J30" s="31">
        <v>0.75</v>
      </c>
      <c r="K30" s="31">
        <v>0.75</v>
      </c>
      <c r="L30" s="31">
        <v>0.75</v>
      </c>
      <c r="M30" s="31">
        <v>0.75</v>
      </c>
      <c r="N30" s="31">
        <v>0.75</v>
      </c>
      <c r="O30" s="31">
        <v>0.75</v>
      </c>
      <c r="P30" s="31">
        <v>0.75</v>
      </c>
      <c r="Q30" s="31">
        <v>0.75</v>
      </c>
      <c r="R30" s="31">
        <v>0.75</v>
      </c>
      <c r="S30" s="31">
        <f>2/3</f>
      </c>
      <c r="T30" s="143"/>
      <c r="U30" s="31">
        <f>1/3</f>
      </c>
      <c r="V30" s="31">
        <v>0.75</v>
      </c>
      <c r="W30" s="31">
        <v>0.75</v>
      </c>
      <c r="X30" s="31">
        <v>1</v>
      </c>
      <c r="Y30" s="31">
        <v>1</v>
      </c>
      <c r="Z30" s="31">
        <f>1/3</f>
      </c>
      <c r="AA30" s="31">
        <f>1/3</f>
      </c>
      <c r="AB30" s="31">
        <f>1/3</f>
      </c>
      <c r="AC30" s="143"/>
      <c r="AD30" s="143"/>
      <c r="AE30" s="143"/>
      <c r="AF30" s="31">
        <f>1/3</f>
      </c>
      <c r="AG30" s="31">
        <v>0.75</v>
      </c>
      <c r="AH30" s="31">
        <v>0.75</v>
      </c>
      <c r="AI30" s="3"/>
      <c r="AJ30" s="31">
        <v>0.75</v>
      </c>
    </row>
    <row x14ac:dyDescent="0.25" r="31" customHeight="1" ht="15.75">
      <c r="A31" s="4"/>
      <c r="B31" s="138" t="s">
        <v>1262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138" t="s">
        <v>1263</v>
      </c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</row>
    <row x14ac:dyDescent="0.25" r="33" customHeight="1" ht="18.75">
      <c r="A33" s="245" t="s">
        <v>1264</v>
      </c>
      <c r="B33" s="214" t="s">
        <v>1265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</row>
    <row x14ac:dyDescent="0.25" r="34" customHeight="1" ht="18.75">
      <c r="A34" s="123"/>
      <c r="B34" s="214" t="s">
        <v>1104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</row>
    <row x14ac:dyDescent="0.25" r="35" customHeight="1" ht="18.75">
      <c r="A35" s="123"/>
      <c r="B35" s="214" t="s">
        <v>1266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</row>
    <row x14ac:dyDescent="0.25" r="36" customHeight="1" ht="18.75">
      <c r="A36" s="123"/>
      <c r="B36" s="214" t="s">
        <v>1103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</row>
  </sheetData>
  <mergeCells count="6">
    <mergeCell ref="B3:D3"/>
    <mergeCell ref="F3:O3"/>
    <mergeCell ref="B4:D4"/>
    <mergeCell ref="F4:O5"/>
    <mergeCell ref="B5:D5"/>
    <mergeCell ref="A33:A3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33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1256</v>
      </c>
      <c r="C4" s="7"/>
      <c r="D4" s="7"/>
      <c r="E4" s="2"/>
      <c r="F4" s="124" t="s">
        <v>1257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31" t="s">
        <v>140</v>
      </c>
      <c r="C8" s="31" t="s">
        <v>339</v>
      </c>
      <c r="D8" s="31" t="s">
        <v>339</v>
      </c>
      <c r="E8" s="31" t="s">
        <v>339</v>
      </c>
      <c r="F8" s="31" t="s">
        <v>339</v>
      </c>
      <c r="G8" s="31" t="s">
        <v>339</v>
      </c>
      <c r="H8" s="31" t="s">
        <v>339</v>
      </c>
      <c r="I8" s="31" t="s">
        <v>339</v>
      </c>
      <c r="J8" s="31" t="s">
        <v>339</v>
      </c>
      <c r="K8" s="31" t="s">
        <v>339</v>
      </c>
      <c r="L8" s="31" t="s">
        <v>339</v>
      </c>
      <c r="M8" s="31" t="s">
        <v>339</v>
      </c>
      <c r="N8" s="31" t="s">
        <v>339</v>
      </c>
      <c r="O8" s="31" t="s">
        <v>339</v>
      </c>
      <c r="P8" s="31" t="s">
        <v>339</v>
      </c>
      <c r="Q8" s="31" t="s">
        <v>339</v>
      </c>
      <c r="R8" s="31" t="s">
        <v>339</v>
      </c>
      <c r="S8" s="31" t="s">
        <v>339</v>
      </c>
      <c r="T8" s="31" t="s">
        <v>339</v>
      </c>
      <c r="U8" s="31" t="s">
        <v>339</v>
      </c>
      <c r="V8" s="31" t="s">
        <v>339</v>
      </c>
      <c r="W8" s="31" t="s">
        <v>339</v>
      </c>
      <c r="X8" s="31" t="s">
        <v>339</v>
      </c>
      <c r="Y8" s="31" t="s">
        <v>339</v>
      </c>
      <c r="Z8" s="31" t="s">
        <v>339</v>
      </c>
      <c r="AA8" s="31" t="s">
        <v>339</v>
      </c>
      <c r="AB8" s="31" t="s">
        <v>482</v>
      </c>
      <c r="AC8" s="31" t="s">
        <v>482</v>
      </c>
      <c r="AD8" s="31" t="s">
        <v>482</v>
      </c>
      <c r="AE8" s="31" t="s">
        <v>482</v>
      </c>
      <c r="AF8" s="31" t="s">
        <v>339</v>
      </c>
      <c r="AG8" s="31" t="s">
        <v>339</v>
      </c>
      <c r="AH8" s="31" t="s">
        <v>339</v>
      </c>
    </row>
    <row x14ac:dyDescent="0.25" r="9" customHeight="1" ht="18.75">
      <c r="A9" s="30" t="s">
        <v>45</v>
      </c>
      <c r="B9" s="31" t="s">
        <v>339</v>
      </c>
      <c r="C9" s="31" t="s">
        <v>339</v>
      </c>
      <c r="D9" s="31" t="s">
        <v>339</v>
      </c>
      <c r="E9" s="31" t="s">
        <v>339</v>
      </c>
      <c r="F9" s="31" t="s">
        <v>339</v>
      </c>
      <c r="G9" s="31" t="s">
        <v>339</v>
      </c>
      <c r="H9" s="31" t="s">
        <v>339</v>
      </c>
      <c r="I9" s="31" t="s">
        <v>339</v>
      </c>
      <c r="J9" s="31" t="s">
        <v>339</v>
      </c>
      <c r="K9" s="31" t="s">
        <v>339</v>
      </c>
      <c r="L9" s="31" t="s">
        <v>339</v>
      </c>
      <c r="M9" s="31" t="s">
        <v>339</v>
      </c>
      <c r="N9" s="31" t="s">
        <v>339</v>
      </c>
      <c r="O9" s="31" t="s">
        <v>339</v>
      </c>
      <c r="P9" s="31" t="s">
        <v>339</v>
      </c>
      <c r="Q9" s="31" t="s">
        <v>339</v>
      </c>
      <c r="R9" s="31" t="s">
        <v>339</v>
      </c>
      <c r="S9" s="31" t="s">
        <v>339</v>
      </c>
      <c r="T9" s="31" t="s">
        <v>339</v>
      </c>
      <c r="U9" s="31" t="s">
        <v>339</v>
      </c>
      <c r="V9" s="31" t="s">
        <v>339</v>
      </c>
      <c r="W9" s="31" t="s">
        <v>339</v>
      </c>
      <c r="X9" s="31" t="s">
        <v>339</v>
      </c>
      <c r="Y9" s="31" t="s">
        <v>339</v>
      </c>
      <c r="Z9" s="31" t="s">
        <v>339</v>
      </c>
      <c r="AA9" s="31" t="s">
        <v>339</v>
      </c>
      <c r="AB9" s="31" t="s">
        <v>482</v>
      </c>
      <c r="AC9" s="31" t="s">
        <v>482</v>
      </c>
      <c r="AD9" s="31" t="s">
        <v>482</v>
      </c>
      <c r="AE9" s="31" t="s">
        <v>482</v>
      </c>
      <c r="AF9" s="31" t="s">
        <v>339</v>
      </c>
      <c r="AG9" s="31" t="s">
        <v>339</v>
      </c>
      <c r="AH9" s="31" t="s">
        <v>339</v>
      </c>
    </row>
    <row x14ac:dyDescent="0.25" r="10" customHeight="1" ht="18.75">
      <c r="A10" s="35" t="s">
        <v>47</v>
      </c>
      <c r="B10" s="117">
        <v>2</v>
      </c>
      <c r="C10" s="117">
        <v>2</v>
      </c>
      <c r="D10" s="117">
        <v>2</v>
      </c>
      <c r="E10" s="117">
        <v>2</v>
      </c>
      <c r="F10" s="117">
        <v>2</v>
      </c>
      <c r="G10" s="117">
        <v>2</v>
      </c>
      <c r="H10" s="117">
        <v>2</v>
      </c>
      <c r="I10" s="117">
        <v>2</v>
      </c>
      <c r="J10" s="117">
        <v>2</v>
      </c>
      <c r="K10" s="117">
        <v>2</v>
      </c>
      <c r="L10" s="117">
        <v>2</v>
      </c>
      <c r="M10" s="117">
        <v>2</v>
      </c>
      <c r="N10" s="117">
        <v>2</v>
      </c>
      <c r="O10" s="117">
        <v>2</v>
      </c>
      <c r="P10" s="117">
        <v>2</v>
      </c>
      <c r="Q10" s="117">
        <v>2</v>
      </c>
      <c r="R10" s="117">
        <v>2</v>
      </c>
      <c r="S10" s="117">
        <v>2</v>
      </c>
      <c r="T10" s="117">
        <v>2</v>
      </c>
      <c r="U10" s="117">
        <v>2</v>
      </c>
      <c r="V10" s="117">
        <v>2</v>
      </c>
      <c r="W10" s="117">
        <v>2</v>
      </c>
      <c r="X10" s="117">
        <v>2</v>
      </c>
      <c r="Y10" s="117">
        <v>2</v>
      </c>
      <c r="Z10" s="117">
        <v>2</v>
      </c>
      <c r="AA10" s="117">
        <v>2</v>
      </c>
      <c r="AB10" s="196">
        <v>43</v>
      </c>
      <c r="AC10" s="196">
        <v>43</v>
      </c>
      <c r="AD10" s="196">
        <v>43</v>
      </c>
      <c r="AE10" s="196">
        <v>43</v>
      </c>
      <c r="AF10" s="117">
        <v>2</v>
      </c>
      <c r="AG10" s="117">
        <v>2</v>
      </c>
      <c r="AH10" s="117">
        <v>2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3" t="s">
        <v>52</v>
      </c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3" t="s">
        <v>52</v>
      </c>
      <c r="AG12" s="33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31">
        <v>3</v>
      </c>
      <c r="U16" s="31">
        <v>3</v>
      </c>
      <c r="V16" s="31">
        <v>3</v>
      </c>
      <c r="W16" s="31">
        <v>3</v>
      </c>
      <c r="X16" s="31">
        <v>3</v>
      </c>
      <c r="Y16" s="31">
        <v>3</v>
      </c>
      <c r="Z16" s="31">
        <v>3</v>
      </c>
      <c r="AA16" s="31">
        <v>3</v>
      </c>
      <c r="AB16" s="31">
        <v>2.5</v>
      </c>
      <c r="AC16" s="31">
        <v>2.5</v>
      </c>
      <c r="AD16" s="31">
        <v>2.5</v>
      </c>
      <c r="AE16" s="31">
        <v>2.5</v>
      </c>
      <c r="AF16" s="31">
        <v>3</v>
      </c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2</v>
      </c>
      <c r="AC18" s="31">
        <v>2</v>
      </c>
      <c r="AD18" s="31">
        <v>2</v>
      </c>
      <c r="AE18" s="31">
        <v>2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0" t="s">
        <v>43</v>
      </c>
      <c r="B20" s="31" t="s">
        <v>373</v>
      </c>
      <c r="C20" s="31" t="s">
        <v>180</v>
      </c>
      <c r="D20" s="31" t="s">
        <v>180</v>
      </c>
      <c r="E20" s="31" t="s">
        <v>180</v>
      </c>
      <c r="F20" s="31" t="s">
        <v>180</v>
      </c>
      <c r="G20" s="31" t="s">
        <v>180</v>
      </c>
      <c r="H20" s="31" t="s">
        <v>180</v>
      </c>
      <c r="I20" s="31" t="s">
        <v>180</v>
      </c>
      <c r="J20" s="31" t="s">
        <v>180</v>
      </c>
      <c r="K20" s="31" t="s">
        <v>180</v>
      </c>
      <c r="L20" s="31" t="s">
        <v>180</v>
      </c>
      <c r="M20" s="31" t="s">
        <v>180</v>
      </c>
      <c r="N20" s="31" t="s">
        <v>180</v>
      </c>
      <c r="O20" s="31" t="s">
        <v>180</v>
      </c>
      <c r="P20" s="31" t="s">
        <v>180</v>
      </c>
      <c r="Q20" s="31" t="s">
        <v>180</v>
      </c>
      <c r="R20" s="31" t="s">
        <v>180</v>
      </c>
      <c r="S20" s="31" t="s">
        <v>180</v>
      </c>
      <c r="T20" s="31" t="s">
        <v>180</v>
      </c>
      <c r="U20" s="31" t="s">
        <v>180</v>
      </c>
      <c r="V20" s="31" t="s">
        <v>180</v>
      </c>
      <c r="W20" s="31" t="s">
        <v>180</v>
      </c>
      <c r="X20" s="31" t="s">
        <v>180</v>
      </c>
      <c r="Y20" s="31" t="s">
        <v>180</v>
      </c>
      <c r="Z20" s="31" t="s">
        <v>180</v>
      </c>
      <c r="AA20" s="31" t="s">
        <v>180</v>
      </c>
      <c r="AB20" s="31" t="s">
        <v>180</v>
      </c>
      <c r="AC20" s="31" t="s">
        <v>180</v>
      </c>
      <c r="AD20" s="31" t="s">
        <v>180</v>
      </c>
      <c r="AE20" s="31" t="s">
        <v>180</v>
      </c>
      <c r="AF20" s="31" t="s">
        <v>180</v>
      </c>
      <c r="AG20" s="31" t="s">
        <v>180</v>
      </c>
      <c r="AH20" s="31" t="s">
        <v>180</v>
      </c>
    </row>
    <row x14ac:dyDescent="0.25" r="21" customHeight="1" ht="18.75">
      <c r="A21" s="30" t="s">
        <v>45</v>
      </c>
      <c r="B21" s="33" t="s">
        <v>374</v>
      </c>
      <c r="C21" s="33" t="s">
        <v>374</v>
      </c>
      <c r="D21" s="33" t="s">
        <v>374</v>
      </c>
      <c r="E21" s="33" t="s">
        <v>374</v>
      </c>
      <c r="F21" s="33" t="s">
        <v>374</v>
      </c>
      <c r="G21" s="33" t="s">
        <v>374</v>
      </c>
      <c r="H21" s="33" t="s">
        <v>374</v>
      </c>
      <c r="I21" s="33" t="s">
        <v>374</v>
      </c>
      <c r="J21" s="33" t="s">
        <v>374</v>
      </c>
      <c r="K21" s="33" t="s">
        <v>374</v>
      </c>
      <c r="L21" s="33" t="s">
        <v>374</v>
      </c>
      <c r="M21" s="33" t="s">
        <v>374</v>
      </c>
      <c r="N21" s="31" t="s">
        <v>947</v>
      </c>
      <c r="O21" s="33" t="s">
        <v>374</v>
      </c>
      <c r="P21" s="31" t="s">
        <v>186</v>
      </c>
      <c r="Q21" s="31" t="s">
        <v>186</v>
      </c>
      <c r="R21" s="33" t="s">
        <v>187</v>
      </c>
      <c r="S21" s="31" t="s">
        <v>947</v>
      </c>
      <c r="T21" s="33" t="s">
        <v>374</v>
      </c>
      <c r="U21" s="33" t="s">
        <v>374</v>
      </c>
      <c r="V21" s="33" t="s">
        <v>374</v>
      </c>
      <c r="W21" s="33" t="s">
        <v>374</v>
      </c>
      <c r="X21" s="33" t="s">
        <v>374</v>
      </c>
      <c r="Y21" s="33" t="s">
        <v>374</v>
      </c>
      <c r="Z21" s="33" t="s">
        <v>374</v>
      </c>
      <c r="AA21" s="33" t="s">
        <v>374</v>
      </c>
      <c r="AB21" s="33" t="s">
        <v>374</v>
      </c>
      <c r="AC21" s="33" t="s">
        <v>374</v>
      </c>
      <c r="AD21" s="33" t="s">
        <v>374</v>
      </c>
      <c r="AE21" s="33" t="s">
        <v>374</v>
      </c>
      <c r="AF21" s="33" t="s">
        <v>374</v>
      </c>
      <c r="AG21" s="31" t="s">
        <v>189</v>
      </c>
      <c r="AH21" s="31" t="s">
        <v>189</v>
      </c>
    </row>
    <row x14ac:dyDescent="0.25" r="22" customHeight="1" ht="18.75">
      <c r="A22" s="35" t="s">
        <v>47</v>
      </c>
      <c r="B22" s="117">
        <v>83</v>
      </c>
      <c r="C22" s="117">
        <v>83</v>
      </c>
      <c r="D22" s="117">
        <v>83</v>
      </c>
      <c r="E22" s="117">
        <v>83</v>
      </c>
      <c r="F22" s="117">
        <v>83</v>
      </c>
      <c r="G22" s="117">
        <v>83</v>
      </c>
      <c r="H22" s="117">
        <v>83</v>
      </c>
      <c r="I22" s="117">
        <v>83</v>
      </c>
      <c r="J22" s="117">
        <v>83</v>
      </c>
      <c r="K22" s="117">
        <v>83</v>
      </c>
      <c r="L22" s="117">
        <v>83</v>
      </c>
      <c r="M22" s="117">
        <v>83</v>
      </c>
      <c r="N22" s="117">
        <v>143</v>
      </c>
      <c r="O22" s="117">
        <v>83</v>
      </c>
      <c r="P22" s="117">
        <v>142</v>
      </c>
      <c r="Q22" s="117">
        <v>142</v>
      </c>
      <c r="R22" s="117">
        <v>81</v>
      </c>
      <c r="S22" s="117">
        <v>143</v>
      </c>
      <c r="T22" s="117">
        <v>83</v>
      </c>
      <c r="U22" s="117">
        <v>83</v>
      </c>
      <c r="V22" s="117">
        <v>83</v>
      </c>
      <c r="W22" s="117">
        <v>83</v>
      </c>
      <c r="X22" s="117">
        <v>83</v>
      </c>
      <c r="Y22" s="117">
        <v>83</v>
      </c>
      <c r="Z22" s="117">
        <v>83</v>
      </c>
      <c r="AA22" s="117">
        <v>83</v>
      </c>
      <c r="AB22" s="117">
        <v>83</v>
      </c>
      <c r="AC22" s="117">
        <v>83</v>
      </c>
      <c r="AD22" s="117">
        <v>83</v>
      </c>
      <c r="AE22" s="117">
        <v>83</v>
      </c>
      <c r="AF22" s="117">
        <v>83</v>
      </c>
      <c r="AG22" s="117">
        <v>82</v>
      </c>
      <c r="AH22" s="117">
        <v>82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31" t="s">
        <v>52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31" t="s">
        <v>52</v>
      </c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31" t="s">
        <v>52</v>
      </c>
      <c r="T24" s="31" t="s">
        <v>52</v>
      </c>
      <c r="U24" s="31" t="s">
        <v>52</v>
      </c>
      <c r="V24" s="31" t="s">
        <v>52</v>
      </c>
      <c r="W24" s="31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31" t="s">
        <v>52</v>
      </c>
      <c r="AH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31" t="s">
        <v>49</v>
      </c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1" t="s">
        <v>49</v>
      </c>
      <c r="S26" s="31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31" t="s">
        <v>49</v>
      </c>
      <c r="AH26" s="31" t="s">
        <v>49</v>
      </c>
    </row>
    <row x14ac:dyDescent="0.25" r="27" customHeight="1" ht="18.75">
      <c r="A27" s="30" t="s">
        <v>127</v>
      </c>
      <c r="B27" s="31" t="s">
        <v>143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 t="s">
        <v>143</v>
      </c>
      <c r="J27" s="31" t="s">
        <v>143</v>
      </c>
      <c r="K27" s="31" t="s">
        <v>143</v>
      </c>
      <c r="L27" s="31" t="s">
        <v>143</v>
      </c>
      <c r="M27" s="31" t="s">
        <v>143</v>
      </c>
      <c r="N27" s="31" t="s">
        <v>192</v>
      </c>
      <c r="O27" s="31" t="s">
        <v>143</v>
      </c>
      <c r="P27" s="31" t="s">
        <v>193</v>
      </c>
      <c r="Q27" s="31" t="s">
        <v>193</v>
      </c>
      <c r="R27" s="31" t="s">
        <v>193</v>
      </c>
      <c r="S27" s="31" t="s">
        <v>192</v>
      </c>
      <c r="T27" s="31" t="s">
        <v>143</v>
      </c>
      <c r="U27" s="31" t="s">
        <v>143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143</v>
      </c>
      <c r="AA27" s="31" t="s">
        <v>143</v>
      </c>
      <c r="AB27" s="31" t="s">
        <v>143</v>
      </c>
      <c r="AC27" s="31" t="s">
        <v>143</v>
      </c>
      <c r="AD27" s="31" t="s">
        <v>143</v>
      </c>
      <c r="AE27" s="31" t="s">
        <v>143</v>
      </c>
      <c r="AF27" s="31" t="s">
        <v>143</v>
      </c>
      <c r="AG27" s="31" t="s">
        <v>143</v>
      </c>
      <c r="AH27" s="31" t="s">
        <v>143</v>
      </c>
    </row>
    <row x14ac:dyDescent="0.25" r="28" customHeight="1" ht="18.75">
      <c r="A28" s="30" t="s">
        <v>128</v>
      </c>
      <c r="B28" s="31">
        <v>0.75</v>
      </c>
      <c r="C28" s="31">
        <v>0.75</v>
      </c>
      <c r="D28" s="31">
        <v>0.75</v>
      </c>
      <c r="E28" s="31">
        <v>0.75</v>
      </c>
      <c r="F28" s="31">
        <v>0.75</v>
      </c>
      <c r="G28" s="31">
        <v>0.75</v>
      </c>
      <c r="H28" s="31">
        <v>0.75</v>
      </c>
      <c r="I28" s="31">
        <v>0.75</v>
      </c>
      <c r="J28" s="31">
        <v>0.75</v>
      </c>
      <c r="K28" s="31">
        <v>0.75</v>
      </c>
      <c r="L28" s="31">
        <v>0.75</v>
      </c>
      <c r="M28" s="31">
        <v>0.75</v>
      </c>
      <c r="N28" s="31">
        <f>AVERAGE(0.75,0.75,-4)</f>
      </c>
      <c r="O28" s="31">
        <v>0.75</v>
      </c>
      <c r="P28" s="31">
        <v>-4</v>
      </c>
      <c r="Q28" s="31">
        <v>-4</v>
      </c>
      <c r="R28" s="31">
        <v>-4</v>
      </c>
      <c r="S28" s="31">
        <f>AVERAGE(0.75,0.75,-4)</f>
      </c>
      <c r="T28" s="31">
        <v>0.75</v>
      </c>
      <c r="U28" s="31">
        <v>0.75</v>
      </c>
      <c r="V28" s="31">
        <v>0.75</v>
      </c>
      <c r="W28" s="31">
        <v>0.75</v>
      </c>
      <c r="X28" s="31">
        <v>0.75</v>
      </c>
      <c r="Y28" s="31">
        <v>0.75</v>
      </c>
      <c r="Z28" s="31">
        <v>0.75</v>
      </c>
      <c r="AA28" s="31">
        <v>0.75</v>
      </c>
      <c r="AB28" s="31">
        <v>0.75</v>
      </c>
      <c r="AC28" s="31">
        <v>0.75</v>
      </c>
      <c r="AD28" s="31">
        <v>0.75</v>
      </c>
      <c r="AE28" s="31">
        <v>0.75</v>
      </c>
      <c r="AF28" s="31">
        <v>0.75</v>
      </c>
      <c r="AG28" s="31">
        <f>5/3</f>
      </c>
      <c r="AH28" s="31">
        <f>5/3</f>
      </c>
    </row>
    <row x14ac:dyDescent="0.25" r="29" customHeight="1" ht="18.75">
      <c r="A29" s="30" t="s">
        <v>129</v>
      </c>
      <c r="B29" s="31" t="s">
        <v>198</v>
      </c>
      <c r="C29" s="31" t="s">
        <v>198</v>
      </c>
      <c r="D29" s="31" t="s">
        <v>198</v>
      </c>
      <c r="E29" s="31" t="s">
        <v>198</v>
      </c>
      <c r="F29" s="31" t="s">
        <v>198</v>
      </c>
      <c r="G29" s="31" t="s">
        <v>198</v>
      </c>
      <c r="H29" s="31" t="s">
        <v>198</v>
      </c>
      <c r="I29" s="31" t="s">
        <v>198</v>
      </c>
      <c r="J29" s="31" t="s">
        <v>198</v>
      </c>
      <c r="K29" s="31" t="s">
        <v>198</v>
      </c>
      <c r="L29" s="31" t="s">
        <v>198</v>
      </c>
      <c r="M29" s="31" t="s">
        <v>198</v>
      </c>
      <c r="N29" s="31" t="s">
        <v>198</v>
      </c>
      <c r="O29" s="31" t="s">
        <v>198</v>
      </c>
      <c r="P29" s="31" t="s">
        <v>197</v>
      </c>
      <c r="Q29" s="31" t="s">
        <v>197</v>
      </c>
      <c r="R29" s="31" t="s">
        <v>198</v>
      </c>
      <c r="S29" s="31" t="s">
        <v>198</v>
      </c>
      <c r="T29" s="31" t="s">
        <v>198</v>
      </c>
      <c r="U29" s="31" t="s">
        <v>198</v>
      </c>
      <c r="V29" s="31" t="s">
        <v>198</v>
      </c>
      <c r="W29" s="31" t="s">
        <v>198</v>
      </c>
      <c r="X29" s="31" t="s">
        <v>198</v>
      </c>
      <c r="Y29" s="31" t="s">
        <v>198</v>
      </c>
      <c r="Z29" s="31" t="s">
        <v>198</v>
      </c>
      <c r="AA29" s="31" t="s">
        <v>198</v>
      </c>
      <c r="AB29" s="31" t="s">
        <v>198</v>
      </c>
      <c r="AC29" s="31" t="s">
        <v>198</v>
      </c>
      <c r="AD29" s="31" t="s">
        <v>198</v>
      </c>
      <c r="AE29" s="31" t="s">
        <v>198</v>
      </c>
      <c r="AF29" s="31" t="s">
        <v>198</v>
      </c>
      <c r="AG29" s="31" t="s">
        <v>198</v>
      </c>
      <c r="AH29" s="31" t="s">
        <v>198</v>
      </c>
    </row>
    <row x14ac:dyDescent="0.25" r="30" customHeight="1" ht="18.75">
      <c r="A30" s="30" t="s">
        <v>130</v>
      </c>
      <c r="B30" s="31">
        <v>1</v>
      </c>
      <c r="C30" s="31">
        <v>1</v>
      </c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f>AVERAGE(1,1,1.25)</f>
      </c>
      <c r="O30" s="31">
        <v>1</v>
      </c>
      <c r="P30" s="31">
        <f>AVERAGE(2,2,1.25)</f>
      </c>
      <c r="Q30" s="31">
        <f>AVERAGE(2,2,1.25)</f>
      </c>
      <c r="R30" s="31">
        <v>1.25</v>
      </c>
      <c r="S30" s="31">
        <f>AVERAGE(1,1,1.25)</f>
      </c>
      <c r="T30" s="31">
        <v>1</v>
      </c>
      <c r="U30" s="31">
        <v>1</v>
      </c>
      <c r="V30" s="31">
        <v>1</v>
      </c>
      <c r="W30" s="31">
        <v>1</v>
      </c>
      <c r="X30" s="31">
        <v>1</v>
      </c>
      <c r="Y30" s="31">
        <v>1</v>
      </c>
      <c r="Z30" s="31">
        <v>1</v>
      </c>
      <c r="AA30" s="31">
        <v>1</v>
      </c>
      <c r="AB30" s="31">
        <v>1</v>
      </c>
      <c r="AC30" s="31">
        <v>1</v>
      </c>
      <c r="AD30" s="31">
        <v>1</v>
      </c>
      <c r="AE30" s="31">
        <v>1</v>
      </c>
      <c r="AF30" s="31">
        <v>1</v>
      </c>
      <c r="AG30" s="31">
        <v>1</v>
      </c>
      <c r="AH30" s="31">
        <v>1</v>
      </c>
    </row>
    <row x14ac:dyDescent="0.25" r="31" customHeight="1" ht="18.75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x14ac:dyDescent="0.25" r="33" customHeight="1" ht="18.75">
      <c r="A33" s="30" t="s">
        <v>1258</v>
      </c>
      <c r="B33" s="40" t="s">
        <v>1259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37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4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3"/>
      <c r="AL1" s="2"/>
      <c r="AM1" s="2"/>
      <c r="AN1" s="2"/>
      <c r="AO1" s="2"/>
      <c r="AP1" s="2"/>
      <c r="AQ1" s="2"/>
      <c r="AR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3"/>
      <c r="AL2" s="2"/>
      <c r="AM2" s="2"/>
      <c r="AN2" s="2"/>
      <c r="AO2" s="2"/>
      <c r="AP2" s="2"/>
      <c r="AQ2" s="2"/>
      <c r="AR2" s="2"/>
    </row>
    <row x14ac:dyDescent="0.25" r="3" customHeight="1" ht="18.75">
      <c r="A3" s="1" t="s">
        <v>2</v>
      </c>
      <c r="B3" s="5">
        <v>34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3"/>
      <c r="AL3" s="2"/>
      <c r="AM3" s="2"/>
      <c r="AN3" s="2"/>
      <c r="AO3" s="2"/>
      <c r="AP3" s="2"/>
      <c r="AQ3" s="2"/>
      <c r="AR3" s="2"/>
    </row>
    <row x14ac:dyDescent="0.25" r="4" customHeight="1" ht="18.75">
      <c r="A4" s="1" t="s">
        <v>4</v>
      </c>
      <c r="B4" s="7" t="s">
        <v>1244</v>
      </c>
      <c r="C4" s="7"/>
      <c r="D4" s="7"/>
      <c r="E4" s="2"/>
      <c r="F4" s="124" t="s">
        <v>1245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3"/>
      <c r="AL4" s="2"/>
      <c r="AM4" s="2"/>
      <c r="AN4" s="2"/>
      <c r="AO4" s="2"/>
      <c r="AP4" s="2"/>
      <c r="AQ4" s="2"/>
      <c r="AR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3"/>
      <c r="AL5" s="2"/>
      <c r="AM5" s="2"/>
      <c r="AN5" s="2"/>
      <c r="AO5" s="2"/>
      <c r="AP5" s="2"/>
      <c r="AQ5" s="2"/>
      <c r="AR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3"/>
      <c r="AL6" s="2"/>
      <c r="AM6" s="2"/>
      <c r="AN6" s="2"/>
      <c r="AO6" s="2"/>
      <c r="AP6" s="2"/>
      <c r="AQ6" s="2"/>
      <c r="AR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11" t="s">
        <v>10</v>
      </c>
      <c r="AK7" s="3"/>
      <c r="AL7" s="49" t="s">
        <v>11</v>
      </c>
      <c r="AM7" s="49" t="s">
        <v>12</v>
      </c>
      <c r="AN7" s="50" t="s">
        <v>13</v>
      </c>
      <c r="AO7" s="51" t="s">
        <v>14</v>
      </c>
      <c r="AP7" s="52" t="s">
        <v>15</v>
      </c>
      <c r="AQ7" s="52" t="s">
        <v>16</v>
      </c>
      <c r="AR7" s="52" t="s">
        <v>17</v>
      </c>
    </row>
    <row x14ac:dyDescent="0.25" r="8" customHeight="1" ht="18.75">
      <c r="A8" s="30" t="s">
        <v>43</v>
      </c>
      <c r="B8" s="31" t="s">
        <v>140</v>
      </c>
      <c r="C8" s="31" t="s">
        <v>339</v>
      </c>
      <c r="D8" s="31" t="s">
        <v>339</v>
      </c>
      <c r="E8" s="31" t="s">
        <v>339</v>
      </c>
      <c r="F8" s="31" t="s">
        <v>339</v>
      </c>
      <c r="G8" s="31" t="s">
        <v>339</v>
      </c>
      <c r="H8" s="31" t="s">
        <v>339</v>
      </c>
      <c r="I8" s="31" t="s">
        <v>339</v>
      </c>
      <c r="J8" s="31" t="s">
        <v>339</v>
      </c>
      <c r="K8" s="31" t="s">
        <v>339</v>
      </c>
      <c r="L8" s="31" t="s">
        <v>339</v>
      </c>
      <c r="M8" s="31" t="s">
        <v>339</v>
      </c>
      <c r="N8" s="31" t="s">
        <v>339</v>
      </c>
      <c r="O8" s="31" t="s">
        <v>339</v>
      </c>
      <c r="P8" s="31" t="s">
        <v>339</v>
      </c>
      <c r="Q8" s="31" t="s">
        <v>339</v>
      </c>
      <c r="R8" s="31" t="s">
        <v>339</v>
      </c>
      <c r="S8" s="139" t="s">
        <v>339</v>
      </c>
      <c r="T8" s="143" t="s">
        <v>358</v>
      </c>
      <c r="U8" s="31" t="s">
        <v>339</v>
      </c>
      <c r="V8" s="31" t="s">
        <v>339</v>
      </c>
      <c r="W8" s="31" t="s">
        <v>339</v>
      </c>
      <c r="X8" s="31" t="s">
        <v>339</v>
      </c>
      <c r="Y8" s="31" t="s">
        <v>339</v>
      </c>
      <c r="Z8" s="31" t="s">
        <v>339</v>
      </c>
      <c r="AA8" s="31" t="s">
        <v>339</v>
      </c>
      <c r="AB8" s="31" t="s">
        <v>339</v>
      </c>
      <c r="AC8" s="143" t="s">
        <v>358</v>
      </c>
      <c r="AD8" s="143" t="s">
        <v>358</v>
      </c>
      <c r="AE8" s="143" t="s">
        <v>358</v>
      </c>
      <c r="AF8" s="114" t="s">
        <v>339</v>
      </c>
      <c r="AG8" s="31" t="s">
        <v>339</v>
      </c>
      <c r="AH8" s="31" t="s">
        <v>339</v>
      </c>
      <c r="AI8" s="3"/>
      <c r="AJ8" s="31" t="s">
        <v>140</v>
      </c>
      <c r="AK8" s="3"/>
      <c r="AL8" s="143" t="s">
        <v>358</v>
      </c>
      <c r="AM8" s="143" t="s">
        <v>358</v>
      </c>
      <c r="AN8" s="143" t="s">
        <v>358</v>
      </c>
      <c r="AO8" s="143" t="s">
        <v>358</v>
      </c>
      <c r="AP8" s="143" t="s">
        <v>358</v>
      </c>
      <c r="AQ8" s="143" t="s">
        <v>358</v>
      </c>
      <c r="AR8" s="143" t="s">
        <v>358</v>
      </c>
    </row>
    <row x14ac:dyDescent="0.25" r="9" customHeight="1" ht="15.75">
      <c r="A9" s="30" t="s">
        <v>45</v>
      </c>
      <c r="B9" s="31" t="s">
        <v>339</v>
      </c>
      <c r="C9" s="31" t="s">
        <v>339</v>
      </c>
      <c r="D9" s="31" t="s">
        <v>339</v>
      </c>
      <c r="E9" s="31" t="s">
        <v>339</v>
      </c>
      <c r="F9" s="31" t="s">
        <v>339</v>
      </c>
      <c r="G9" s="31" t="s">
        <v>339</v>
      </c>
      <c r="H9" s="31" t="s">
        <v>339</v>
      </c>
      <c r="I9" s="31" t="s">
        <v>339</v>
      </c>
      <c r="J9" s="31" t="s">
        <v>339</v>
      </c>
      <c r="K9" s="31" t="s">
        <v>339</v>
      </c>
      <c r="L9" s="31" t="s">
        <v>339</v>
      </c>
      <c r="M9" s="31" t="s">
        <v>339</v>
      </c>
      <c r="N9" s="31" t="s">
        <v>339</v>
      </c>
      <c r="O9" s="31" t="s">
        <v>339</v>
      </c>
      <c r="P9" s="31" t="s">
        <v>339</v>
      </c>
      <c r="Q9" s="31" t="s">
        <v>339</v>
      </c>
      <c r="R9" s="31" t="s">
        <v>339</v>
      </c>
      <c r="S9" s="31" t="s">
        <v>339</v>
      </c>
      <c r="T9" s="146" t="s">
        <v>358</v>
      </c>
      <c r="U9" s="33" t="s">
        <v>339</v>
      </c>
      <c r="V9" s="33" t="s">
        <v>339</v>
      </c>
      <c r="W9" s="33" t="s">
        <v>339</v>
      </c>
      <c r="X9" s="33" t="s">
        <v>339</v>
      </c>
      <c r="Y9" s="33" t="s">
        <v>339</v>
      </c>
      <c r="Z9" s="33" t="s">
        <v>339</v>
      </c>
      <c r="AA9" s="33" t="s">
        <v>339</v>
      </c>
      <c r="AB9" s="33" t="s">
        <v>339</v>
      </c>
      <c r="AC9" s="146" t="s">
        <v>358</v>
      </c>
      <c r="AD9" s="146" t="s">
        <v>358</v>
      </c>
      <c r="AE9" s="146" t="s">
        <v>358</v>
      </c>
      <c r="AF9" s="31" t="s">
        <v>339</v>
      </c>
      <c r="AG9" s="31" t="s">
        <v>339</v>
      </c>
      <c r="AH9" s="31" t="s">
        <v>339</v>
      </c>
      <c r="AI9" s="3"/>
      <c r="AJ9" s="31" t="s">
        <v>339</v>
      </c>
      <c r="AK9" s="3"/>
      <c r="AL9" s="146" t="s">
        <v>358</v>
      </c>
      <c r="AM9" s="146" t="s">
        <v>358</v>
      </c>
      <c r="AN9" s="146" t="s">
        <v>358</v>
      </c>
      <c r="AO9" s="146" t="s">
        <v>358</v>
      </c>
      <c r="AP9" s="146" t="s">
        <v>358</v>
      </c>
      <c r="AQ9" s="146" t="s">
        <v>358</v>
      </c>
      <c r="AR9" s="146" t="s">
        <v>358</v>
      </c>
    </row>
    <row x14ac:dyDescent="0.25" r="10" customHeight="1" ht="18.75">
      <c r="A10" s="35" t="s">
        <v>47</v>
      </c>
      <c r="B10" s="117">
        <v>2</v>
      </c>
      <c r="C10" s="117">
        <v>2</v>
      </c>
      <c r="D10" s="117">
        <v>2</v>
      </c>
      <c r="E10" s="117">
        <v>2</v>
      </c>
      <c r="F10" s="117">
        <v>2</v>
      </c>
      <c r="G10" s="117">
        <v>2</v>
      </c>
      <c r="H10" s="117">
        <v>2</v>
      </c>
      <c r="I10" s="117">
        <v>2</v>
      </c>
      <c r="J10" s="117">
        <v>2</v>
      </c>
      <c r="K10" s="117">
        <v>2</v>
      </c>
      <c r="L10" s="117">
        <v>2</v>
      </c>
      <c r="M10" s="117">
        <v>2</v>
      </c>
      <c r="N10" s="117">
        <v>2</v>
      </c>
      <c r="O10" s="117">
        <v>2</v>
      </c>
      <c r="P10" s="117">
        <v>2</v>
      </c>
      <c r="Q10" s="117">
        <v>2</v>
      </c>
      <c r="R10" s="117">
        <v>2</v>
      </c>
      <c r="S10" s="117">
        <v>2</v>
      </c>
      <c r="T10" s="144"/>
      <c r="U10" s="117">
        <v>2</v>
      </c>
      <c r="V10" s="117">
        <v>2</v>
      </c>
      <c r="W10" s="117">
        <v>2</v>
      </c>
      <c r="X10" s="117">
        <v>2</v>
      </c>
      <c r="Y10" s="117">
        <v>2</v>
      </c>
      <c r="Z10" s="117">
        <v>2</v>
      </c>
      <c r="AA10" s="117">
        <v>2</v>
      </c>
      <c r="AB10" s="117">
        <v>2</v>
      </c>
      <c r="AC10" s="144"/>
      <c r="AD10" s="144"/>
      <c r="AE10" s="144"/>
      <c r="AF10" s="117">
        <v>2</v>
      </c>
      <c r="AG10" s="117">
        <v>2</v>
      </c>
      <c r="AH10" s="117">
        <v>2</v>
      </c>
      <c r="AI10" s="3"/>
      <c r="AJ10" s="117">
        <v>2</v>
      </c>
      <c r="AK10" s="3"/>
      <c r="AL10" s="144"/>
      <c r="AM10" s="144"/>
      <c r="AN10" s="144"/>
      <c r="AO10" s="144"/>
      <c r="AP10" s="144"/>
      <c r="AQ10" s="144"/>
      <c r="AR10" s="144"/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143" t="s">
        <v>49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143" t="s">
        <v>49</v>
      </c>
      <c r="AD11" s="143" t="s">
        <v>49</v>
      </c>
      <c r="AE11" s="143" t="s">
        <v>49</v>
      </c>
      <c r="AF11" s="33" t="s">
        <v>52</v>
      </c>
      <c r="AG11" s="33" t="s">
        <v>52</v>
      </c>
      <c r="AH11" s="33" t="s">
        <v>52</v>
      </c>
      <c r="AI11" s="3"/>
      <c r="AJ11" s="33" t="s">
        <v>52</v>
      </c>
      <c r="AK11" s="3"/>
      <c r="AL11" s="143" t="s">
        <v>49</v>
      </c>
      <c r="AM11" s="143" t="s">
        <v>49</v>
      </c>
      <c r="AN11" s="143" t="s">
        <v>49</v>
      </c>
      <c r="AO11" s="143" t="s">
        <v>49</v>
      </c>
      <c r="AP11" s="143" t="s">
        <v>49</v>
      </c>
      <c r="AQ11" s="143" t="s">
        <v>49</v>
      </c>
      <c r="AR11" s="143" t="s">
        <v>49</v>
      </c>
    </row>
    <row x14ac:dyDescent="0.25" r="12" customHeight="1" ht="18.75">
      <c r="A12" s="30" t="s">
        <v>124</v>
      </c>
      <c r="B12" s="33" t="s">
        <v>52</v>
      </c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143" t="s">
        <v>49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3" t="s">
        <v>52</v>
      </c>
      <c r="AC12" s="143" t="s">
        <v>49</v>
      </c>
      <c r="AD12" s="143" t="s">
        <v>49</v>
      </c>
      <c r="AE12" s="143" t="s">
        <v>49</v>
      </c>
      <c r="AF12" s="33" t="s">
        <v>52</v>
      </c>
      <c r="AG12" s="33" t="s">
        <v>52</v>
      </c>
      <c r="AH12" s="33" t="s">
        <v>52</v>
      </c>
      <c r="AI12" s="3"/>
      <c r="AJ12" s="33" t="s">
        <v>52</v>
      </c>
      <c r="AK12" s="3"/>
      <c r="AL12" s="143" t="s">
        <v>49</v>
      </c>
      <c r="AM12" s="143" t="s">
        <v>49</v>
      </c>
      <c r="AN12" s="143" t="s">
        <v>49</v>
      </c>
      <c r="AO12" s="143" t="s">
        <v>49</v>
      </c>
      <c r="AP12" s="143" t="s">
        <v>49</v>
      </c>
      <c r="AQ12" s="143" t="s">
        <v>49</v>
      </c>
      <c r="AR12" s="143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143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143" t="s">
        <v>49</v>
      </c>
      <c r="AD13" s="143" t="s">
        <v>49</v>
      </c>
      <c r="AE13" s="143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  <c r="AK13" s="3"/>
      <c r="AL13" s="143" t="s">
        <v>49</v>
      </c>
      <c r="AM13" s="143" t="s">
        <v>49</v>
      </c>
      <c r="AN13" s="143" t="s">
        <v>49</v>
      </c>
      <c r="AO13" s="143" t="s">
        <v>49</v>
      </c>
      <c r="AP13" s="143" t="s">
        <v>49</v>
      </c>
      <c r="AQ13" s="143" t="s">
        <v>49</v>
      </c>
      <c r="AR13" s="143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143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143" t="s">
        <v>49</v>
      </c>
      <c r="AD14" s="143" t="s">
        <v>49</v>
      </c>
      <c r="AE14" s="143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"/>
      <c r="AL14" s="143" t="s">
        <v>49</v>
      </c>
      <c r="AM14" s="143" t="s">
        <v>49</v>
      </c>
      <c r="AN14" s="143" t="s">
        <v>49</v>
      </c>
      <c r="AO14" s="143" t="s">
        <v>49</v>
      </c>
      <c r="AP14" s="143" t="s">
        <v>49</v>
      </c>
      <c r="AQ14" s="143" t="s">
        <v>49</v>
      </c>
      <c r="AR14" s="143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143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143" t="s">
        <v>140</v>
      </c>
      <c r="AD15" s="143" t="s">
        <v>140</v>
      </c>
      <c r="AE15" s="143" t="s">
        <v>140</v>
      </c>
      <c r="AF15" s="31" t="s">
        <v>140</v>
      </c>
      <c r="AG15" s="31" t="s">
        <v>140</v>
      </c>
      <c r="AH15" s="31" t="s">
        <v>140</v>
      </c>
      <c r="AI15" s="3"/>
      <c r="AJ15" s="31" t="s">
        <v>140</v>
      </c>
      <c r="AK15" s="3"/>
      <c r="AL15" s="143" t="s">
        <v>140</v>
      </c>
      <c r="AM15" s="143" t="s">
        <v>140</v>
      </c>
      <c r="AN15" s="143" t="s">
        <v>140</v>
      </c>
      <c r="AO15" s="143" t="s">
        <v>140</v>
      </c>
      <c r="AP15" s="143" t="s">
        <v>140</v>
      </c>
      <c r="AQ15" s="143" t="s">
        <v>140</v>
      </c>
      <c r="AR15" s="143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143">
        <v>3</v>
      </c>
      <c r="U16" s="31">
        <v>3</v>
      </c>
      <c r="V16" s="31">
        <v>3</v>
      </c>
      <c r="W16" s="31">
        <v>3</v>
      </c>
      <c r="X16" s="31">
        <v>3</v>
      </c>
      <c r="Y16" s="31">
        <v>3</v>
      </c>
      <c r="Z16" s="31">
        <v>3</v>
      </c>
      <c r="AA16" s="31">
        <v>3</v>
      </c>
      <c r="AB16" s="31">
        <v>3</v>
      </c>
      <c r="AC16" s="143">
        <v>3</v>
      </c>
      <c r="AD16" s="143">
        <v>3</v>
      </c>
      <c r="AE16" s="143">
        <v>3</v>
      </c>
      <c r="AF16" s="31">
        <v>3</v>
      </c>
      <c r="AG16" s="31">
        <v>3</v>
      </c>
      <c r="AH16" s="31">
        <v>3</v>
      </c>
      <c r="AI16" s="3"/>
      <c r="AJ16" s="31">
        <v>3</v>
      </c>
      <c r="AK16" s="3"/>
      <c r="AL16" s="143">
        <v>3</v>
      </c>
      <c r="AM16" s="143">
        <v>3</v>
      </c>
      <c r="AN16" s="143">
        <v>3</v>
      </c>
      <c r="AO16" s="143">
        <v>3</v>
      </c>
      <c r="AP16" s="143">
        <v>3</v>
      </c>
      <c r="AQ16" s="143">
        <v>3</v>
      </c>
      <c r="AR16" s="143">
        <v>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143" t="s">
        <v>358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143" t="s">
        <v>358</v>
      </c>
      <c r="AD17" s="143" t="s">
        <v>358</v>
      </c>
      <c r="AE17" s="143" t="s">
        <v>358</v>
      </c>
      <c r="AF17" s="31" t="s">
        <v>138</v>
      </c>
      <c r="AG17" s="31" t="s">
        <v>138</v>
      </c>
      <c r="AH17" s="31" t="s">
        <v>138</v>
      </c>
      <c r="AI17" s="3"/>
      <c r="AJ17" s="31" t="s">
        <v>138</v>
      </c>
      <c r="AK17" s="3"/>
      <c r="AL17" s="143" t="s">
        <v>358</v>
      </c>
      <c r="AM17" s="143" t="s">
        <v>358</v>
      </c>
      <c r="AN17" s="143" t="s">
        <v>358</v>
      </c>
      <c r="AO17" s="143" t="s">
        <v>358</v>
      </c>
      <c r="AP17" s="143" t="s">
        <v>358</v>
      </c>
      <c r="AQ17" s="143" t="s">
        <v>358</v>
      </c>
      <c r="AR17" s="143" t="s">
        <v>358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143">
        <v>0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143">
        <v>0</v>
      </c>
      <c r="AD18" s="143">
        <v>0</v>
      </c>
      <c r="AE18" s="143">
        <v>0</v>
      </c>
      <c r="AF18" s="31">
        <v>4</v>
      </c>
      <c r="AG18" s="31">
        <v>4</v>
      </c>
      <c r="AH18" s="31">
        <v>4</v>
      </c>
      <c r="AI18" s="3"/>
      <c r="AJ18" s="31">
        <v>4</v>
      </c>
      <c r="AK18" s="3"/>
      <c r="AL18" s="143">
        <v>0</v>
      </c>
      <c r="AM18" s="143">
        <v>0</v>
      </c>
      <c r="AN18" s="143">
        <v>0</v>
      </c>
      <c r="AO18" s="143">
        <v>0</v>
      </c>
      <c r="AP18" s="143">
        <v>0</v>
      </c>
      <c r="AQ18" s="143">
        <v>0</v>
      </c>
      <c r="AR18" s="143">
        <v>0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3"/>
      <c r="AL19" s="2"/>
      <c r="AM19" s="2"/>
      <c r="AN19" s="2"/>
      <c r="AO19" s="2"/>
      <c r="AP19" s="2"/>
      <c r="AQ19" s="2"/>
      <c r="AR19" s="2"/>
    </row>
    <row x14ac:dyDescent="0.25" r="20" customHeight="1" ht="18.75">
      <c r="A20" s="30" t="s">
        <v>43</v>
      </c>
      <c r="B20" s="31" t="s">
        <v>198</v>
      </c>
      <c r="C20" s="31" t="s">
        <v>180</v>
      </c>
      <c r="D20" s="31" t="s">
        <v>180</v>
      </c>
      <c r="E20" s="31" t="s">
        <v>180</v>
      </c>
      <c r="F20" s="139" t="s">
        <v>149</v>
      </c>
      <c r="G20" s="139" t="s">
        <v>149</v>
      </c>
      <c r="H20" s="31" t="s">
        <v>149</v>
      </c>
      <c r="I20" s="31" t="s">
        <v>149</v>
      </c>
      <c r="J20" s="31" t="s">
        <v>1088</v>
      </c>
      <c r="K20" s="31" t="s">
        <v>149</v>
      </c>
      <c r="L20" s="31" t="s">
        <v>149</v>
      </c>
      <c r="M20" s="31" t="s">
        <v>149</v>
      </c>
      <c r="N20" s="31" t="s">
        <v>149</v>
      </c>
      <c r="O20" s="31" t="s">
        <v>149</v>
      </c>
      <c r="P20" s="31" t="s">
        <v>149</v>
      </c>
      <c r="Q20" s="31" t="s">
        <v>149</v>
      </c>
      <c r="R20" s="31" t="s">
        <v>149</v>
      </c>
      <c r="S20" s="31" t="s">
        <v>1089</v>
      </c>
      <c r="T20" s="31" t="s">
        <v>735</v>
      </c>
      <c r="U20" s="31" t="s">
        <v>68</v>
      </c>
      <c r="V20" s="31" t="s">
        <v>149</v>
      </c>
      <c r="W20" s="31" t="s">
        <v>149</v>
      </c>
      <c r="X20" s="31" t="s">
        <v>180</v>
      </c>
      <c r="Y20" s="31" t="s">
        <v>180</v>
      </c>
      <c r="Z20" s="31" t="s">
        <v>68</v>
      </c>
      <c r="AA20" s="31" t="s">
        <v>68</v>
      </c>
      <c r="AB20" s="31" t="s">
        <v>68</v>
      </c>
      <c r="AC20" s="31" t="s">
        <v>132</v>
      </c>
      <c r="AD20" s="31" t="s">
        <v>132</v>
      </c>
      <c r="AE20" s="31" t="s">
        <v>132</v>
      </c>
      <c r="AF20" s="31" t="s">
        <v>68</v>
      </c>
      <c r="AG20" s="31" t="s">
        <v>149</v>
      </c>
      <c r="AH20" s="31" t="s">
        <v>149</v>
      </c>
      <c r="AI20" s="3"/>
      <c r="AJ20" s="31" t="s">
        <v>198</v>
      </c>
      <c r="AK20" s="3"/>
      <c r="AL20" s="31" t="s">
        <v>149</v>
      </c>
      <c r="AM20" s="31" t="s">
        <v>149</v>
      </c>
      <c r="AN20" s="139" t="s">
        <v>149</v>
      </c>
      <c r="AO20" s="139" t="s">
        <v>149</v>
      </c>
      <c r="AP20" s="139" t="s">
        <v>149</v>
      </c>
      <c r="AQ20" s="31" t="s">
        <v>149</v>
      </c>
      <c r="AR20" s="31" t="s">
        <v>149</v>
      </c>
    </row>
    <row x14ac:dyDescent="0.25" r="21" customHeight="1" ht="15.75">
      <c r="A21" s="30" t="s">
        <v>45</v>
      </c>
      <c r="B21" s="31" t="s">
        <v>156</v>
      </c>
      <c r="C21" s="33" t="s">
        <v>374</v>
      </c>
      <c r="D21" s="33" t="s">
        <v>374</v>
      </c>
      <c r="E21" s="33" t="s">
        <v>374</v>
      </c>
      <c r="F21" s="33" t="s">
        <v>149</v>
      </c>
      <c r="G21" s="33" t="s">
        <v>149</v>
      </c>
      <c r="H21" s="33" t="s">
        <v>149</v>
      </c>
      <c r="I21" s="33" t="s">
        <v>149</v>
      </c>
      <c r="J21" s="31" t="s">
        <v>1092</v>
      </c>
      <c r="K21" s="33" t="s">
        <v>149</v>
      </c>
      <c r="L21" s="31" t="s">
        <v>749</v>
      </c>
      <c r="M21" s="31" t="s">
        <v>750</v>
      </c>
      <c r="N21" s="33" t="s">
        <v>149</v>
      </c>
      <c r="O21" s="33" t="s">
        <v>149</v>
      </c>
      <c r="P21" s="33" t="s">
        <v>149</v>
      </c>
      <c r="Q21" s="33" t="s">
        <v>149</v>
      </c>
      <c r="R21" s="33" t="s">
        <v>149</v>
      </c>
      <c r="S21" s="33" t="s">
        <v>1093</v>
      </c>
      <c r="T21" s="33" t="s">
        <v>272</v>
      </c>
      <c r="U21" s="31" t="s">
        <v>132</v>
      </c>
      <c r="V21" s="33" t="s">
        <v>149</v>
      </c>
      <c r="W21" s="33" t="s">
        <v>149</v>
      </c>
      <c r="X21" s="31" t="s">
        <v>374</v>
      </c>
      <c r="Y21" s="31" t="s">
        <v>374</v>
      </c>
      <c r="Z21" s="31" t="s">
        <v>132</v>
      </c>
      <c r="AA21" s="31" t="s">
        <v>132</v>
      </c>
      <c r="AB21" s="31" t="s">
        <v>132</v>
      </c>
      <c r="AC21" s="31" t="s">
        <v>132</v>
      </c>
      <c r="AD21" s="31" t="s">
        <v>132</v>
      </c>
      <c r="AE21" s="31" t="s">
        <v>132</v>
      </c>
      <c r="AF21" s="31" t="s">
        <v>132</v>
      </c>
      <c r="AG21" s="33" t="s">
        <v>149</v>
      </c>
      <c r="AH21" s="33" t="s">
        <v>149</v>
      </c>
      <c r="AI21" s="3"/>
      <c r="AJ21" s="31" t="s">
        <v>361</v>
      </c>
      <c r="AK21" s="3"/>
      <c r="AL21" s="31" t="s">
        <v>156</v>
      </c>
      <c r="AM21" s="31" t="s">
        <v>149</v>
      </c>
      <c r="AN21" s="33" t="s">
        <v>149</v>
      </c>
      <c r="AO21" s="33" t="s">
        <v>149</v>
      </c>
      <c r="AP21" s="33" t="s">
        <v>149</v>
      </c>
      <c r="AQ21" s="33" t="s">
        <v>149</v>
      </c>
      <c r="AR21" s="33" t="s">
        <v>149</v>
      </c>
    </row>
    <row x14ac:dyDescent="0.25" r="22" customHeight="1" ht="18.75">
      <c r="A22" s="35" t="s">
        <v>47</v>
      </c>
      <c r="B22" s="117">
        <v>87</v>
      </c>
      <c r="C22" s="117">
        <v>83</v>
      </c>
      <c r="D22" s="117">
        <v>83</v>
      </c>
      <c r="E22" s="117">
        <v>83</v>
      </c>
      <c r="F22" s="117">
        <v>85</v>
      </c>
      <c r="G22" s="117">
        <v>85</v>
      </c>
      <c r="H22" s="117">
        <v>85</v>
      </c>
      <c r="I22" s="117">
        <v>85</v>
      </c>
      <c r="J22" s="117">
        <v>130</v>
      </c>
      <c r="K22" s="117">
        <v>85</v>
      </c>
      <c r="L22" s="117">
        <v>89</v>
      </c>
      <c r="M22" s="117">
        <v>140</v>
      </c>
      <c r="N22" s="117">
        <v>85</v>
      </c>
      <c r="O22" s="117">
        <v>85</v>
      </c>
      <c r="P22" s="117">
        <v>85</v>
      </c>
      <c r="Q22" s="117">
        <v>85</v>
      </c>
      <c r="R22" s="117">
        <v>85</v>
      </c>
      <c r="S22" s="117">
        <v>133</v>
      </c>
      <c r="T22" s="117">
        <v>35</v>
      </c>
      <c r="U22" s="117">
        <v>98</v>
      </c>
      <c r="V22" s="117">
        <v>85</v>
      </c>
      <c r="W22" s="117">
        <v>85</v>
      </c>
      <c r="X22" s="117">
        <v>83</v>
      </c>
      <c r="Y22" s="117">
        <v>83</v>
      </c>
      <c r="Z22" s="117">
        <v>98</v>
      </c>
      <c r="AA22" s="117">
        <v>98</v>
      </c>
      <c r="AB22" s="117">
        <v>98</v>
      </c>
      <c r="AC22" s="117">
        <v>98</v>
      </c>
      <c r="AD22" s="117">
        <v>98</v>
      </c>
      <c r="AE22" s="117">
        <v>98</v>
      </c>
      <c r="AF22" s="117">
        <v>98</v>
      </c>
      <c r="AG22" s="117">
        <v>85</v>
      </c>
      <c r="AH22" s="117">
        <v>85</v>
      </c>
      <c r="AI22" s="3"/>
      <c r="AJ22" s="117">
        <v>139</v>
      </c>
      <c r="AK22" s="3"/>
      <c r="AL22" s="117">
        <v>87</v>
      </c>
      <c r="AM22" s="117">
        <v>85</v>
      </c>
      <c r="AN22" s="117">
        <v>85</v>
      </c>
      <c r="AO22" s="117">
        <v>85</v>
      </c>
      <c r="AP22" s="117">
        <v>85</v>
      </c>
      <c r="AQ22" s="117">
        <v>85</v>
      </c>
      <c r="AR22" s="117">
        <v>85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33" t="s">
        <v>52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31" t="s">
        <v>52</v>
      </c>
      <c r="AH23" s="31" t="s">
        <v>52</v>
      </c>
      <c r="AI23" s="3"/>
      <c r="AJ23" s="31" t="s">
        <v>52</v>
      </c>
      <c r="AK23" s="3"/>
      <c r="AL23" s="31" t="s">
        <v>52</v>
      </c>
      <c r="AM23" s="31" t="s">
        <v>52</v>
      </c>
      <c r="AN23" s="31" t="s">
        <v>52</v>
      </c>
      <c r="AO23" s="31" t="s">
        <v>52</v>
      </c>
      <c r="AP23" s="31" t="s">
        <v>52</v>
      </c>
      <c r="AQ23" s="31" t="s">
        <v>52</v>
      </c>
      <c r="AR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142" t="s">
        <v>52</v>
      </c>
      <c r="T24" s="33" t="s">
        <v>52</v>
      </c>
      <c r="U24" s="31" t="s">
        <v>52</v>
      </c>
      <c r="V24" s="31" t="s">
        <v>52</v>
      </c>
      <c r="W24" s="31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31" t="s">
        <v>52</v>
      </c>
      <c r="AH24" s="31" t="s">
        <v>52</v>
      </c>
      <c r="AI24" s="3"/>
      <c r="AJ24" s="31" t="s">
        <v>52</v>
      </c>
      <c r="AK24" s="3"/>
      <c r="AL24" s="31" t="s">
        <v>52</v>
      </c>
      <c r="AM24" s="31" t="s">
        <v>52</v>
      </c>
      <c r="AN24" s="31" t="s">
        <v>52</v>
      </c>
      <c r="AO24" s="31" t="s">
        <v>52</v>
      </c>
      <c r="AP24" s="31" t="s">
        <v>52</v>
      </c>
      <c r="AQ24" s="31" t="s">
        <v>52</v>
      </c>
      <c r="AR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1" t="s">
        <v>52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31" t="s">
        <v>49</v>
      </c>
      <c r="AH25" s="31" t="s">
        <v>49</v>
      </c>
      <c r="AI25" s="3"/>
      <c r="AJ25" s="31" t="s">
        <v>49</v>
      </c>
      <c r="AK25" s="3"/>
      <c r="AL25" s="31" t="s">
        <v>49</v>
      </c>
      <c r="AM25" s="31" t="s">
        <v>49</v>
      </c>
      <c r="AN25" s="31" t="s">
        <v>49</v>
      </c>
      <c r="AO25" s="31" t="s">
        <v>49</v>
      </c>
      <c r="AP25" s="31" t="s">
        <v>49</v>
      </c>
      <c r="AQ25" s="31" t="s">
        <v>49</v>
      </c>
      <c r="AR25" s="31" t="s">
        <v>49</v>
      </c>
    </row>
    <row x14ac:dyDescent="0.25" r="26" customHeight="1" ht="18.75">
      <c r="A26" s="30" t="s">
        <v>126</v>
      </c>
      <c r="B26" s="31" t="s">
        <v>52</v>
      </c>
      <c r="C26" s="31" t="s">
        <v>49</v>
      </c>
      <c r="D26" s="31" t="s">
        <v>49</v>
      </c>
      <c r="E26" s="31" t="s">
        <v>49</v>
      </c>
      <c r="F26" s="31" t="s">
        <v>52</v>
      </c>
      <c r="G26" s="31" t="s">
        <v>52</v>
      </c>
      <c r="H26" s="31" t="s">
        <v>52</v>
      </c>
      <c r="I26" s="31" t="s">
        <v>52</v>
      </c>
      <c r="J26" s="31" t="s">
        <v>52</v>
      </c>
      <c r="K26" s="31" t="s">
        <v>52</v>
      </c>
      <c r="L26" s="31" t="s">
        <v>52</v>
      </c>
      <c r="M26" s="31" t="s">
        <v>52</v>
      </c>
      <c r="N26" s="31" t="s">
        <v>52</v>
      </c>
      <c r="O26" s="31" t="s">
        <v>52</v>
      </c>
      <c r="P26" s="31" t="s">
        <v>52</v>
      </c>
      <c r="Q26" s="31" t="s">
        <v>52</v>
      </c>
      <c r="R26" s="31" t="s">
        <v>52</v>
      </c>
      <c r="S26" s="31" t="s">
        <v>1025</v>
      </c>
      <c r="T26" s="31" t="s">
        <v>49</v>
      </c>
      <c r="U26" s="31" t="s">
        <v>49</v>
      </c>
      <c r="V26" s="31" t="s">
        <v>52</v>
      </c>
      <c r="W26" s="31" t="s">
        <v>52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31" t="s">
        <v>52</v>
      </c>
      <c r="AH26" s="31" t="s">
        <v>52</v>
      </c>
      <c r="AI26" s="3"/>
      <c r="AJ26" s="31" t="s">
        <v>52</v>
      </c>
      <c r="AK26" s="3"/>
      <c r="AL26" s="31" t="s">
        <v>52</v>
      </c>
      <c r="AM26" s="31" t="s">
        <v>52</v>
      </c>
      <c r="AN26" s="31" t="s">
        <v>52</v>
      </c>
      <c r="AO26" s="31" t="s">
        <v>52</v>
      </c>
      <c r="AP26" s="31" t="s">
        <v>52</v>
      </c>
      <c r="AQ26" s="31" t="s">
        <v>52</v>
      </c>
      <c r="AR26" s="31" t="s">
        <v>52</v>
      </c>
    </row>
    <row x14ac:dyDescent="0.25" r="27" customHeight="1" ht="18.75">
      <c r="A27" s="30" t="s">
        <v>127</v>
      </c>
      <c r="B27" s="31" t="s">
        <v>164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 t="s">
        <v>143</v>
      </c>
      <c r="J27" s="33" t="s">
        <v>648</v>
      </c>
      <c r="K27" s="31" t="s">
        <v>143</v>
      </c>
      <c r="L27" s="31" t="s">
        <v>164</v>
      </c>
      <c r="M27" s="31" t="s">
        <v>234</v>
      </c>
      <c r="N27" s="31" t="s">
        <v>143</v>
      </c>
      <c r="O27" s="31" t="s">
        <v>143</v>
      </c>
      <c r="P27" s="31" t="s">
        <v>143</v>
      </c>
      <c r="Q27" s="31" t="s">
        <v>143</v>
      </c>
      <c r="R27" s="31" t="s">
        <v>143</v>
      </c>
      <c r="S27" s="33" t="s">
        <v>648</v>
      </c>
      <c r="T27" s="31" t="s">
        <v>133</v>
      </c>
      <c r="U27" s="31" t="s">
        <v>133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133</v>
      </c>
      <c r="AA27" s="31" t="s">
        <v>133</v>
      </c>
      <c r="AB27" s="31" t="s">
        <v>133</v>
      </c>
      <c r="AC27" s="31" t="s">
        <v>133</v>
      </c>
      <c r="AD27" s="31" t="s">
        <v>133</v>
      </c>
      <c r="AE27" s="31" t="s">
        <v>133</v>
      </c>
      <c r="AF27" s="31" t="s">
        <v>133</v>
      </c>
      <c r="AG27" s="31" t="s">
        <v>143</v>
      </c>
      <c r="AH27" s="31" t="s">
        <v>143</v>
      </c>
      <c r="AI27" s="3"/>
      <c r="AJ27" s="31" t="s">
        <v>133</v>
      </c>
      <c r="AK27" s="3"/>
      <c r="AL27" s="33" t="s">
        <v>164</v>
      </c>
      <c r="AM27" s="33" t="s">
        <v>143</v>
      </c>
      <c r="AN27" s="31" t="s">
        <v>143</v>
      </c>
      <c r="AO27" s="31" t="s">
        <v>143</v>
      </c>
      <c r="AP27" s="31" t="s">
        <v>143</v>
      </c>
      <c r="AQ27" s="31" t="s">
        <v>143</v>
      </c>
      <c r="AR27" s="31" t="s">
        <v>143</v>
      </c>
    </row>
    <row x14ac:dyDescent="0.25" r="28" customHeight="1" ht="18.75">
      <c r="A28" s="30" t="s">
        <v>128</v>
      </c>
      <c r="B28" s="31">
        <f>-7/6</f>
      </c>
      <c r="C28" s="31">
        <v>0.75</v>
      </c>
      <c r="D28" s="31">
        <v>0.75</v>
      </c>
      <c r="E28" s="31">
        <v>0.75</v>
      </c>
      <c r="F28" s="31">
        <v>0.75</v>
      </c>
      <c r="G28" s="31">
        <v>0.75</v>
      </c>
      <c r="H28" s="31">
        <v>0.75</v>
      </c>
      <c r="I28" s="31">
        <v>0.75</v>
      </c>
      <c r="J28" s="31">
        <f>AVERAGE(0.75,0.75,0.75,0)</f>
      </c>
      <c r="K28" s="31">
        <v>0.75</v>
      </c>
      <c r="L28" s="31">
        <v>-1.625</v>
      </c>
      <c r="M28" s="31">
        <v>-3</v>
      </c>
      <c r="N28" s="31">
        <v>0.75</v>
      </c>
      <c r="O28" s="31">
        <v>0.75</v>
      </c>
      <c r="P28" s="31">
        <v>0.75</v>
      </c>
      <c r="Q28" s="31">
        <v>0.75</v>
      </c>
      <c r="R28" s="31">
        <v>0.75</v>
      </c>
      <c r="S28" s="31">
        <f>AVERAGE(0.75,0.75,(AVERAGE(0,-2)))</f>
      </c>
      <c r="T28" s="33">
        <v>-0.5</v>
      </c>
      <c r="U28" s="31">
        <v>-2</v>
      </c>
      <c r="V28" s="31">
        <v>0.75</v>
      </c>
      <c r="W28" s="31">
        <v>0.75</v>
      </c>
      <c r="X28" s="31">
        <v>0.75</v>
      </c>
      <c r="Y28" s="31">
        <v>0.75</v>
      </c>
      <c r="Z28" s="31">
        <v>-2</v>
      </c>
      <c r="AA28" s="31">
        <v>-2</v>
      </c>
      <c r="AB28" s="31">
        <v>-2</v>
      </c>
      <c r="AC28" s="31">
        <v>-2</v>
      </c>
      <c r="AD28" s="31">
        <v>-2</v>
      </c>
      <c r="AE28" s="31">
        <v>-2</v>
      </c>
      <c r="AF28" s="31">
        <v>-2</v>
      </c>
      <c r="AG28" s="31">
        <v>0.75</v>
      </c>
      <c r="AH28" s="31">
        <v>0.75</v>
      </c>
      <c r="AI28" s="3"/>
      <c r="AJ28" s="31">
        <f>-1/6</f>
      </c>
      <c r="AK28" s="3"/>
      <c r="AL28" s="31">
        <f>-7/6</f>
      </c>
      <c r="AM28" s="31">
        <v>0.75</v>
      </c>
      <c r="AN28" s="31">
        <v>0.75</v>
      </c>
      <c r="AO28" s="31">
        <v>0.75</v>
      </c>
      <c r="AP28" s="31">
        <v>0.75</v>
      </c>
      <c r="AQ28" s="31">
        <v>0.75</v>
      </c>
      <c r="AR28" s="31">
        <v>0.75</v>
      </c>
    </row>
    <row x14ac:dyDescent="0.25" r="29" customHeight="1" ht="18.75">
      <c r="A29" s="30" t="s">
        <v>129</v>
      </c>
      <c r="B29" s="31" t="s">
        <v>167</v>
      </c>
      <c r="C29" s="31" t="s">
        <v>198</v>
      </c>
      <c r="D29" s="31" t="s">
        <v>198</v>
      </c>
      <c r="E29" s="31" t="s">
        <v>198</v>
      </c>
      <c r="F29" s="31" t="s">
        <v>167</v>
      </c>
      <c r="G29" s="31" t="s">
        <v>167</v>
      </c>
      <c r="H29" s="31" t="s">
        <v>167</v>
      </c>
      <c r="I29" s="31" t="s">
        <v>167</v>
      </c>
      <c r="J29" s="31" t="s">
        <v>167</v>
      </c>
      <c r="K29" s="31" t="s">
        <v>167</v>
      </c>
      <c r="L29" s="31" t="s">
        <v>167</v>
      </c>
      <c r="M29" s="31" t="s">
        <v>167</v>
      </c>
      <c r="N29" s="31" t="s">
        <v>167</v>
      </c>
      <c r="O29" s="31" t="s">
        <v>167</v>
      </c>
      <c r="P29" s="31" t="s">
        <v>167</v>
      </c>
      <c r="Q29" s="31" t="s">
        <v>167</v>
      </c>
      <c r="R29" s="31" t="s">
        <v>167</v>
      </c>
      <c r="S29" s="31" t="s">
        <v>1096</v>
      </c>
      <c r="T29" s="31" t="s">
        <v>274</v>
      </c>
      <c r="U29" s="31" t="s">
        <v>134</v>
      </c>
      <c r="V29" s="31" t="s">
        <v>167</v>
      </c>
      <c r="W29" s="31" t="s">
        <v>167</v>
      </c>
      <c r="X29" s="31" t="s">
        <v>198</v>
      </c>
      <c r="Y29" s="31" t="s">
        <v>198</v>
      </c>
      <c r="Z29" s="31" t="s">
        <v>134</v>
      </c>
      <c r="AA29" s="31" t="s">
        <v>134</v>
      </c>
      <c r="AB29" s="31" t="s">
        <v>134</v>
      </c>
      <c r="AC29" s="31" t="s">
        <v>134</v>
      </c>
      <c r="AD29" s="31" t="s">
        <v>134</v>
      </c>
      <c r="AE29" s="31" t="s">
        <v>134</v>
      </c>
      <c r="AF29" s="31" t="s">
        <v>134</v>
      </c>
      <c r="AG29" s="31" t="s">
        <v>167</v>
      </c>
      <c r="AH29" s="31" t="s">
        <v>167</v>
      </c>
      <c r="AI29" s="3"/>
      <c r="AJ29" s="31" t="s">
        <v>167</v>
      </c>
      <c r="AK29" s="3"/>
      <c r="AL29" s="31" t="s">
        <v>167</v>
      </c>
      <c r="AM29" s="31" t="s">
        <v>167</v>
      </c>
      <c r="AN29" s="31" t="s">
        <v>167</v>
      </c>
      <c r="AO29" s="31" t="s">
        <v>167</v>
      </c>
      <c r="AP29" s="31" t="s">
        <v>167</v>
      </c>
      <c r="AQ29" s="31" t="s">
        <v>167</v>
      </c>
      <c r="AR29" s="31" t="s">
        <v>167</v>
      </c>
    </row>
    <row x14ac:dyDescent="0.25" r="30" customHeight="1" ht="18.75">
      <c r="A30" s="30" t="s">
        <v>130</v>
      </c>
      <c r="B30" s="31">
        <v>0.75</v>
      </c>
      <c r="C30" s="31">
        <v>1</v>
      </c>
      <c r="D30" s="31">
        <v>1</v>
      </c>
      <c r="E30" s="31">
        <v>1</v>
      </c>
      <c r="F30" s="31">
        <v>0.75</v>
      </c>
      <c r="G30" s="31">
        <v>0.75</v>
      </c>
      <c r="H30" s="31">
        <v>0.75</v>
      </c>
      <c r="I30" s="31">
        <v>0.75</v>
      </c>
      <c r="J30" s="31">
        <v>0.75</v>
      </c>
      <c r="K30" s="31">
        <v>0.75</v>
      </c>
      <c r="L30" s="31">
        <v>0.75</v>
      </c>
      <c r="M30" s="31">
        <v>0.75</v>
      </c>
      <c r="N30" s="31">
        <v>0.75</v>
      </c>
      <c r="O30" s="31">
        <v>0.75</v>
      </c>
      <c r="P30" s="31">
        <v>0.75</v>
      </c>
      <c r="Q30" s="31">
        <v>0.75</v>
      </c>
      <c r="R30" s="31">
        <v>0.75</v>
      </c>
      <c r="S30" s="31">
        <f>2/3</f>
      </c>
      <c r="T30" s="31">
        <v>3</v>
      </c>
      <c r="U30" s="31">
        <v>0.5</v>
      </c>
      <c r="V30" s="31">
        <v>0.75</v>
      </c>
      <c r="W30" s="31">
        <v>0.75</v>
      </c>
      <c r="X30" s="31">
        <v>1</v>
      </c>
      <c r="Y30" s="31">
        <v>1</v>
      </c>
      <c r="Z30" s="31">
        <f>1/3</f>
      </c>
      <c r="AA30" s="31">
        <f>1/3</f>
      </c>
      <c r="AB30" s="31">
        <f>1/3</f>
      </c>
      <c r="AC30" s="31">
        <f>1/3</f>
      </c>
      <c r="AD30" s="31">
        <f>1/3</f>
      </c>
      <c r="AE30" s="31">
        <f>1/3</f>
      </c>
      <c r="AF30" s="31">
        <f>1/3</f>
      </c>
      <c r="AG30" s="31">
        <v>0.75</v>
      </c>
      <c r="AH30" s="31">
        <v>0.75</v>
      </c>
      <c r="AI30" s="3"/>
      <c r="AJ30" s="31">
        <v>0.75</v>
      </c>
      <c r="AK30" s="3"/>
      <c r="AL30" s="31">
        <v>0.75</v>
      </c>
      <c r="AM30" s="31">
        <v>0.75</v>
      </c>
      <c r="AN30" s="31">
        <v>0.75</v>
      </c>
      <c r="AO30" s="31">
        <v>0.75</v>
      </c>
      <c r="AP30" s="31">
        <v>0.75</v>
      </c>
      <c r="AQ30" s="31">
        <v>0.75</v>
      </c>
      <c r="AR30" s="31">
        <v>0.75</v>
      </c>
    </row>
    <row x14ac:dyDescent="0.25" r="31" customHeight="1" ht="15.75">
      <c r="A31" s="46"/>
      <c r="B31" s="138" t="s">
        <v>1246</v>
      </c>
      <c r="C31" s="121" t="s">
        <v>1247</v>
      </c>
      <c r="D31" s="121"/>
      <c r="E31" s="121"/>
      <c r="F31" s="121"/>
      <c r="G31" s="121"/>
      <c r="H31" s="121"/>
      <c r="I31" s="12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138" t="s">
        <v>1248</v>
      </c>
      <c r="AK31" s="3"/>
      <c r="AL31" s="121" t="s">
        <v>1249</v>
      </c>
      <c r="AM31" s="121"/>
      <c r="AN31" s="121"/>
      <c r="AO31" s="121"/>
      <c r="AP31" s="121"/>
      <c r="AQ31" s="121"/>
      <c r="AR31" s="121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3"/>
      <c r="AL32" s="2"/>
      <c r="AM32" s="2"/>
      <c r="AN32" s="2"/>
      <c r="AO32" s="2"/>
      <c r="AP32" s="2"/>
      <c r="AQ32" s="2"/>
      <c r="AR32" s="2"/>
    </row>
    <row x14ac:dyDescent="0.25" r="33" customHeight="1" ht="18.75">
      <c r="A33" s="209" t="s">
        <v>1250</v>
      </c>
      <c r="B33" s="214" t="s">
        <v>1251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3"/>
      <c r="AL33" s="2"/>
      <c r="AM33" s="2"/>
      <c r="AN33" s="2"/>
      <c r="AO33" s="2"/>
      <c r="AP33" s="2"/>
      <c r="AQ33" s="2"/>
      <c r="AR33" s="2"/>
    </row>
    <row x14ac:dyDescent="0.25" r="34" customHeight="1" ht="18.75">
      <c r="A34" s="30"/>
      <c r="B34" s="214" t="s">
        <v>1252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3"/>
      <c r="AL34" s="2"/>
      <c r="AM34" s="2"/>
      <c r="AN34" s="2"/>
      <c r="AO34" s="2"/>
      <c r="AP34" s="2"/>
      <c r="AQ34" s="2"/>
      <c r="AR34" s="2"/>
    </row>
    <row x14ac:dyDescent="0.25" r="35" customHeight="1" ht="18.75">
      <c r="A35" s="30"/>
      <c r="B35" s="214" t="s">
        <v>1253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3"/>
      <c r="AL35" s="2"/>
      <c r="AM35" s="2"/>
      <c r="AN35" s="2"/>
      <c r="AO35" s="2"/>
      <c r="AP35" s="2"/>
      <c r="AQ35" s="2"/>
      <c r="AR35" s="2"/>
    </row>
    <row x14ac:dyDescent="0.25" r="36" customHeight="1" ht="18.75">
      <c r="A36" s="30" t="s">
        <v>1254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3"/>
      <c r="AL36" s="2"/>
      <c r="AM36" s="2"/>
      <c r="AN36" s="2"/>
      <c r="AO36" s="2"/>
      <c r="AP36" s="2"/>
      <c r="AQ36" s="2"/>
      <c r="AR36" s="2"/>
    </row>
    <row x14ac:dyDescent="0.25" r="37" customHeight="1" ht="18.75">
      <c r="A37" s="30" t="s">
        <v>1255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3"/>
      <c r="AL37" s="2"/>
      <c r="AM37" s="2"/>
      <c r="AN37" s="2"/>
      <c r="AO37" s="2"/>
      <c r="AP37" s="2"/>
      <c r="AQ37" s="2"/>
      <c r="AR37" s="2"/>
    </row>
  </sheetData>
  <mergeCells count="8">
    <mergeCell ref="B3:D3"/>
    <mergeCell ref="F3:O3"/>
    <mergeCell ref="B4:D4"/>
    <mergeCell ref="F4:O5"/>
    <mergeCell ref="B5:D5"/>
    <mergeCell ref="C31:I31"/>
    <mergeCell ref="AL31:AR31"/>
    <mergeCell ref="A33:A3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35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1239</v>
      </c>
      <c r="C4" s="7"/>
      <c r="D4" s="7"/>
      <c r="E4" s="2"/>
      <c r="F4" s="124" t="s">
        <v>1240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31" t="s">
        <v>141</v>
      </c>
      <c r="C8" s="31" t="s">
        <v>327</v>
      </c>
      <c r="D8" s="31" t="s">
        <v>327</v>
      </c>
      <c r="E8" s="31" t="s">
        <v>327</v>
      </c>
      <c r="F8" s="31" t="s">
        <v>327</v>
      </c>
      <c r="G8" s="31" t="s">
        <v>327</v>
      </c>
      <c r="H8" s="31" t="s">
        <v>327</v>
      </c>
      <c r="I8" s="31" t="s">
        <v>327</v>
      </c>
      <c r="J8" s="31" t="s">
        <v>327</v>
      </c>
      <c r="K8" s="31" t="s">
        <v>327</v>
      </c>
      <c r="L8" s="31" t="s">
        <v>327</v>
      </c>
      <c r="M8" s="31" t="s">
        <v>327</v>
      </c>
      <c r="N8" s="31" t="s">
        <v>327</v>
      </c>
      <c r="O8" s="31" t="s">
        <v>327</v>
      </c>
      <c r="P8" s="31" t="s">
        <v>327</v>
      </c>
      <c r="Q8" s="31" t="s">
        <v>327</v>
      </c>
      <c r="R8" s="31" t="s">
        <v>327</v>
      </c>
      <c r="S8" s="31" t="s">
        <v>327</v>
      </c>
      <c r="T8" s="31" t="s">
        <v>327</v>
      </c>
      <c r="U8" s="31" t="s">
        <v>327</v>
      </c>
      <c r="V8" s="31" t="s">
        <v>327</v>
      </c>
      <c r="W8" s="31" t="s">
        <v>327</v>
      </c>
      <c r="X8" s="31" t="s">
        <v>327</v>
      </c>
      <c r="Y8" s="31" t="s">
        <v>327</v>
      </c>
      <c r="Z8" s="31" t="s">
        <v>327</v>
      </c>
      <c r="AA8" s="31" t="s">
        <v>327</v>
      </c>
      <c r="AB8" s="31" t="s">
        <v>327</v>
      </c>
      <c r="AC8" s="31" t="s">
        <v>327</v>
      </c>
      <c r="AD8" s="31" t="s">
        <v>327</v>
      </c>
      <c r="AE8" s="31" t="s">
        <v>327</v>
      </c>
      <c r="AF8" s="31" t="s">
        <v>327</v>
      </c>
      <c r="AG8" s="31" t="s">
        <v>327</v>
      </c>
      <c r="AH8" s="31" t="s">
        <v>327</v>
      </c>
    </row>
    <row x14ac:dyDescent="0.25" r="9" customHeight="1" ht="18.75">
      <c r="A9" s="30" t="s">
        <v>45</v>
      </c>
      <c r="B9" s="33" t="s">
        <v>142</v>
      </c>
      <c r="C9" s="33" t="s">
        <v>142</v>
      </c>
      <c r="D9" s="33" t="s">
        <v>142</v>
      </c>
      <c r="E9" s="33" t="s">
        <v>142</v>
      </c>
      <c r="F9" s="33" t="s">
        <v>142</v>
      </c>
      <c r="G9" s="33" t="s">
        <v>142</v>
      </c>
      <c r="H9" s="33" t="s">
        <v>142</v>
      </c>
      <c r="I9" s="33" t="s">
        <v>142</v>
      </c>
      <c r="J9" s="33" t="s">
        <v>142</v>
      </c>
      <c r="K9" s="33" t="s">
        <v>142</v>
      </c>
      <c r="L9" s="33" t="s">
        <v>142</v>
      </c>
      <c r="M9" s="33" t="s">
        <v>142</v>
      </c>
      <c r="N9" s="33" t="s">
        <v>142</v>
      </c>
      <c r="O9" s="33" t="s">
        <v>142</v>
      </c>
      <c r="P9" s="33" t="s">
        <v>142</v>
      </c>
      <c r="Q9" s="33" t="s">
        <v>142</v>
      </c>
      <c r="R9" s="33" t="s">
        <v>142</v>
      </c>
      <c r="S9" s="33" t="s">
        <v>142</v>
      </c>
      <c r="T9" s="33" t="s">
        <v>142</v>
      </c>
      <c r="U9" s="33" t="s">
        <v>142</v>
      </c>
      <c r="V9" s="33" t="s">
        <v>142</v>
      </c>
      <c r="W9" s="33" t="s">
        <v>142</v>
      </c>
      <c r="X9" s="33" t="s">
        <v>142</v>
      </c>
      <c r="Y9" s="33" t="s">
        <v>142</v>
      </c>
      <c r="Z9" s="33" t="s">
        <v>1241</v>
      </c>
      <c r="AA9" s="33" t="s">
        <v>142</v>
      </c>
      <c r="AB9" s="33" t="s">
        <v>142</v>
      </c>
      <c r="AC9" s="33" t="s">
        <v>142</v>
      </c>
      <c r="AD9" s="33" t="s">
        <v>142</v>
      </c>
      <c r="AE9" s="139" t="s">
        <v>954</v>
      </c>
      <c r="AF9" s="33" t="s">
        <v>142</v>
      </c>
      <c r="AG9" s="33" t="s">
        <v>142</v>
      </c>
      <c r="AH9" s="33" t="s">
        <v>142</v>
      </c>
    </row>
    <row x14ac:dyDescent="0.25" r="10" customHeight="1" ht="18.75">
      <c r="A10" s="35" t="s">
        <v>47</v>
      </c>
      <c r="B10" s="117">
        <v>5</v>
      </c>
      <c r="C10" s="117">
        <v>5</v>
      </c>
      <c r="D10" s="117">
        <v>5</v>
      </c>
      <c r="E10" s="117">
        <v>5</v>
      </c>
      <c r="F10" s="117">
        <v>5</v>
      </c>
      <c r="G10" s="117">
        <v>5</v>
      </c>
      <c r="H10" s="117">
        <v>5</v>
      </c>
      <c r="I10" s="117">
        <v>5</v>
      </c>
      <c r="J10" s="117">
        <v>5</v>
      </c>
      <c r="K10" s="117">
        <v>5</v>
      </c>
      <c r="L10" s="117">
        <v>5</v>
      </c>
      <c r="M10" s="117">
        <v>5</v>
      </c>
      <c r="N10" s="117">
        <v>5</v>
      </c>
      <c r="O10" s="117">
        <v>5</v>
      </c>
      <c r="P10" s="117">
        <v>5</v>
      </c>
      <c r="Q10" s="117">
        <v>5</v>
      </c>
      <c r="R10" s="117">
        <v>5</v>
      </c>
      <c r="S10" s="117">
        <v>5</v>
      </c>
      <c r="T10" s="117">
        <v>5</v>
      </c>
      <c r="U10" s="117">
        <v>5</v>
      </c>
      <c r="V10" s="117">
        <v>5</v>
      </c>
      <c r="W10" s="117">
        <v>5</v>
      </c>
      <c r="X10" s="117">
        <v>5</v>
      </c>
      <c r="Y10" s="117">
        <v>5</v>
      </c>
      <c r="Z10" s="117">
        <v>145</v>
      </c>
      <c r="AA10" s="117">
        <v>5</v>
      </c>
      <c r="AB10" s="117">
        <v>5</v>
      </c>
      <c r="AC10" s="117">
        <v>5</v>
      </c>
      <c r="AD10" s="117">
        <v>5</v>
      </c>
      <c r="AE10" s="167">
        <v>13</v>
      </c>
      <c r="AF10" s="117">
        <v>5</v>
      </c>
      <c r="AG10" s="117">
        <v>5</v>
      </c>
      <c r="AH10" s="117">
        <v>5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139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139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139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139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163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139" t="s">
        <v>133</v>
      </c>
      <c r="AF15" s="31" t="s">
        <v>143</v>
      </c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>
        <f>5/3</f>
      </c>
      <c r="S16" s="31">
        <f>5/3</f>
      </c>
      <c r="T16" s="31">
        <f>5/3</f>
      </c>
      <c r="U16" s="31">
        <f>5/3</f>
      </c>
      <c r="V16" s="31">
        <f>5/3</f>
      </c>
      <c r="W16" s="31">
        <f>5/3</f>
      </c>
      <c r="X16" s="31">
        <f>5/3</f>
      </c>
      <c r="Y16" s="31">
        <f>5/3</f>
      </c>
      <c r="Z16" s="31">
        <f>AVERAGE(7/3,-1.25)</f>
      </c>
      <c r="AA16" s="31">
        <f>5/3</f>
      </c>
      <c r="AB16" s="31">
        <f>5/3</f>
      </c>
      <c r="AC16" s="31">
        <f>5/3</f>
      </c>
      <c r="AD16" s="31">
        <f>5/3</f>
      </c>
      <c r="AE16" s="139">
        <v>-1.25</v>
      </c>
      <c r="AF16" s="31">
        <f>5/3</f>
      </c>
      <c r="AG16" s="31">
        <f>5/3</f>
      </c>
      <c r="AH16" s="31">
        <f>5/3</f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139" t="s">
        <v>138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139">
        <v>4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0" t="s">
        <v>43</v>
      </c>
      <c r="B20" s="31" t="s">
        <v>373</v>
      </c>
      <c r="C20" s="31" t="s">
        <v>180</v>
      </c>
      <c r="D20" s="31" t="s">
        <v>180</v>
      </c>
      <c r="E20" s="31" t="s">
        <v>180</v>
      </c>
      <c r="F20" s="31" t="s">
        <v>180</v>
      </c>
      <c r="G20" s="31" t="s">
        <v>180</v>
      </c>
      <c r="H20" s="31" t="s">
        <v>180</v>
      </c>
      <c r="I20" s="31" t="s">
        <v>180</v>
      </c>
      <c r="J20" s="31" t="s">
        <v>180</v>
      </c>
      <c r="K20" s="31" t="s">
        <v>180</v>
      </c>
      <c r="L20" s="31" t="s">
        <v>180</v>
      </c>
      <c r="M20" s="31" t="s">
        <v>180</v>
      </c>
      <c r="N20" s="31" t="s">
        <v>180</v>
      </c>
      <c r="O20" s="31" t="s">
        <v>180</v>
      </c>
      <c r="P20" s="31" t="s">
        <v>180</v>
      </c>
      <c r="Q20" s="31" t="s">
        <v>180</v>
      </c>
      <c r="R20" s="31" t="s">
        <v>180</v>
      </c>
      <c r="S20" s="31" t="s">
        <v>180</v>
      </c>
      <c r="T20" s="31" t="s">
        <v>180</v>
      </c>
      <c r="U20" s="31" t="s">
        <v>180</v>
      </c>
      <c r="V20" s="31" t="s">
        <v>180</v>
      </c>
      <c r="W20" s="31" t="s">
        <v>180</v>
      </c>
      <c r="X20" s="31" t="s">
        <v>180</v>
      </c>
      <c r="Y20" s="31" t="s">
        <v>180</v>
      </c>
      <c r="Z20" s="31" t="s">
        <v>180</v>
      </c>
      <c r="AA20" s="31" t="s">
        <v>180</v>
      </c>
      <c r="AB20" s="31" t="s">
        <v>180</v>
      </c>
      <c r="AC20" s="31" t="s">
        <v>180</v>
      </c>
      <c r="AD20" s="31" t="s">
        <v>180</v>
      </c>
      <c r="AE20" s="31" t="s">
        <v>180</v>
      </c>
      <c r="AF20" s="31" t="s">
        <v>180</v>
      </c>
      <c r="AG20" s="31" t="s">
        <v>180</v>
      </c>
      <c r="AH20" s="31" t="s">
        <v>180</v>
      </c>
    </row>
    <row x14ac:dyDescent="0.25" r="21" customHeight="1" ht="18.75">
      <c r="A21" s="30" t="s">
        <v>45</v>
      </c>
      <c r="B21" s="33" t="s">
        <v>374</v>
      </c>
      <c r="C21" s="33" t="s">
        <v>374</v>
      </c>
      <c r="D21" s="33" t="s">
        <v>374</v>
      </c>
      <c r="E21" s="33" t="s">
        <v>374</v>
      </c>
      <c r="F21" s="33" t="s">
        <v>374</v>
      </c>
      <c r="G21" s="33" t="s">
        <v>374</v>
      </c>
      <c r="H21" s="33" t="s">
        <v>374</v>
      </c>
      <c r="I21" s="33" t="s">
        <v>374</v>
      </c>
      <c r="J21" s="33" t="s">
        <v>374</v>
      </c>
      <c r="K21" s="33" t="s">
        <v>374</v>
      </c>
      <c r="L21" s="33" t="s">
        <v>374</v>
      </c>
      <c r="M21" s="33" t="s">
        <v>374</v>
      </c>
      <c r="N21" s="31" t="s">
        <v>947</v>
      </c>
      <c r="O21" s="33" t="s">
        <v>374</v>
      </c>
      <c r="P21" s="31" t="s">
        <v>186</v>
      </c>
      <c r="Q21" s="31" t="s">
        <v>186</v>
      </c>
      <c r="R21" s="33" t="s">
        <v>187</v>
      </c>
      <c r="S21" s="31" t="s">
        <v>947</v>
      </c>
      <c r="T21" s="33" t="s">
        <v>374</v>
      </c>
      <c r="U21" s="33" t="s">
        <v>374</v>
      </c>
      <c r="V21" s="33" t="s">
        <v>374</v>
      </c>
      <c r="W21" s="33" t="s">
        <v>374</v>
      </c>
      <c r="X21" s="33" t="s">
        <v>374</v>
      </c>
      <c r="Y21" s="33" t="s">
        <v>374</v>
      </c>
      <c r="Z21" s="33" t="s">
        <v>1235</v>
      </c>
      <c r="AA21" s="33" t="s">
        <v>374</v>
      </c>
      <c r="AB21" s="33" t="s">
        <v>374</v>
      </c>
      <c r="AC21" s="33" t="s">
        <v>374</v>
      </c>
      <c r="AD21" s="33" t="s">
        <v>374</v>
      </c>
      <c r="AE21" s="33" t="s">
        <v>1236</v>
      </c>
      <c r="AF21" s="33" t="s">
        <v>374</v>
      </c>
      <c r="AG21" s="31" t="s">
        <v>189</v>
      </c>
      <c r="AH21" s="31" t="s">
        <v>189</v>
      </c>
    </row>
    <row x14ac:dyDescent="0.25" r="22" customHeight="1" ht="18.75">
      <c r="A22" s="35" t="s">
        <v>47</v>
      </c>
      <c r="B22" s="117">
        <v>83</v>
      </c>
      <c r="C22" s="117">
        <v>83</v>
      </c>
      <c r="D22" s="117">
        <v>83</v>
      </c>
      <c r="E22" s="117">
        <v>83</v>
      </c>
      <c r="F22" s="117">
        <v>83</v>
      </c>
      <c r="G22" s="117">
        <v>83</v>
      </c>
      <c r="H22" s="117">
        <v>83</v>
      </c>
      <c r="I22" s="117">
        <v>83</v>
      </c>
      <c r="J22" s="117">
        <v>83</v>
      </c>
      <c r="K22" s="117">
        <v>83</v>
      </c>
      <c r="L22" s="117">
        <v>83</v>
      </c>
      <c r="M22" s="117">
        <v>83</v>
      </c>
      <c r="N22" s="117">
        <v>143</v>
      </c>
      <c r="O22" s="117">
        <v>83</v>
      </c>
      <c r="P22" s="117">
        <v>142</v>
      </c>
      <c r="Q22" s="117">
        <v>142</v>
      </c>
      <c r="R22" s="117">
        <v>81</v>
      </c>
      <c r="S22" s="117">
        <v>143</v>
      </c>
      <c r="T22" s="117">
        <v>83</v>
      </c>
      <c r="U22" s="117">
        <v>83</v>
      </c>
      <c r="V22" s="117">
        <v>83</v>
      </c>
      <c r="W22" s="117">
        <v>83</v>
      </c>
      <c r="X22" s="117">
        <v>83</v>
      </c>
      <c r="Y22" s="117">
        <v>83</v>
      </c>
      <c r="Z22" s="117">
        <v>146</v>
      </c>
      <c r="AA22" s="117">
        <v>83</v>
      </c>
      <c r="AB22" s="117">
        <v>83</v>
      </c>
      <c r="AC22" s="117">
        <v>83</v>
      </c>
      <c r="AD22" s="117">
        <v>83</v>
      </c>
      <c r="AE22" s="117">
        <v>80</v>
      </c>
      <c r="AF22" s="117">
        <v>83</v>
      </c>
      <c r="AG22" s="117">
        <v>82</v>
      </c>
      <c r="AH22" s="117">
        <v>82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31" t="s">
        <v>52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31" t="s">
        <v>52</v>
      </c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31" t="s">
        <v>52</v>
      </c>
      <c r="T24" s="31" t="s">
        <v>52</v>
      </c>
      <c r="U24" s="31" t="s">
        <v>52</v>
      </c>
      <c r="V24" s="31" t="s">
        <v>52</v>
      </c>
      <c r="W24" s="31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31" t="s">
        <v>52</v>
      </c>
      <c r="AH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31" t="s">
        <v>49</v>
      </c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1" t="s">
        <v>49</v>
      </c>
      <c r="S26" s="31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31" t="s">
        <v>49</v>
      </c>
      <c r="AH26" s="31" t="s">
        <v>49</v>
      </c>
    </row>
    <row x14ac:dyDescent="0.25" r="27" customHeight="1" ht="18.75">
      <c r="A27" s="30" t="s">
        <v>127</v>
      </c>
      <c r="B27" s="31" t="s">
        <v>143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 t="s">
        <v>143</v>
      </c>
      <c r="J27" s="31" t="s">
        <v>143</v>
      </c>
      <c r="K27" s="31" t="s">
        <v>143</v>
      </c>
      <c r="L27" s="31" t="s">
        <v>143</v>
      </c>
      <c r="M27" s="31" t="s">
        <v>143</v>
      </c>
      <c r="N27" s="31" t="s">
        <v>192</v>
      </c>
      <c r="O27" s="31" t="s">
        <v>143</v>
      </c>
      <c r="P27" s="31" t="s">
        <v>193</v>
      </c>
      <c r="Q27" s="31" t="s">
        <v>193</v>
      </c>
      <c r="R27" s="31" t="s">
        <v>193</v>
      </c>
      <c r="S27" s="31" t="s">
        <v>192</v>
      </c>
      <c r="T27" s="31" t="s">
        <v>143</v>
      </c>
      <c r="U27" s="31" t="s">
        <v>143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163</v>
      </c>
      <c r="AA27" s="31" t="s">
        <v>143</v>
      </c>
      <c r="AB27" s="31" t="s">
        <v>143</v>
      </c>
      <c r="AC27" s="31" t="s">
        <v>143</v>
      </c>
      <c r="AD27" s="31" t="s">
        <v>143</v>
      </c>
      <c r="AE27" s="31" t="s">
        <v>133</v>
      </c>
      <c r="AF27" s="31" t="s">
        <v>143</v>
      </c>
      <c r="AG27" s="31" t="s">
        <v>143</v>
      </c>
      <c r="AH27" s="31" t="s">
        <v>143</v>
      </c>
    </row>
    <row x14ac:dyDescent="0.25" r="28" customHeight="1" ht="18.75">
      <c r="A28" s="30" t="s">
        <v>128</v>
      </c>
      <c r="B28" s="31">
        <v>0.75</v>
      </c>
      <c r="C28" s="31">
        <v>0.75</v>
      </c>
      <c r="D28" s="31">
        <v>0.75</v>
      </c>
      <c r="E28" s="31">
        <v>0.75</v>
      </c>
      <c r="F28" s="31">
        <v>0.75</v>
      </c>
      <c r="G28" s="31">
        <v>0.75</v>
      </c>
      <c r="H28" s="31">
        <v>0.75</v>
      </c>
      <c r="I28" s="31">
        <v>0.75</v>
      </c>
      <c r="J28" s="31">
        <v>0.75</v>
      </c>
      <c r="K28" s="31">
        <v>0.75</v>
      </c>
      <c r="L28" s="31">
        <v>0.75</v>
      </c>
      <c r="M28" s="31">
        <v>0.75</v>
      </c>
      <c r="N28" s="31">
        <f>AVERAGE(0.75,0.75,-4)</f>
      </c>
      <c r="O28" s="31">
        <v>0.75</v>
      </c>
      <c r="P28" s="31">
        <v>-4</v>
      </c>
      <c r="Q28" s="31">
        <v>-4</v>
      </c>
      <c r="R28" s="31">
        <v>-4</v>
      </c>
      <c r="S28" s="31">
        <f>AVERAGE(0.75,0.75,-4)</f>
      </c>
      <c r="T28" s="31">
        <v>0.75</v>
      </c>
      <c r="U28" s="31">
        <v>0.75</v>
      </c>
      <c r="V28" s="31">
        <v>0.75</v>
      </c>
      <c r="W28" s="31">
        <v>0.75</v>
      </c>
      <c r="X28" s="31">
        <v>0.75</v>
      </c>
      <c r="Y28" s="31">
        <v>0.75</v>
      </c>
      <c r="Z28" s="31">
        <f>AVERAGE(0.75,-1.25)</f>
      </c>
      <c r="AA28" s="31">
        <v>0.75</v>
      </c>
      <c r="AB28" s="31">
        <v>0.75</v>
      </c>
      <c r="AC28" s="31">
        <v>0.75</v>
      </c>
      <c r="AD28" s="31">
        <v>0.75</v>
      </c>
      <c r="AE28" s="31">
        <v>-1.25</v>
      </c>
      <c r="AF28" s="31">
        <v>0.75</v>
      </c>
      <c r="AG28" s="31">
        <f>5/3</f>
      </c>
      <c r="AH28" s="31">
        <f>5/3</f>
      </c>
    </row>
    <row x14ac:dyDescent="0.25" r="29" customHeight="1" ht="18.75">
      <c r="A29" s="30" t="s">
        <v>129</v>
      </c>
      <c r="B29" s="31" t="s">
        <v>198</v>
      </c>
      <c r="C29" s="31" t="s">
        <v>198</v>
      </c>
      <c r="D29" s="31" t="s">
        <v>198</v>
      </c>
      <c r="E29" s="31" t="s">
        <v>198</v>
      </c>
      <c r="F29" s="31" t="s">
        <v>198</v>
      </c>
      <c r="G29" s="31" t="s">
        <v>198</v>
      </c>
      <c r="H29" s="31" t="s">
        <v>198</v>
      </c>
      <c r="I29" s="31" t="s">
        <v>198</v>
      </c>
      <c r="J29" s="31" t="s">
        <v>198</v>
      </c>
      <c r="K29" s="31" t="s">
        <v>198</v>
      </c>
      <c r="L29" s="31" t="s">
        <v>198</v>
      </c>
      <c r="M29" s="31" t="s">
        <v>198</v>
      </c>
      <c r="N29" s="31" t="s">
        <v>198</v>
      </c>
      <c r="O29" s="31" t="s">
        <v>198</v>
      </c>
      <c r="P29" s="31" t="s">
        <v>197</v>
      </c>
      <c r="Q29" s="31" t="s">
        <v>197</v>
      </c>
      <c r="R29" s="31" t="s">
        <v>198</v>
      </c>
      <c r="S29" s="31" t="s">
        <v>198</v>
      </c>
      <c r="T29" s="31" t="s">
        <v>198</v>
      </c>
      <c r="U29" s="31" t="s">
        <v>198</v>
      </c>
      <c r="V29" s="31" t="s">
        <v>198</v>
      </c>
      <c r="W29" s="31" t="s">
        <v>198</v>
      </c>
      <c r="X29" s="31" t="s">
        <v>198</v>
      </c>
      <c r="Y29" s="31" t="s">
        <v>198</v>
      </c>
      <c r="Z29" s="31" t="s">
        <v>198</v>
      </c>
      <c r="AA29" s="31" t="s">
        <v>198</v>
      </c>
      <c r="AB29" s="31" t="s">
        <v>198</v>
      </c>
      <c r="AC29" s="31" t="s">
        <v>198</v>
      </c>
      <c r="AD29" s="31" t="s">
        <v>198</v>
      </c>
      <c r="AE29" s="31" t="s">
        <v>198</v>
      </c>
      <c r="AF29" s="31" t="s">
        <v>198</v>
      </c>
      <c r="AG29" s="31" t="s">
        <v>198</v>
      </c>
      <c r="AH29" s="31" t="s">
        <v>198</v>
      </c>
    </row>
    <row x14ac:dyDescent="0.25" r="30" customHeight="1" ht="18.75">
      <c r="A30" s="30" t="s">
        <v>130</v>
      </c>
      <c r="B30" s="31">
        <v>1</v>
      </c>
      <c r="C30" s="31">
        <v>1</v>
      </c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f>AVERAGE(1,1,1.25)</f>
      </c>
      <c r="O30" s="31">
        <v>1</v>
      </c>
      <c r="P30" s="31">
        <f>AVERAGE(2,2,1.25)</f>
      </c>
      <c r="Q30" s="31">
        <f>AVERAGE(2,2,1.25)</f>
      </c>
      <c r="R30" s="31">
        <v>1.25</v>
      </c>
      <c r="S30" s="31">
        <f>AVERAGE(1,1,1.25)</f>
      </c>
      <c r="T30" s="31">
        <v>1</v>
      </c>
      <c r="U30" s="31">
        <v>1</v>
      </c>
      <c r="V30" s="31">
        <v>1</v>
      </c>
      <c r="W30" s="31">
        <v>1</v>
      </c>
      <c r="X30" s="31">
        <v>1</v>
      </c>
      <c r="Y30" s="31">
        <v>1</v>
      </c>
      <c r="Z30" s="31">
        <v>1</v>
      </c>
      <c r="AA30" s="31">
        <v>1</v>
      </c>
      <c r="AB30" s="31">
        <v>1</v>
      </c>
      <c r="AC30" s="31">
        <v>1</v>
      </c>
      <c r="AD30" s="31">
        <v>1</v>
      </c>
      <c r="AE30" s="31">
        <v>1</v>
      </c>
      <c r="AF30" s="31">
        <v>1</v>
      </c>
      <c r="AG30" s="31">
        <v>1</v>
      </c>
      <c r="AH30" s="31">
        <v>1</v>
      </c>
    </row>
    <row x14ac:dyDescent="0.25" r="31" customHeight="1" ht="18.75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x14ac:dyDescent="0.25" r="33" customHeight="1" ht="18.75">
      <c r="A33" s="30" t="s">
        <v>1242</v>
      </c>
      <c r="B33" s="40" t="s">
        <v>1243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36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1231</v>
      </c>
      <c r="C4" s="7"/>
      <c r="D4" s="7"/>
      <c r="E4" s="2"/>
      <c r="F4" s="124" t="s">
        <v>1232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31" t="s">
        <v>143</v>
      </c>
      <c r="C8" s="31" t="s">
        <v>312</v>
      </c>
      <c r="D8" s="31" t="s">
        <v>312</v>
      </c>
      <c r="E8" s="31" t="s">
        <v>312</v>
      </c>
      <c r="F8" s="31" t="s">
        <v>312</v>
      </c>
      <c r="G8" s="31" t="s">
        <v>312</v>
      </c>
      <c r="H8" s="31" t="s">
        <v>312</v>
      </c>
      <c r="I8" s="31" t="s">
        <v>312</v>
      </c>
      <c r="J8" s="31" t="s">
        <v>312</v>
      </c>
      <c r="K8" s="31" t="s">
        <v>312</v>
      </c>
      <c r="L8" s="31" t="s">
        <v>312</v>
      </c>
      <c r="M8" s="31" t="s">
        <v>312</v>
      </c>
      <c r="N8" s="31" t="s">
        <v>312</v>
      </c>
      <c r="O8" s="31" t="s">
        <v>312</v>
      </c>
      <c r="P8" s="31" t="s">
        <v>312</v>
      </c>
      <c r="Q8" s="31" t="s">
        <v>312</v>
      </c>
      <c r="R8" s="31" t="s">
        <v>312</v>
      </c>
      <c r="S8" s="31" t="s">
        <v>312</v>
      </c>
      <c r="T8" s="31" t="s">
        <v>312</v>
      </c>
      <c r="U8" s="31" t="s">
        <v>312</v>
      </c>
      <c r="V8" s="31" t="s">
        <v>312</v>
      </c>
      <c r="W8" s="31" t="s">
        <v>312</v>
      </c>
      <c r="X8" s="31" t="s">
        <v>312</v>
      </c>
      <c r="Y8" s="31" t="s">
        <v>312</v>
      </c>
      <c r="Z8" s="31" t="s">
        <v>312</v>
      </c>
      <c r="AA8" s="31" t="s">
        <v>312</v>
      </c>
      <c r="AB8" s="31" t="s">
        <v>312</v>
      </c>
      <c r="AC8" s="31" t="s">
        <v>312</v>
      </c>
      <c r="AD8" s="31" t="s">
        <v>312</v>
      </c>
      <c r="AE8" s="31" t="s">
        <v>312</v>
      </c>
      <c r="AF8" s="31" t="s">
        <v>312</v>
      </c>
      <c r="AG8" s="31" t="s">
        <v>312</v>
      </c>
      <c r="AH8" s="31" t="s">
        <v>312</v>
      </c>
    </row>
    <row x14ac:dyDescent="0.25" r="9" customHeight="1" ht="18.75">
      <c r="A9" s="30" t="s">
        <v>45</v>
      </c>
      <c r="B9" s="241" t="s">
        <v>315</v>
      </c>
      <c r="C9" s="241" t="s">
        <v>315</v>
      </c>
      <c r="D9" s="241" t="s">
        <v>315</v>
      </c>
      <c r="E9" s="241" t="s">
        <v>315</v>
      </c>
      <c r="F9" s="241" t="s">
        <v>315</v>
      </c>
      <c r="G9" s="241" t="s">
        <v>315</v>
      </c>
      <c r="H9" s="241" t="s">
        <v>315</v>
      </c>
      <c r="I9" s="241" t="s">
        <v>315</v>
      </c>
      <c r="J9" s="241" t="s">
        <v>315</v>
      </c>
      <c r="K9" s="241" t="s">
        <v>315</v>
      </c>
      <c r="L9" s="241" t="s">
        <v>315</v>
      </c>
      <c r="M9" s="241" t="s">
        <v>315</v>
      </c>
      <c r="N9" s="241" t="s">
        <v>315</v>
      </c>
      <c r="O9" s="241" t="s">
        <v>315</v>
      </c>
      <c r="P9" s="241" t="s">
        <v>315</v>
      </c>
      <c r="Q9" s="241" t="s">
        <v>315</v>
      </c>
      <c r="R9" s="241" t="s">
        <v>315</v>
      </c>
      <c r="S9" s="241" t="s">
        <v>315</v>
      </c>
      <c r="T9" s="241" t="s">
        <v>315</v>
      </c>
      <c r="U9" s="241" t="s">
        <v>315</v>
      </c>
      <c r="V9" s="241" t="s">
        <v>315</v>
      </c>
      <c r="W9" s="241" t="s">
        <v>315</v>
      </c>
      <c r="X9" s="241" t="s">
        <v>315</v>
      </c>
      <c r="Y9" s="241" t="s">
        <v>315</v>
      </c>
      <c r="Z9" s="31" t="s">
        <v>1233</v>
      </c>
      <c r="AA9" s="31" t="s">
        <v>315</v>
      </c>
      <c r="AB9" s="241" t="s">
        <v>315</v>
      </c>
      <c r="AC9" s="241" t="s">
        <v>315</v>
      </c>
      <c r="AD9" s="241" t="s">
        <v>315</v>
      </c>
      <c r="AE9" s="31" t="s">
        <v>1234</v>
      </c>
      <c r="AF9" s="241" t="s">
        <v>315</v>
      </c>
      <c r="AG9" s="241" t="s">
        <v>315</v>
      </c>
      <c r="AH9" s="31" t="s">
        <v>315</v>
      </c>
    </row>
    <row x14ac:dyDescent="0.25" r="10" customHeight="1" ht="18.75">
      <c r="A10" s="35" t="s">
        <v>47</v>
      </c>
      <c r="B10" s="117">
        <v>6</v>
      </c>
      <c r="C10" s="117">
        <v>6</v>
      </c>
      <c r="D10" s="117">
        <v>6</v>
      </c>
      <c r="E10" s="117">
        <v>6</v>
      </c>
      <c r="F10" s="117">
        <v>6</v>
      </c>
      <c r="G10" s="117">
        <v>6</v>
      </c>
      <c r="H10" s="117">
        <v>6</v>
      </c>
      <c r="I10" s="117">
        <v>6</v>
      </c>
      <c r="J10" s="117">
        <v>6</v>
      </c>
      <c r="K10" s="117">
        <v>6</v>
      </c>
      <c r="L10" s="117">
        <v>6</v>
      </c>
      <c r="M10" s="117">
        <v>6</v>
      </c>
      <c r="N10" s="117">
        <v>6</v>
      </c>
      <c r="O10" s="117">
        <v>6</v>
      </c>
      <c r="P10" s="117">
        <v>6</v>
      </c>
      <c r="Q10" s="117">
        <v>6</v>
      </c>
      <c r="R10" s="117">
        <v>6</v>
      </c>
      <c r="S10" s="117">
        <v>6</v>
      </c>
      <c r="T10" s="117">
        <v>6</v>
      </c>
      <c r="U10" s="117">
        <v>6</v>
      </c>
      <c r="V10" s="117">
        <v>6</v>
      </c>
      <c r="W10" s="117">
        <v>6</v>
      </c>
      <c r="X10" s="117">
        <v>6</v>
      </c>
      <c r="Y10" s="117">
        <v>6</v>
      </c>
      <c r="Z10" s="117">
        <v>147</v>
      </c>
      <c r="AA10" s="117">
        <v>6</v>
      </c>
      <c r="AB10" s="117">
        <v>6</v>
      </c>
      <c r="AC10" s="117">
        <v>6</v>
      </c>
      <c r="AD10" s="117">
        <v>6</v>
      </c>
      <c r="AE10" s="117">
        <v>14</v>
      </c>
      <c r="AF10" s="117">
        <v>6</v>
      </c>
      <c r="AG10" s="117">
        <v>6</v>
      </c>
      <c r="AH10" s="117">
        <v>6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52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163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133</v>
      </c>
      <c r="AF15" s="31" t="s">
        <v>143</v>
      </c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>
        <f>5/3</f>
      </c>
      <c r="S16" s="31">
        <f>5/3</f>
      </c>
      <c r="T16" s="31">
        <f>5/3</f>
      </c>
      <c r="U16" s="31">
        <f>5/3</f>
      </c>
      <c r="V16" s="31">
        <f>5/3</f>
      </c>
      <c r="W16" s="31">
        <f>5/3</f>
      </c>
      <c r="X16" s="31">
        <f>5/3</f>
      </c>
      <c r="Y16" s="31">
        <f>5/3</f>
      </c>
      <c r="Z16" s="31">
        <f>AVERAGE(7/3,-1.25)</f>
      </c>
      <c r="AA16" s="31">
        <f>5/3</f>
      </c>
      <c r="AB16" s="31">
        <f>5/3</f>
      </c>
      <c r="AC16" s="31">
        <f>5/3</f>
      </c>
      <c r="AD16" s="31">
        <f>5/3</f>
      </c>
      <c r="AE16" s="31">
        <v>-1.25</v>
      </c>
      <c r="AF16" s="31">
        <f>5/3</f>
      </c>
      <c r="AG16" s="31">
        <f>5/3</f>
      </c>
      <c r="AH16" s="31">
        <f>5/3</f>
      </c>
    </row>
    <row x14ac:dyDescent="0.25" r="17" customHeight="1" ht="18.75">
      <c r="A17" s="30" t="s">
        <v>129</v>
      </c>
      <c r="B17" s="33" t="s">
        <v>138</v>
      </c>
      <c r="C17" s="33" t="s">
        <v>138</v>
      </c>
      <c r="D17" s="33" t="s">
        <v>138</v>
      </c>
      <c r="E17" s="33" t="s">
        <v>138</v>
      </c>
      <c r="F17" s="33" t="s">
        <v>138</v>
      </c>
      <c r="G17" s="33" t="s">
        <v>138</v>
      </c>
      <c r="H17" s="33" t="s">
        <v>138</v>
      </c>
      <c r="I17" s="33" t="s">
        <v>138</v>
      </c>
      <c r="J17" s="33" t="s">
        <v>138</v>
      </c>
      <c r="K17" s="33" t="s">
        <v>138</v>
      </c>
      <c r="L17" s="33" t="s">
        <v>138</v>
      </c>
      <c r="M17" s="33" t="s">
        <v>138</v>
      </c>
      <c r="N17" s="33" t="s">
        <v>138</v>
      </c>
      <c r="O17" s="33" t="s">
        <v>138</v>
      </c>
      <c r="P17" s="33" t="s">
        <v>138</v>
      </c>
      <c r="Q17" s="33" t="s">
        <v>138</v>
      </c>
      <c r="R17" s="33" t="s">
        <v>138</v>
      </c>
      <c r="S17" s="33" t="s">
        <v>138</v>
      </c>
      <c r="T17" s="33" t="s">
        <v>138</v>
      </c>
      <c r="U17" s="33" t="s">
        <v>138</v>
      </c>
      <c r="V17" s="33" t="s">
        <v>138</v>
      </c>
      <c r="W17" s="33" t="s">
        <v>138</v>
      </c>
      <c r="X17" s="33" t="s">
        <v>138</v>
      </c>
      <c r="Y17" s="33" t="s">
        <v>138</v>
      </c>
      <c r="Z17" s="33" t="s">
        <v>138</v>
      </c>
      <c r="AA17" s="33" t="s">
        <v>138</v>
      </c>
      <c r="AB17" s="33" t="s">
        <v>138</v>
      </c>
      <c r="AC17" s="33" t="s">
        <v>138</v>
      </c>
      <c r="AD17" s="33" t="s">
        <v>138</v>
      </c>
      <c r="AE17" s="140" t="s">
        <v>138</v>
      </c>
      <c r="AF17" s="33" t="s">
        <v>138</v>
      </c>
      <c r="AG17" s="33" t="s">
        <v>138</v>
      </c>
      <c r="AH17" s="33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139">
        <v>4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0" t="s">
        <v>43</v>
      </c>
      <c r="B20" s="31" t="s">
        <v>373</v>
      </c>
      <c r="C20" s="31" t="s">
        <v>180</v>
      </c>
      <c r="D20" s="31" t="s">
        <v>180</v>
      </c>
      <c r="E20" s="31" t="s">
        <v>180</v>
      </c>
      <c r="F20" s="31" t="s">
        <v>180</v>
      </c>
      <c r="G20" s="31" t="s">
        <v>180</v>
      </c>
      <c r="H20" s="31" t="s">
        <v>180</v>
      </c>
      <c r="I20" s="31" t="s">
        <v>180</v>
      </c>
      <c r="J20" s="31" t="s">
        <v>180</v>
      </c>
      <c r="K20" s="31" t="s">
        <v>180</v>
      </c>
      <c r="L20" s="31" t="s">
        <v>180</v>
      </c>
      <c r="M20" s="31" t="s">
        <v>180</v>
      </c>
      <c r="N20" s="31" t="s">
        <v>180</v>
      </c>
      <c r="O20" s="31" t="s">
        <v>180</v>
      </c>
      <c r="P20" s="31" t="s">
        <v>180</v>
      </c>
      <c r="Q20" s="31" t="s">
        <v>180</v>
      </c>
      <c r="R20" s="31" t="s">
        <v>180</v>
      </c>
      <c r="S20" s="31" t="s">
        <v>180</v>
      </c>
      <c r="T20" s="31" t="s">
        <v>180</v>
      </c>
      <c r="U20" s="31" t="s">
        <v>180</v>
      </c>
      <c r="V20" s="31" t="s">
        <v>180</v>
      </c>
      <c r="W20" s="31" t="s">
        <v>180</v>
      </c>
      <c r="X20" s="31" t="s">
        <v>180</v>
      </c>
      <c r="Y20" s="31" t="s">
        <v>180</v>
      </c>
      <c r="Z20" s="31" t="s">
        <v>180</v>
      </c>
      <c r="AA20" s="31" t="s">
        <v>180</v>
      </c>
      <c r="AB20" s="31" t="s">
        <v>180</v>
      </c>
      <c r="AC20" s="31" t="s">
        <v>180</v>
      </c>
      <c r="AD20" s="31" t="s">
        <v>180</v>
      </c>
      <c r="AE20" s="31" t="s">
        <v>180</v>
      </c>
      <c r="AF20" s="31" t="s">
        <v>180</v>
      </c>
      <c r="AG20" s="31" t="s">
        <v>180</v>
      </c>
      <c r="AH20" s="31" t="s">
        <v>180</v>
      </c>
    </row>
    <row x14ac:dyDescent="0.25" r="21" customHeight="1" ht="18.75">
      <c r="A21" s="30" t="s">
        <v>45</v>
      </c>
      <c r="B21" s="33" t="s">
        <v>374</v>
      </c>
      <c r="C21" s="33" t="s">
        <v>374</v>
      </c>
      <c r="D21" s="33" t="s">
        <v>374</v>
      </c>
      <c r="E21" s="33" t="s">
        <v>374</v>
      </c>
      <c r="F21" s="33" t="s">
        <v>374</v>
      </c>
      <c r="G21" s="33" t="s">
        <v>374</v>
      </c>
      <c r="H21" s="33" t="s">
        <v>374</v>
      </c>
      <c r="I21" s="33" t="s">
        <v>374</v>
      </c>
      <c r="J21" s="33" t="s">
        <v>374</v>
      </c>
      <c r="K21" s="33" t="s">
        <v>374</v>
      </c>
      <c r="L21" s="33" t="s">
        <v>374</v>
      </c>
      <c r="M21" s="33" t="s">
        <v>374</v>
      </c>
      <c r="N21" s="31" t="s">
        <v>947</v>
      </c>
      <c r="O21" s="33" t="s">
        <v>374</v>
      </c>
      <c r="P21" s="31" t="s">
        <v>186</v>
      </c>
      <c r="Q21" s="31" t="s">
        <v>186</v>
      </c>
      <c r="R21" s="33" t="s">
        <v>187</v>
      </c>
      <c r="S21" s="31" t="s">
        <v>947</v>
      </c>
      <c r="T21" s="33" t="s">
        <v>374</v>
      </c>
      <c r="U21" s="33" t="s">
        <v>374</v>
      </c>
      <c r="V21" s="33" t="s">
        <v>374</v>
      </c>
      <c r="W21" s="33" t="s">
        <v>374</v>
      </c>
      <c r="X21" s="33" t="s">
        <v>374</v>
      </c>
      <c r="Y21" s="33" t="s">
        <v>374</v>
      </c>
      <c r="Z21" s="33" t="s">
        <v>1235</v>
      </c>
      <c r="AA21" s="33" t="s">
        <v>374</v>
      </c>
      <c r="AB21" s="33" t="s">
        <v>374</v>
      </c>
      <c r="AC21" s="33" t="s">
        <v>374</v>
      </c>
      <c r="AD21" s="33" t="s">
        <v>374</v>
      </c>
      <c r="AE21" s="33" t="s">
        <v>1236</v>
      </c>
      <c r="AF21" s="33" t="s">
        <v>374</v>
      </c>
      <c r="AG21" s="31" t="s">
        <v>189</v>
      </c>
      <c r="AH21" s="31" t="s">
        <v>189</v>
      </c>
    </row>
    <row x14ac:dyDescent="0.25" r="22" customHeight="1" ht="18.75">
      <c r="A22" s="35" t="s">
        <v>47</v>
      </c>
      <c r="B22" s="117">
        <v>83</v>
      </c>
      <c r="C22" s="117">
        <v>83</v>
      </c>
      <c r="D22" s="117">
        <v>83</v>
      </c>
      <c r="E22" s="117">
        <v>83</v>
      </c>
      <c r="F22" s="117">
        <v>83</v>
      </c>
      <c r="G22" s="117">
        <v>83</v>
      </c>
      <c r="H22" s="117">
        <v>83</v>
      </c>
      <c r="I22" s="117">
        <v>83</v>
      </c>
      <c r="J22" s="117">
        <v>83</v>
      </c>
      <c r="K22" s="117">
        <v>83</v>
      </c>
      <c r="L22" s="117">
        <v>83</v>
      </c>
      <c r="M22" s="117">
        <v>83</v>
      </c>
      <c r="N22" s="117">
        <v>143</v>
      </c>
      <c r="O22" s="117">
        <v>83</v>
      </c>
      <c r="P22" s="117">
        <v>142</v>
      </c>
      <c r="Q22" s="117">
        <v>142</v>
      </c>
      <c r="R22" s="117">
        <v>81</v>
      </c>
      <c r="S22" s="117">
        <v>143</v>
      </c>
      <c r="T22" s="117">
        <v>83</v>
      </c>
      <c r="U22" s="117">
        <v>83</v>
      </c>
      <c r="V22" s="117">
        <v>83</v>
      </c>
      <c r="W22" s="117">
        <v>83</v>
      </c>
      <c r="X22" s="117">
        <v>83</v>
      </c>
      <c r="Y22" s="117">
        <v>83</v>
      </c>
      <c r="Z22" s="117">
        <v>146</v>
      </c>
      <c r="AA22" s="117">
        <v>83</v>
      </c>
      <c r="AB22" s="117">
        <v>83</v>
      </c>
      <c r="AC22" s="117">
        <v>83</v>
      </c>
      <c r="AD22" s="117">
        <v>83</v>
      </c>
      <c r="AE22" s="117">
        <v>80</v>
      </c>
      <c r="AF22" s="117">
        <v>83</v>
      </c>
      <c r="AG22" s="117">
        <v>82</v>
      </c>
      <c r="AH22" s="117">
        <v>82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31" t="s">
        <v>52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31" t="s">
        <v>52</v>
      </c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31" t="s">
        <v>52</v>
      </c>
      <c r="T24" s="31" t="s">
        <v>52</v>
      </c>
      <c r="U24" s="31" t="s">
        <v>52</v>
      </c>
      <c r="V24" s="31" t="s">
        <v>52</v>
      </c>
      <c r="W24" s="31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31" t="s">
        <v>52</v>
      </c>
      <c r="AH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31" t="s">
        <v>49</v>
      </c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1" t="s">
        <v>49</v>
      </c>
      <c r="S26" s="31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31" t="s">
        <v>49</v>
      </c>
      <c r="AH26" s="31" t="s">
        <v>49</v>
      </c>
    </row>
    <row x14ac:dyDescent="0.25" r="27" customHeight="1" ht="18.75">
      <c r="A27" s="30" t="s">
        <v>127</v>
      </c>
      <c r="B27" s="31" t="s">
        <v>143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 t="s">
        <v>143</v>
      </c>
      <c r="J27" s="31" t="s">
        <v>143</v>
      </c>
      <c r="K27" s="31" t="s">
        <v>143</v>
      </c>
      <c r="L27" s="31" t="s">
        <v>143</v>
      </c>
      <c r="M27" s="31" t="s">
        <v>143</v>
      </c>
      <c r="N27" s="31" t="s">
        <v>192</v>
      </c>
      <c r="O27" s="31" t="s">
        <v>143</v>
      </c>
      <c r="P27" s="31" t="s">
        <v>193</v>
      </c>
      <c r="Q27" s="31" t="s">
        <v>193</v>
      </c>
      <c r="R27" s="31" t="s">
        <v>193</v>
      </c>
      <c r="S27" s="31" t="s">
        <v>192</v>
      </c>
      <c r="T27" s="31" t="s">
        <v>143</v>
      </c>
      <c r="U27" s="31" t="s">
        <v>143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163</v>
      </c>
      <c r="AA27" s="31" t="s">
        <v>143</v>
      </c>
      <c r="AB27" s="31" t="s">
        <v>143</v>
      </c>
      <c r="AC27" s="31" t="s">
        <v>143</v>
      </c>
      <c r="AD27" s="31" t="s">
        <v>143</v>
      </c>
      <c r="AE27" s="31" t="s">
        <v>133</v>
      </c>
      <c r="AF27" s="31" t="s">
        <v>143</v>
      </c>
      <c r="AG27" s="31" t="s">
        <v>143</v>
      </c>
      <c r="AH27" s="31" t="s">
        <v>143</v>
      </c>
    </row>
    <row x14ac:dyDescent="0.25" r="28" customHeight="1" ht="18.75">
      <c r="A28" s="30" t="s">
        <v>128</v>
      </c>
      <c r="B28" s="31">
        <v>0.75</v>
      </c>
      <c r="C28" s="31">
        <v>0.75</v>
      </c>
      <c r="D28" s="31">
        <v>0.75</v>
      </c>
      <c r="E28" s="31">
        <v>0.75</v>
      </c>
      <c r="F28" s="31">
        <v>0.75</v>
      </c>
      <c r="G28" s="31">
        <v>0.75</v>
      </c>
      <c r="H28" s="31">
        <v>0.75</v>
      </c>
      <c r="I28" s="31">
        <v>0.75</v>
      </c>
      <c r="J28" s="31">
        <v>0.75</v>
      </c>
      <c r="K28" s="31">
        <v>0.75</v>
      </c>
      <c r="L28" s="31">
        <v>0.75</v>
      </c>
      <c r="M28" s="31">
        <v>0.75</v>
      </c>
      <c r="N28" s="31">
        <f>AVERAGE(0.75,0.75,-4)</f>
      </c>
      <c r="O28" s="31">
        <v>0.75</v>
      </c>
      <c r="P28" s="31">
        <v>-4</v>
      </c>
      <c r="Q28" s="31">
        <v>-4</v>
      </c>
      <c r="R28" s="31">
        <v>-4</v>
      </c>
      <c r="S28" s="31">
        <f>AVERAGE(0.75,0.75,-4)</f>
      </c>
      <c r="T28" s="31">
        <v>0.75</v>
      </c>
      <c r="U28" s="31">
        <v>0.75</v>
      </c>
      <c r="V28" s="31">
        <v>0.75</v>
      </c>
      <c r="W28" s="31">
        <v>0.75</v>
      </c>
      <c r="X28" s="31">
        <v>0.75</v>
      </c>
      <c r="Y28" s="31">
        <v>0.75</v>
      </c>
      <c r="Z28" s="31">
        <f>AVERAGE(0.75,-1.25)</f>
      </c>
      <c r="AA28" s="31">
        <v>0.75</v>
      </c>
      <c r="AB28" s="31">
        <v>0.75</v>
      </c>
      <c r="AC28" s="31">
        <v>0.75</v>
      </c>
      <c r="AD28" s="31">
        <v>0.75</v>
      </c>
      <c r="AE28" s="31">
        <v>-1.25</v>
      </c>
      <c r="AF28" s="31">
        <v>0.75</v>
      </c>
      <c r="AG28" s="31">
        <f>5/3</f>
      </c>
      <c r="AH28" s="31">
        <f>5/3</f>
      </c>
    </row>
    <row x14ac:dyDescent="0.25" r="29" customHeight="1" ht="18.75">
      <c r="A29" s="30" t="s">
        <v>129</v>
      </c>
      <c r="B29" s="31" t="s">
        <v>198</v>
      </c>
      <c r="C29" s="31" t="s">
        <v>198</v>
      </c>
      <c r="D29" s="31" t="s">
        <v>198</v>
      </c>
      <c r="E29" s="31" t="s">
        <v>198</v>
      </c>
      <c r="F29" s="31" t="s">
        <v>198</v>
      </c>
      <c r="G29" s="31" t="s">
        <v>198</v>
      </c>
      <c r="H29" s="31" t="s">
        <v>198</v>
      </c>
      <c r="I29" s="31" t="s">
        <v>198</v>
      </c>
      <c r="J29" s="31" t="s">
        <v>198</v>
      </c>
      <c r="K29" s="31" t="s">
        <v>198</v>
      </c>
      <c r="L29" s="31" t="s">
        <v>198</v>
      </c>
      <c r="M29" s="31" t="s">
        <v>198</v>
      </c>
      <c r="N29" s="31" t="s">
        <v>198</v>
      </c>
      <c r="O29" s="31" t="s">
        <v>198</v>
      </c>
      <c r="P29" s="31" t="s">
        <v>197</v>
      </c>
      <c r="Q29" s="31" t="s">
        <v>197</v>
      </c>
      <c r="R29" s="31" t="s">
        <v>198</v>
      </c>
      <c r="S29" s="31" t="s">
        <v>198</v>
      </c>
      <c r="T29" s="31" t="s">
        <v>198</v>
      </c>
      <c r="U29" s="31" t="s">
        <v>198</v>
      </c>
      <c r="V29" s="31" t="s">
        <v>198</v>
      </c>
      <c r="W29" s="31" t="s">
        <v>198</v>
      </c>
      <c r="X29" s="31" t="s">
        <v>198</v>
      </c>
      <c r="Y29" s="31" t="s">
        <v>198</v>
      </c>
      <c r="Z29" s="31" t="s">
        <v>198</v>
      </c>
      <c r="AA29" s="31" t="s">
        <v>198</v>
      </c>
      <c r="AB29" s="31" t="s">
        <v>198</v>
      </c>
      <c r="AC29" s="31" t="s">
        <v>198</v>
      </c>
      <c r="AD29" s="31" t="s">
        <v>198</v>
      </c>
      <c r="AE29" s="31" t="s">
        <v>198</v>
      </c>
      <c r="AF29" s="31" t="s">
        <v>198</v>
      </c>
      <c r="AG29" s="31" t="s">
        <v>198</v>
      </c>
      <c r="AH29" s="31" t="s">
        <v>198</v>
      </c>
    </row>
    <row x14ac:dyDescent="0.25" r="30" customHeight="1" ht="18.75">
      <c r="A30" s="30" t="s">
        <v>130</v>
      </c>
      <c r="B30" s="31">
        <v>1</v>
      </c>
      <c r="C30" s="31">
        <v>1</v>
      </c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f>AVERAGE(1,1,1.25)</f>
      </c>
      <c r="O30" s="31">
        <v>1</v>
      </c>
      <c r="P30" s="31">
        <f>AVERAGE(2,2,1.25)</f>
      </c>
      <c r="Q30" s="31">
        <f>AVERAGE(2,2,1.25)</f>
      </c>
      <c r="R30" s="31">
        <v>1.25</v>
      </c>
      <c r="S30" s="31">
        <f>AVERAGE(1,1,1.25)</f>
      </c>
      <c r="T30" s="31">
        <v>1</v>
      </c>
      <c r="U30" s="31">
        <v>1</v>
      </c>
      <c r="V30" s="31">
        <v>1</v>
      </c>
      <c r="W30" s="31">
        <v>1</v>
      </c>
      <c r="X30" s="31">
        <v>1</v>
      </c>
      <c r="Y30" s="31">
        <v>1</v>
      </c>
      <c r="Z30" s="31">
        <v>1</v>
      </c>
      <c r="AA30" s="31">
        <v>1</v>
      </c>
      <c r="AB30" s="31">
        <v>1</v>
      </c>
      <c r="AC30" s="31">
        <v>1</v>
      </c>
      <c r="AD30" s="31">
        <v>1</v>
      </c>
      <c r="AE30" s="31">
        <v>1</v>
      </c>
      <c r="AF30" s="31">
        <v>1</v>
      </c>
      <c r="AG30" s="31">
        <v>1</v>
      </c>
      <c r="AH30" s="31">
        <v>1</v>
      </c>
    </row>
    <row x14ac:dyDescent="0.25" r="31" customHeight="1" ht="18.75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x14ac:dyDescent="0.25" r="33" customHeight="1" ht="18.75">
      <c r="A33" s="30" t="s">
        <v>1237</v>
      </c>
      <c r="B33" s="40" t="s">
        <v>1238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4"/>
  <sheetViews>
    <sheetView workbookViewId="0"/>
  </sheetViews>
  <sheetFormatPr defaultRowHeight="15" x14ac:dyDescent="0.25"/>
  <cols>
    <col min="1" max="1" style="44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3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37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1225</v>
      </c>
      <c r="C4" s="7"/>
      <c r="D4" s="7"/>
      <c r="E4" s="2"/>
      <c r="F4" s="124" t="s">
        <v>1226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3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142" t="s">
        <v>562</v>
      </c>
      <c r="C8" s="31" t="s">
        <v>281</v>
      </c>
      <c r="D8" s="31" t="s">
        <v>281</v>
      </c>
      <c r="E8" s="31" t="s">
        <v>281</v>
      </c>
      <c r="F8" s="31" t="s">
        <v>281</v>
      </c>
      <c r="G8" s="31" t="s">
        <v>281</v>
      </c>
      <c r="H8" s="31" t="s">
        <v>281</v>
      </c>
      <c r="I8" s="31" t="s">
        <v>281</v>
      </c>
      <c r="J8" s="31" t="s">
        <v>281</v>
      </c>
      <c r="K8" s="31" t="s">
        <v>281</v>
      </c>
      <c r="L8" s="31" t="s">
        <v>281</v>
      </c>
      <c r="M8" s="31" t="s">
        <v>281</v>
      </c>
      <c r="N8" s="31" t="s">
        <v>281</v>
      </c>
      <c r="O8" s="31" t="s">
        <v>281</v>
      </c>
      <c r="P8" s="31" t="s">
        <v>281</v>
      </c>
      <c r="Q8" s="31" t="s">
        <v>281</v>
      </c>
      <c r="R8" s="31" t="s">
        <v>281</v>
      </c>
      <c r="S8" s="31" t="s">
        <v>281</v>
      </c>
      <c r="T8" s="31" t="s">
        <v>281</v>
      </c>
      <c r="U8" s="31" t="s">
        <v>281</v>
      </c>
      <c r="V8" s="31" t="s">
        <v>281</v>
      </c>
      <c r="W8" s="31" t="s">
        <v>281</v>
      </c>
      <c r="X8" s="31" t="s">
        <v>281</v>
      </c>
      <c r="Y8" s="31" t="s">
        <v>281</v>
      </c>
      <c r="Z8" s="31" t="s">
        <v>281</v>
      </c>
      <c r="AA8" s="31" t="s">
        <v>281</v>
      </c>
      <c r="AB8" s="31" t="s">
        <v>281</v>
      </c>
      <c r="AC8" s="31" t="s">
        <v>281</v>
      </c>
      <c r="AD8" s="31" t="s">
        <v>281</v>
      </c>
      <c r="AE8" s="31" t="s">
        <v>281</v>
      </c>
      <c r="AF8" s="31" t="s">
        <v>281</v>
      </c>
      <c r="AG8" s="31" t="s">
        <v>281</v>
      </c>
      <c r="AH8" s="31" t="s">
        <v>281</v>
      </c>
    </row>
    <row x14ac:dyDescent="0.25" r="9" customHeight="1" ht="18.75">
      <c r="A9" s="30" t="s">
        <v>45</v>
      </c>
      <c r="B9" s="31" t="s">
        <v>302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31" t="s">
        <v>302</v>
      </c>
      <c r="J9" s="31" t="s">
        <v>302</v>
      </c>
      <c r="K9" s="31" t="s">
        <v>302</v>
      </c>
      <c r="L9" s="31" t="s">
        <v>302</v>
      </c>
      <c r="M9" s="31" t="s">
        <v>302</v>
      </c>
      <c r="N9" s="31" t="s">
        <v>302</v>
      </c>
      <c r="O9" s="31" t="s">
        <v>302</v>
      </c>
      <c r="P9" s="31" t="s">
        <v>302</v>
      </c>
      <c r="Q9" s="31" t="s">
        <v>302</v>
      </c>
      <c r="R9" s="31" t="s">
        <v>302</v>
      </c>
      <c r="S9" s="31" t="s">
        <v>302</v>
      </c>
      <c r="T9" s="31" t="s">
        <v>302</v>
      </c>
      <c r="U9" s="31" t="s">
        <v>302</v>
      </c>
      <c r="V9" s="31" t="s">
        <v>302</v>
      </c>
      <c r="W9" s="31" t="s">
        <v>302</v>
      </c>
      <c r="X9" s="31" t="s">
        <v>302</v>
      </c>
      <c r="Y9" s="31" t="s">
        <v>302</v>
      </c>
      <c r="Z9" s="31" t="s">
        <v>302</v>
      </c>
      <c r="AA9" s="31" t="s">
        <v>302</v>
      </c>
      <c r="AB9" s="31" t="s">
        <v>302</v>
      </c>
      <c r="AC9" s="31" t="s">
        <v>302</v>
      </c>
      <c r="AD9" s="31" t="s">
        <v>302</v>
      </c>
      <c r="AE9" s="31" t="s">
        <v>302</v>
      </c>
      <c r="AF9" s="31" t="s">
        <v>302</v>
      </c>
      <c r="AG9" s="31" t="s">
        <v>302</v>
      </c>
      <c r="AH9" s="31" t="s">
        <v>302</v>
      </c>
    </row>
    <row x14ac:dyDescent="0.25" r="10" customHeight="1" ht="18.75">
      <c r="A10" s="35" t="s">
        <v>47</v>
      </c>
      <c r="B10" s="117">
        <v>19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117">
        <v>19</v>
      </c>
      <c r="W10" s="117">
        <v>19</v>
      </c>
      <c r="X10" s="117">
        <v>19</v>
      </c>
      <c r="Y10" s="117">
        <v>19</v>
      </c>
      <c r="Z10" s="117">
        <v>19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19</v>
      </c>
      <c r="AH10" s="117">
        <v>19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1" t="s">
        <v>234</v>
      </c>
      <c r="W15" s="31" t="s">
        <v>234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234</v>
      </c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>
        <v>-3</v>
      </c>
      <c r="W16" s="31">
        <v>-3</v>
      </c>
      <c r="X16" s="31">
        <v>-3</v>
      </c>
      <c r="Y16" s="31">
        <v>-3</v>
      </c>
      <c r="Z16" s="31">
        <v>-3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-3</v>
      </c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</row>
    <row x14ac:dyDescent="0.25" r="19" customHeight="1" ht="18.75">
      <c r="A19" s="3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0" t="s">
        <v>43</v>
      </c>
      <c r="B20" s="31" t="s">
        <v>373</v>
      </c>
      <c r="C20" s="31" t="s">
        <v>180</v>
      </c>
      <c r="D20" s="31" t="s">
        <v>180</v>
      </c>
      <c r="E20" s="31" t="s">
        <v>180</v>
      </c>
      <c r="F20" s="31" t="s">
        <v>180</v>
      </c>
      <c r="G20" s="31" t="s">
        <v>180</v>
      </c>
      <c r="H20" s="31" t="s">
        <v>180</v>
      </c>
      <c r="I20" s="31" t="s">
        <v>180</v>
      </c>
      <c r="J20" s="31" t="s">
        <v>180</v>
      </c>
      <c r="K20" s="31" t="s">
        <v>180</v>
      </c>
      <c r="L20" s="31" t="s">
        <v>180</v>
      </c>
      <c r="M20" s="31" t="s">
        <v>180</v>
      </c>
      <c r="N20" s="31" t="s">
        <v>180</v>
      </c>
      <c r="O20" s="31" t="s">
        <v>180</v>
      </c>
      <c r="P20" s="31" t="s">
        <v>180</v>
      </c>
      <c r="Q20" s="31" t="s">
        <v>180</v>
      </c>
      <c r="R20" s="31" t="s">
        <v>180</v>
      </c>
      <c r="S20" s="31" t="s">
        <v>180</v>
      </c>
      <c r="T20" s="31" t="s">
        <v>180</v>
      </c>
      <c r="U20" s="31" t="s">
        <v>180</v>
      </c>
      <c r="V20" s="31" t="s">
        <v>180</v>
      </c>
      <c r="W20" s="31" t="s">
        <v>180</v>
      </c>
      <c r="X20" s="31" t="s">
        <v>180</v>
      </c>
      <c r="Y20" s="31" t="s">
        <v>180</v>
      </c>
      <c r="Z20" s="31" t="s">
        <v>180</v>
      </c>
      <c r="AA20" s="31" t="s">
        <v>180</v>
      </c>
      <c r="AB20" s="31" t="s">
        <v>180</v>
      </c>
      <c r="AC20" s="31" t="s">
        <v>180</v>
      </c>
      <c r="AD20" s="31" t="s">
        <v>180</v>
      </c>
      <c r="AE20" s="31" t="s">
        <v>180</v>
      </c>
      <c r="AF20" s="31" t="s">
        <v>180</v>
      </c>
      <c r="AG20" s="31" t="s">
        <v>180</v>
      </c>
      <c r="AH20" s="31" t="s">
        <v>180</v>
      </c>
    </row>
    <row x14ac:dyDescent="0.25" r="21" customHeight="1" ht="18.75">
      <c r="A21" s="30" t="s">
        <v>45</v>
      </c>
      <c r="B21" s="33" t="s">
        <v>374</v>
      </c>
      <c r="C21" s="33" t="s">
        <v>374</v>
      </c>
      <c r="D21" s="33" t="s">
        <v>374</v>
      </c>
      <c r="E21" s="33" t="s">
        <v>374</v>
      </c>
      <c r="F21" s="33" t="s">
        <v>374</v>
      </c>
      <c r="G21" s="33" t="s">
        <v>374</v>
      </c>
      <c r="H21" s="33" t="s">
        <v>374</v>
      </c>
      <c r="I21" s="33" t="s">
        <v>374</v>
      </c>
      <c r="J21" s="33" t="s">
        <v>374</v>
      </c>
      <c r="K21" s="33" t="s">
        <v>374</v>
      </c>
      <c r="L21" s="33" t="s">
        <v>374</v>
      </c>
      <c r="M21" s="33" t="s">
        <v>374</v>
      </c>
      <c r="N21" s="31" t="s">
        <v>947</v>
      </c>
      <c r="O21" s="33" t="s">
        <v>374</v>
      </c>
      <c r="P21" s="31" t="s">
        <v>186</v>
      </c>
      <c r="Q21" s="31" t="s">
        <v>186</v>
      </c>
      <c r="R21" s="33" t="s">
        <v>187</v>
      </c>
      <c r="S21" s="31" t="s">
        <v>947</v>
      </c>
      <c r="T21" s="33" t="s">
        <v>374</v>
      </c>
      <c r="U21" s="33" t="s">
        <v>374</v>
      </c>
      <c r="V21" s="33" t="s">
        <v>374</v>
      </c>
      <c r="W21" s="33" t="s">
        <v>374</v>
      </c>
      <c r="X21" s="33" t="s">
        <v>374</v>
      </c>
      <c r="Y21" s="33" t="s">
        <v>374</v>
      </c>
      <c r="Z21" s="33" t="s">
        <v>374</v>
      </c>
      <c r="AA21" s="33" t="s">
        <v>374</v>
      </c>
      <c r="AB21" s="33" t="s">
        <v>374</v>
      </c>
      <c r="AC21" s="33" t="s">
        <v>374</v>
      </c>
      <c r="AD21" s="33" t="s">
        <v>374</v>
      </c>
      <c r="AE21" s="33" t="s">
        <v>374</v>
      </c>
      <c r="AF21" s="33" t="s">
        <v>374</v>
      </c>
      <c r="AG21" s="31" t="s">
        <v>189</v>
      </c>
      <c r="AH21" s="31" t="s">
        <v>189</v>
      </c>
    </row>
    <row x14ac:dyDescent="0.25" r="22" customHeight="1" ht="18.75">
      <c r="A22" s="35" t="s">
        <v>47</v>
      </c>
      <c r="B22" s="117">
        <v>83</v>
      </c>
      <c r="C22" s="117">
        <v>83</v>
      </c>
      <c r="D22" s="117">
        <v>83</v>
      </c>
      <c r="E22" s="117">
        <v>83</v>
      </c>
      <c r="F22" s="117">
        <v>83</v>
      </c>
      <c r="G22" s="117">
        <v>83</v>
      </c>
      <c r="H22" s="117">
        <v>83</v>
      </c>
      <c r="I22" s="117">
        <v>83</v>
      </c>
      <c r="J22" s="117">
        <v>83</v>
      </c>
      <c r="K22" s="117">
        <v>83</v>
      </c>
      <c r="L22" s="117">
        <v>83</v>
      </c>
      <c r="M22" s="117">
        <v>83</v>
      </c>
      <c r="N22" s="117">
        <v>143</v>
      </c>
      <c r="O22" s="117">
        <v>83</v>
      </c>
      <c r="P22" s="117">
        <v>142</v>
      </c>
      <c r="Q22" s="117">
        <v>142</v>
      </c>
      <c r="R22" s="117">
        <v>81</v>
      </c>
      <c r="S22" s="117">
        <v>143</v>
      </c>
      <c r="T22" s="117">
        <v>83</v>
      </c>
      <c r="U22" s="117">
        <v>83</v>
      </c>
      <c r="V22" s="117">
        <v>83</v>
      </c>
      <c r="W22" s="117">
        <v>83</v>
      </c>
      <c r="X22" s="117">
        <v>83</v>
      </c>
      <c r="Y22" s="117">
        <v>83</v>
      </c>
      <c r="Z22" s="117">
        <v>83</v>
      </c>
      <c r="AA22" s="117">
        <v>83</v>
      </c>
      <c r="AB22" s="117">
        <v>83</v>
      </c>
      <c r="AC22" s="117">
        <v>83</v>
      </c>
      <c r="AD22" s="117">
        <v>83</v>
      </c>
      <c r="AE22" s="117">
        <v>83</v>
      </c>
      <c r="AF22" s="117">
        <v>83</v>
      </c>
      <c r="AG22" s="117">
        <v>82</v>
      </c>
      <c r="AH22" s="117">
        <v>82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31" t="s">
        <v>52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31" t="s">
        <v>52</v>
      </c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31" t="s">
        <v>52</v>
      </c>
      <c r="T24" s="31" t="s">
        <v>52</v>
      </c>
      <c r="U24" s="31" t="s">
        <v>52</v>
      </c>
      <c r="V24" s="31" t="s">
        <v>52</v>
      </c>
      <c r="W24" s="31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31" t="s">
        <v>52</v>
      </c>
      <c r="AH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31" t="s">
        <v>49</v>
      </c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1" t="s">
        <v>49</v>
      </c>
      <c r="S26" s="31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31" t="s">
        <v>49</v>
      </c>
      <c r="AH26" s="31" t="s">
        <v>49</v>
      </c>
    </row>
    <row x14ac:dyDescent="0.25" r="27" customHeight="1" ht="18.75">
      <c r="A27" s="30" t="s">
        <v>127</v>
      </c>
      <c r="B27" s="31" t="s">
        <v>143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 t="s">
        <v>143</v>
      </c>
      <c r="J27" s="31" t="s">
        <v>143</v>
      </c>
      <c r="K27" s="31" t="s">
        <v>143</v>
      </c>
      <c r="L27" s="31" t="s">
        <v>143</v>
      </c>
      <c r="M27" s="31" t="s">
        <v>143</v>
      </c>
      <c r="N27" s="31" t="s">
        <v>192</v>
      </c>
      <c r="O27" s="31" t="s">
        <v>143</v>
      </c>
      <c r="P27" s="31" t="s">
        <v>193</v>
      </c>
      <c r="Q27" s="31" t="s">
        <v>193</v>
      </c>
      <c r="R27" s="31" t="s">
        <v>193</v>
      </c>
      <c r="S27" s="31" t="s">
        <v>192</v>
      </c>
      <c r="T27" s="31" t="s">
        <v>143</v>
      </c>
      <c r="U27" s="31" t="s">
        <v>143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143</v>
      </c>
      <c r="AA27" s="31" t="s">
        <v>143</v>
      </c>
      <c r="AB27" s="31" t="s">
        <v>143</v>
      </c>
      <c r="AC27" s="31" t="s">
        <v>143</v>
      </c>
      <c r="AD27" s="31" t="s">
        <v>143</v>
      </c>
      <c r="AE27" s="31" t="s">
        <v>143</v>
      </c>
      <c r="AF27" s="31" t="s">
        <v>143</v>
      </c>
      <c r="AG27" s="31" t="s">
        <v>143</v>
      </c>
      <c r="AH27" s="31" t="s">
        <v>143</v>
      </c>
    </row>
    <row x14ac:dyDescent="0.25" r="28" customHeight="1" ht="18.75">
      <c r="A28" s="30" t="s">
        <v>128</v>
      </c>
      <c r="B28" s="31">
        <v>0.75</v>
      </c>
      <c r="C28" s="31">
        <v>0.75</v>
      </c>
      <c r="D28" s="31">
        <v>0.75</v>
      </c>
      <c r="E28" s="31">
        <v>0.75</v>
      </c>
      <c r="F28" s="31">
        <v>0.75</v>
      </c>
      <c r="G28" s="31">
        <v>0.75</v>
      </c>
      <c r="H28" s="31">
        <v>0.75</v>
      </c>
      <c r="I28" s="31">
        <v>0.75</v>
      </c>
      <c r="J28" s="31">
        <v>0.75</v>
      </c>
      <c r="K28" s="31">
        <v>0.75</v>
      </c>
      <c r="L28" s="31">
        <v>0.75</v>
      </c>
      <c r="M28" s="31">
        <v>0.75</v>
      </c>
      <c r="N28" s="31">
        <f>AVERAGE(0.75,0.75,-4)</f>
      </c>
      <c r="O28" s="31">
        <v>0.75</v>
      </c>
      <c r="P28" s="31">
        <v>-4</v>
      </c>
      <c r="Q28" s="31">
        <v>-4</v>
      </c>
      <c r="R28" s="31">
        <v>-4</v>
      </c>
      <c r="S28" s="31">
        <f>AVERAGE(0.75,0.75,-4)</f>
      </c>
      <c r="T28" s="31">
        <v>0.75</v>
      </c>
      <c r="U28" s="31">
        <v>0.75</v>
      </c>
      <c r="V28" s="31">
        <v>0.75</v>
      </c>
      <c r="W28" s="31">
        <v>0.75</v>
      </c>
      <c r="X28" s="31">
        <v>0.75</v>
      </c>
      <c r="Y28" s="31">
        <v>0.75</v>
      </c>
      <c r="Z28" s="31">
        <v>0.75</v>
      </c>
      <c r="AA28" s="31">
        <v>0.75</v>
      </c>
      <c r="AB28" s="31">
        <v>0.75</v>
      </c>
      <c r="AC28" s="31">
        <v>0.75</v>
      </c>
      <c r="AD28" s="31">
        <v>0.75</v>
      </c>
      <c r="AE28" s="31">
        <v>0.75</v>
      </c>
      <c r="AF28" s="31">
        <v>0.75</v>
      </c>
      <c r="AG28" s="31">
        <f>5/3</f>
      </c>
      <c r="AH28" s="31">
        <f>5/3</f>
      </c>
    </row>
    <row x14ac:dyDescent="0.25" r="29" customHeight="1" ht="18.75">
      <c r="A29" s="30" t="s">
        <v>129</v>
      </c>
      <c r="B29" s="31" t="s">
        <v>198</v>
      </c>
      <c r="C29" s="31" t="s">
        <v>198</v>
      </c>
      <c r="D29" s="31" t="s">
        <v>198</v>
      </c>
      <c r="E29" s="31" t="s">
        <v>198</v>
      </c>
      <c r="F29" s="31" t="s">
        <v>198</v>
      </c>
      <c r="G29" s="31" t="s">
        <v>198</v>
      </c>
      <c r="H29" s="31" t="s">
        <v>198</v>
      </c>
      <c r="I29" s="31" t="s">
        <v>198</v>
      </c>
      <c r="J29" s="31" t="s">
        <v>198</v>
      </c>
      <c r="K29" s="31" t="s">
        <v>198</v>
      </c>
      <c r="L29" s="31" t="s">
        <v>198</v>
      </c>
      <c r="M29" s="31" t="s">
        <v>198</v>
      </c>
      <c r="N29" s="31" t="s">
        <v>198</v>
      </c>
      <c r="O29" s="31" t="s">
        <v>198</v>
      </c>
      <c r="P29" s="31" t="s">
        <v>197</v>
      </c>
      <c r="Q29" s="31" t="s">
        <v>197</v>
      </c>
      <c r="R29" s="31" t="s">
        <v>198</v>
      </c>
      <c r="S29" s="31" t="s">
        <v>198</v>
      </c>
      <c r="T29" s="31" t="s">
        <v>198</v>
      </c>
      <c r="U29" s="31" t="s">
        <v>198</v>
      </c>
      <c r="V29" s="31" t="s">
        <v>198</v>
      </c>
      <c r="W29" s="31" t="s">
        <v>198</v>
      </c>
      <c r="X29" s="31" t="s">
        <v>198</v>
      </c>
      <c r="Y29" s="31" t="s">
        <v>198</v>
      </c>
      <c r="Z29" s="31" t="s">
        <v>198</v>
      </c>
      <c r="AA29" s="31" t="s">
        <v>198</v>
      </c>
      <c r="AB29" s="31" t="s">
        <v>198</v>
      </c>
      <c r="AC29" s="31" t="s">
        <v>198</v>
      </c>
      <c r="AD29" s="31" t="s">
        <v>198</v>
      </c>
      <c r="AE29" s="31" t="s">
        <v>198</v>
      </c>
      <c r="AF29" s="31" t="s">
        <v>198</v>
      </c>
      <c r="AG29" s="31" t="s">
        <v>198</v>
      </c>
      <c r="AH29" s="31" t="s">
        <v>198</v>
      </c>
    </row>
    <row x14ac:dyDescent="0.25" r="30" customHeight="1" ht="18.75">
      <c r="A30" s="30" t="s">
        <v>130</v>
      </c>
      <c r="B30" s="31">
        <v>1</v>
      </c>
      <c r="C30" s="31">
        <v>1</v>
      </c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f>AVERAGE(1,1,1.25)</f>
      </c>
      <c r="O30" s="31">
        <v>1</v>
      </c>
      <c r="P30" s="31">
        <f>AVERAGE(2,2,1.25)</f>
      </c>
      <c r="Q30" s="31">
        <f>AVERAGE(2,2,1.25)</f>
      </c>
      <c r="R30" s="31">
        <v>1.25</v>
      </c>
      <c r="S30" s="31">
        <f>AVERAGE(1,1,1.25)</f>
      </c>
      <c r="T30" s="31">
        <v>1</v>
      </c>
      <c r="U30" s="31">
        <v>1</v>
      </c>
      <c r="V30" s="31">
        <v>1</v>
      </c>
      <c r="W30" s="31">
        <v>1</v>
      </c>
      <c r="X30" s="31">
        <v>1</v>
      </c>
      <c r="Y30" s="31">
        <v>1</v>
      </c>
      <c r="Z30" s="31">
        <v>1</v>
      </c>
      <c r="AA30" s="31">
        <v>1</v>
      </c>
      <c r="AB30" s="31">
        <v>1</v>
      </c>
      <c r="AC30" s="31">
        <v>1</v>
      </c>
      <c r="AD30" s="31">
        <v>1</v>
      </c>
      <c r="AE30" s="31">
        <v>1</v>
      </c>
      <c r="AF30" s="31">
        <v>1</v>
      </c>
      <c r="AG30" s="31">
        <v>1</v>
      </c>
      <c r="AH30" s="31">
        <v>1</v>
      </c>
    </row>
    <row x14ac:dyDescent="0.25" r="31" customHeight="1" ht="18.75">
      <c r="A31" s="3"/>
      <c r="B31" s="5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x14ac:dyDescent="0.25" r="32" customHeight="1" ht="18.75">
      <c r="A32" s="38" t="s">
        <v>64</v>
      </c>
      <c r="B32" s="5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x14ac:dyDescent="0.25" r="33" customHeight="1" ht="18.75">
      <c r="A33" s="123" t="s">
        <v>1227</v>
      </c>
      <c r="B33" s="40" t="s">
        <v>1228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x14ac:dyDescent="0.25" r="34" customHeight="1" ht="18.75">
      <c r="A34" s="123" t="s">
        <v>1229</v>
      </c>
      <c r="B34" s="40" t="s">
        <v>1230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38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</row>
    <row x14ac:dyDescent="0.25" r="3" customHeight="1" ht="18.75">
      <c r="A3" s="1" t="s">
        <v>2</v>
      </c>
      <c r="B3" s="5">
        <v>38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</row>
    <row x14ac:dyDescent="0.25" r="4" customHeight="1" ht="18.75">
      <c r="A4" s="1" t="s">
        <v>4</v>
      </c>
      <c r="B4" s="7" t="s">
        <v>1210</v>
      </c>
      <c r="C4" s="7"/>
      <c r="D4" s="7"/>
      <c r="E4" s="2"/>
      <c r="F4" s="124" t="s">
        <v>1211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56" t="s">
        <v>42</v>
      </c>
      <c r="AI7" s="3"/>
      <c r="AJ7" s="54" t="s">
        <v>24</v>
      </c>
      <c r="AK7" s="11" t="s">
        <v>10</v>
      </c>
    </row>
    <row x14ac:dyDescent="0.25" r="8" customHeight="1" ht="18.75">
      <c r="A8" s="30" t="s">
        <v>43</v>
      </c>
      <c r="B8" s="142" t="s">
        <v>562</v>
      </c>
      <c r="C8" s="31" t="s">
        <v>301</v>
      </c>
      <c r="D8" s="31" t="s">
        <v>301</v>
      </c>
      <c r="E8" s="31" t="s">
        <v>301</v>
      </c>
      <c r="F8" s="143" t="s">
        <v>358</v>
      </c>
      <c r="G8" s="143" t="s">
        <v>358</v>
      </c>
      <c r="H8" s="143" t="s">
        <v>358</v>
      </c>
      <c r="I8" s="143" t="s">
        <v>358</v>
      </c>
      <c r="J8" s="31" t="s">
        <v>281</v>
      </c>
      <c r="K8" s="31" t="s">
        <v>281</v>
      </c>
      <c r="L8" s="31" t="s">
        <v>281</v>
      </c>
      <c r="M8" s="31" t="s">
        <v>281</v>
      </c>
      <c r="N8" s="31" t="s">
        <v>281</v>
      </c>
      <c r="O8" s="31" t="s">
        <v>281</v>
      </c>
      <c r="P8" s="31" t="s">
        <v>281</v>
      </c>
      <c r="Q8" s="31" t="s">
        <v>281</v>
      </c>
      <c r="R8" s="31" t="s">
        <v>281</v>
      </c>
      <c r="S8" s="31" t="s">
        <v>281</v>
      </c>
      <c r="T8" s="31" t="s">
        <v>571</v>
      </c>
      <c r="U8" s="31" t="s">
        <v>571</v>
      </c>
      <c r="V8" s="31" t="s">
        <v>281</v>
      </c>
      <c r="W8" s="31" t="s">
        <v>281</v>
      </c>
      <c r="X8" s="31" t="s">
        <v>281</v>
      </c>
      <c r="Y8" s="31" t="s">
        <v>281</v>
      </c>
      <c r="Z8" s="31" t="s">
        <v>1212</v>
      </c>
      <c r="AA8" s="31" t="s">
        <v>301</v>
      </c>
      <c r="AB8" s="31" t="s">
        <v>1213</v>
      </c>
      <c r="AC8" s="31" t="s">
        <v>1213</v>
      </c>
      <c r="AD8" s="31" t="s">
        <v>1213</v>
      </c>
      <c r="AE8" s="31" t="s">
        <v>1213</v>
      </c>
      <c r="AF8" s="31" t="s">
        <v>571</v>
      </c>
      <c r="AG8" s="31" t="s">
        <v>281</v>
      </c>
      <c r="AH8" s="31" t="s">
        <v>301</v>
      </c>
      <c r="AI8" s="3"/>
      <c r="AJ8" s="31" t="s">
        <v>268</v>
      </c>
      <c r="AK8" s="142" t="s">
        <v>562</v>
      </c>
    </row>
    <row x14ac:dyDescent="0.25" r="9" customHeight="1" ht="18.75">
      <c r="A9" s="30" t="s">
        <v>45</v>
      </c>
      <c r="B9" s="31" t="s">
        <v>302</v>
      </c>
      <c r="C9" s="31" t="s">
        <v>227</v>
      </c>
      <c r="D9" s="31" t="s">
        <v>227</v>
      </c>
      <c r="E9" s="31" t="s">
        <v>294</v>
      </c>
      <c r="F9" s="146" t="s">
        <v>358</v>
      </c>
      <c r="G9" s="146" t="s">
        <v>358</v>
      </c>
      <c r="H9" s="146" t="s">
        <v>358</v>
      </c>
      <c r="I9" s="146" t="s">
        <v>358</v>
      </c>
      <c r="J9" s="31" t="s">
        <v>302</v>
      </c>
      <c r="K9" s="31" t="s">
        <v>302</v>
      </c>
      <c r="L9" s="31" t="s">
        <v>302</v>
      </c>
      <c r="M9" s="31" t="s">
        <v>302</v>
      </c>
      <c r="N9" s="31" t="s">
        <v>302</v>
      </c>
      <c r="O9" s="31" t="s">
        <v>302</v>
      </c>
      <c r="P9" s="31" t="s">
        <v>302</v>
      </c>
      <c r="Q9" s="31" t="s">
        <v>302</v>
      </c>
      <c r="R9" s="31" t="s">
        <v>302</v>
      </c>
      <c r="S9" s="31" t="s">
        <v>1214</v>
      </c>
      <c r="T9" s="31" t="s">
        <v>294</v>
      </c>
      <c r="U9" s="31" t="s">
        <v>294</v>
      </c>
      <c r="V9" s="31" t="s">
        <v>302</v>
      </c>
      <c r="W9" s="31" t="s">
        <v>302</v>
      </c>
      <c r="X9" s="31" t="s">
        <v>302</v>
      </c>
      <c r="Y9" s="31" t="s">
        <v>302</v>
      </c>
      <c r="Z9" s="33" t="s">
        <v>281</v>
      </c>
      <c r="AA9" s="31" t="s">
        <v>302</v>
      </c>
      <c r="AB9" s="33" t="s">
        <v>281</v>
      </c>
      <c r="AC9" s="33" t="s">
        <v>281</v>
      </c>
      <c r="AD9" s="33" t="s">
        <v>281</v>
      </c>
      <c r="AE9" s="33" t="s">
        <v>281</v>
      </c>
      <c r="AF9" s="31" t="s">
        <v>294</v>
      </c>
      <c r="AG9" s="31" t="s">
        <v>302</v>
      </c>
      <c r="AH9" s="31" t="s">
        <v>303</v>
      </c>
      <c r="AI9" s="3"/>
      <c r="AJ9" s="31" t="s">
        <v>511</v>
      </c>
      <c r="AK9" s="31" t="s">
        <v>302</v>
      </c>
    </row>
    <row x14ac:dyDescent="0.25" r="10" customHeight="1" ht="18.75">
      <c r="A10" s="35" t="s">
        <v>47</v>
      </c>
      <c r="B10" s="117">
        <v>19</v>
      </c>
      <c r="C10" s="117">
        <v>56</v>
      </c>
      <c r="D10" s="117">
        <v>56</v>
      </c>
      <c r="E10" s="117">
        <v>34</v>
      </c>
      <c r="F10" s="144"/>
      <c r="G10" s="144"/>
      <c r="H10" s="144"/>
      <c r="I10" s="144"/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148</v>
      </c>
      <c r="T10" s="117">
        <v>34</v>
      </c>
      <c r="U10" s="117">
        <v>34</v>
      </c>
      <c r="V10" s="117">
        <v>19</v>
      </c>
      <c r="W10" s="117">
        <v>19</v>
      </c>
      <c r="X10" s="117">
        <v>19</v>
      </c>
      <c r="Y10" s="117">
        <v>19</v>
      </c>
      <c r="Z10" s="117">
        <v>17</v>
      </c>
      <c r="AA10" s="117">
        <v>19</v>
      </c>
      <c r="AB10" s="117">
        <v>17</v>
      </c>
      <c r="AC10" s="117">
        <v>17</v>
      </c>
      <c r="AD10" s="117">
        <v>17</v>
      </c>
      <c r="AE10" s="117">
        <v>17</v>
      </c>
      <c r="AF10" s="117">
        <v>34</v>
      </c>
      <c r="AG10" s="117">
        <v>19</v>
      </c>
      <c r="AH10" s="117">
        <v>150</v>
      </c>
      <c r="AI10" s="3"/>
      <c r="AJ10" s="117">
        <v>20</v>
      </c>
      <c r="AK10" s="117">
        <v>19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1" t="s">
        <v>52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1" t="s">
        <v>52</v>
      </c>
      <c r="U11" s="31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3" t="s">
        <v>52</v>
      </c>
      <c r="AH11" s="33" t="s">
        <v>52</v>
      </c>
      <c r="AI11" s="3"/>
      <c r="AJ11" s="33" t="s">
        <v>52</v>
      </c>
      <c r="AK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3" t="s">
        <v>52</v>
      </c>
      <c r="AK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52</v>
      </c>
      <c r="U13" s="31" t="s">
        <v>52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52</v>
      </c>
      <c r="AG13" s="31" t="s">
        <v>49</v>
      </c>
      <c r="AH13" s="31" t="s">
        <v>49</v>
      </c>
      <c r="AI13" s="3"/>
      <c r="AJ13" s="31" t="s">
        <v>49</v>
      </c>
      <c r="AK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133</v>
      </c>
      <c r="D15" s="31" t="s">
        <v>133</v>
      </c>
      <c r="E15" s="31" t="s">
        <v>133</v>
      </c>
      <c r="F15" s="143" t="s">
        <v>234</v>
      </c>
      <c r="G15" s="143" t="s">
        <v>234</v>
      </c>
      <c r="H15" s="143" t="s">
        <v>234</v>
      </c>
      <c r="I15" s="143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304</v>
      </c>
      <c r="T15" s="31" t="s">
        <v>133</v>
      </c>
      <c r="U15" s="31" t="s">
        <v>133</v>
      </c>
      <c r="V15" s="31" t="s">
        <v>234</v>
      </c>
      <c r="W15" s="31" t="s">
        <v>234</v>
      </c>
      <c r="X15" s="31" t="s">
        <v>234</v>
      </c>
      <c r="Y15" s="31" t="s">
        <v>234</v>
      </c>
      <c r="Z15" s="31" t="s">
        <v>133</v>
      </c>
      <c r="AA15" s="31" t="s">
        <v>234</v>
      </c>
      <c r="AB15" s="31" t="s">
        <v>133</v>
      </c>
      <c r="AC15" s="31" t="s">
        <v>133</v>
      </c>
      <c r="AD15" s="31" t="s">
        <v>133</v>
      </c>
      <c r="AE15" s="31" t="s">
        <v>133</v>
      </c>
      <c r="AF15" s="31" t="s">
        <v>133</v>
      </c>
      <c r="AG15" s="31" t="s">
        <v>234</v>
      </c>
      <c r="AH15" s="31" t="s">
        <v>304</v>
      </c>
      <c r="AI15" s="3"/>
      <c r="AJ15" s="31" t="s">
        <v>234</v>
      </c>
      <c r="AK15" s="31" t="s">
        <v>234</v>
      </c>
    </row>
    <row x14ac:dyDescent="0.25" r="16" customHeight="1" ht="18.75">
      <c r="A16" s="30" t="s">
        <v>128</v>
      </c>
      <c r="B16" s="31">
        <v>-3</v>
      </c>
      <c r="C16" s="33">
        <v>-0.5</v>
      </c>
      <c r="D16" s="33">
        <v>-0.5</v>
      </c>
      <c r="E16" s="33">
        <v>-0.5</v>
      </c>
      <c r="F16" s="146">
        <v>-3</v>
      </c>
      <c r="G16" s="146">
        <v>-3</v>
      </c>
      <c r="H16" s="146">
        <v>-3</v>
      </c>
      <c r="I16" s="146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f>AVERAGE(-3,0)</f>
      </c>
      <c r="T16" s="33">
        <v>-0.5</v>
      </c>
      <c r="U16" s="33">
        <v>-0.5</v>
      </c>
      <c r="V16" s="31">
        <v>-3</v>
      </c>
      <c r="W16" s="31">
        <v>-3</v>
      </c>
      <c r="X16" s="31">
        <v>-3</v>
      </c>
      <c r="Y16" s="31">
        <v>-3</v>
      </c>
      <c r="Z16" s="31">
        <v>-2</v>
      </c>
      <c r="AA16" s="31">
        <v>-3</v>
      </c>
      <c r="AB16" s="31">
        <v>-2</v>
      </c>
      <c r="AC16" s="31">
        <v>-2</v>
      </c>
      <c r="AD16" s="31">
        <v>-2</v>
      </c>
      <c r="AE16" s="31">
        <v>-2</v>
      </c>
      <c r="AF16" s="33">
        <v>-0.5</v>
      </c>
      <c r="AG16" s="31">
        <v>-3</v>
      </c>
      <c r="AH16" s="31">
        <v>-2.5</v>
      </c>
      <c r="AI16" s="3"/>
      <c r="AJ16" s="31">
        <v>-3</v>
      </c>
      <c r="AK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274</v>
      </c>
      <c r="F17" s="143" t="s">
        <v>358</v>
      </c>
      <c r="G17" s="143" t="s">
        <v>358</v>
      </c>
      <c r="H17" s="143" t="s">
        <v>358</v>
      </c>
      <c r="I17" s="143" t="s">
        <v>358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274</v>
      </c>
      <c r="U17" s="31" t="s">
        <v>274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274</v>
      </c>
      <c r="AG17" s="31" t="s">
        <v>138</v>
      </c>
      <c r="AH17" s="31" t="s">
        <v>138</v>
      </c>
      <c r="AI17" s="3"/>
      <c r="AJ17" s="31" t="s">
        <v>138</v>
      </c>
      <c r="AK17" s="31" t="s">
        <v>138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3</v>
      </c>
      <c r="F18" s="143">
        <v>0</v>
      </c>
      <c r="G18" s="143">
        <v>0</v>
      </c>
      <c r="H18" s="143">
        <v>0</v>
      </c>
      <c r="I18" s="143">
        <v>0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3</v>
      </c>
      <c r="U18" s="31">
        <v>3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3</v>
      </c>
      <c r="AG18" s="31">
        <v>4</v>
      </c>
      <c r="AH18" s="31">
        <v>4</v>
      </c>
      <c r="AI18" s="3"/>
      <c r="AJ18" s="31">
        <v>4</v>
      </c>
      <c r="AK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2"/>
    </row>
    <row x14ac:dyDescent="0.25" r="20" customHeight="1" ht="18.75">
      <c r="A20" s="30" t="s">
        <v>43</v>
      </c>
      <c r="B20" s="31" t="s">
        <v>198</v>
      </c>
      <c r="C20" s="143" t="s">
        <v>358</v>
      </c>
      <c r="D20" s="143" t="s">
        <v>358</v>
      </c>
      <c r="E20" s="143" t="s">
        <v>358</v>
      </c>
      <c r="F20" s="31" t="s">
        <v>1087</v>
      </c>
      <c r="G20" s="31" t="s">
        <v>150</v>
      </c>
      <c r="H20" s="31" t="s">
        <v>150</v>
      </c>
      <c r="I20" s="31" t="s">
        <v>150</v>
      </c>
      <c r="J20" s="31" t="s">
        <v>1088</v>
      </c>
      <c r="K20" s="31" t="s">
        <v>149</v>
      </c>
      <c r="L20" s="31" t="s">
        <v>149</v>
      </c>
      <c r="M20" s="31" t="s">
        <v>149</v>
      </c>
      <c r="N20" s="31" t="s">
        <v>149</v>
      </c>
      <c r="O20" s="31" t="s">
        <v>149</v>
      </c>
      <c r="P20" s="31" t="s">
        <v>149</v>
      </c>
      <c r="Q20" s="31" t="s">
        <v>149</v>
      </c>
      <c r="R20" s="31" t="s">
        <v>149</v>
      </c>
      <c r="S20" s="31" t="s">
        <v>150</v>
      </c>
      <c r="T20" s="143" t="s">
        <v>358</v>
      </c>
      <c r="U20" s="143" t="s">
        <v>358</v>
      </c>
      <c r="V20" s="31" t="s">
        <v>149</v>
      </c>
      <c r="W20" s="31" t="s">
        <v>149</v>
      </c>
      <c r="X20" s="31" t="s">
        <v>180</v>
      </c>
      <c r="Y20" s="31" t="s">
        <v>180</v>
      </c>
      <c r="Z20" s="143" t="s">
        <v>358</v>
      </c>
      <c r="AA20" s="31" t="s">
        <v>68</v>
      </c>
      <c r="AB20" s="143" t="s">
        <v>358</v>
      </c>
      <c r="AC20" s="143" t="s">
        <v>358</v>
      </c>
      <c r="AD20" s="143" t="s">
        <v>358</v>
      </c>
      <c r="AE20" s="143" t="s">
        <v>358</v>
      </c>
      <c r="AF20" s="143" t="s">
        <v>358</v>
      </c>
      <c r="AG20" s="139" t="s">
        <v>360</v>
      </c>
      <c r="AH20" s="31" t="s">
        <v>68</v>
      </c>
      <c r="AI20" s="3"/>
      <c r="AJ20" s="31" t="s">
        <v>149</v>
      </c>
      <c r="AK20" s="31" t="s">
        <v>198</v>
      </c>
    </row>
    <row x14ac:dyDescent="0.25" r="21" customHeight="1" ht="18.75">
      <c r="A21" s="30" t="s">
        <v>45</v>
      </c>
      <c r="B21" s="31" t="s">
        <v>156</v>
      </c>
      <c r="C21" s="146" t="s">
        <v>358</v>
      </c>
      <c r="D21" s="146" t="s">
        <v>358</v>
      </c>
      <c r="E21" s="146" t="s">
        <v>358</v>
      </c>
      <c r="F21" s="31" t="s">
        <v>1090</v>
      </c>
      <c r="G21" s="31" t="s">
        <v>732</v>
      </c>
      <c r="H21" s="31" t="s">
        <v>1091</v>
      </c>
      <c r="I21" s="31" t="s">
        <v>1091</v>
      </c>
      <c r="J21" s="31" t="s">
        <v>1092</v>
      </c>
      <c r="K21" s="33" t="s">
        <v>149</v>
      </c>
      <c r="L21" s="31" t="s">
        <v>726</v>
      </c>
      <c r="M21" s="31" t="s">
        <v>750</v>
      </c>
      <c r="N21" s="33" t="s">
        <v>149</v>
      </c>
      <c r="O21" s="33" t="s">
        <v>149</v>
      </c>
      <c r="P21" s="33" t="s">
        <v>149</v>
      </c>
      <c r="Q21" s="33" t="s">
        <v>149</v>
      </c>
      <c r="R21" s="33" t="s">
        <v>149</v>
      </c>
      <c r="S21" s="33" t="s">
        <v>1123</v>
      </c>
      <c r="T21" s="146" t="s">
        <v>358</v>
      </c>
      <c r="U21" s="146" t="s">
        <v>358</v>
      </c>
      <c r="V21" s="33" t="s">
        <v>149</v>
      </c>
      <c r="W21" s="33" t="s">
        <v>149</v>
      </c>
      <c r="X21" s="33" t="s">
        <v>374</v>
      </c>
      <c r="Y21" s="33" t="s">
        <v>374</v>
      </c>
      <c r="Z21" s="146" t="s">
        <v>358</v>
      </c>
      <c r="AA21" s="31" t="s">
        <v>132</v>
      </c>
      <c r="AB21" s="146" t="s">
        <v>358</v>
      </c>
      <c r="AC21" s="146" t="s">
        <v>358</v>
      </c>
      <c r="AD21" s="146" t="s">
        <v>358</v>
      </c>
      <c r="AE21" s="146" t="s">
        <v>358</v>
      </c>
      <c r="AF21" s="146" t="s">
        <v>358</v>
      </c>
      <c r="AG21" s="139" t="s">
        <v>732</v>
      </c>
      <c r="AH21" s="31" t="s">
        <v>368</v>
      </c>
      <c r="AI21" s="3"/>
      <c r="AJ21" s="33" t="s">
        <v>149</v>
      </c>
      <c r="AK21" s="31" t="s">
        <v>361</v>
      </c>
    </row>
    <row x14ac:dyDescent="0.25" r="22" customHeight="1" ht="18.75">
      <c r="A22" s="35" t="s">
        <v>47</v>
      </c>
      <c r="B22" s="117">
        <v>87</v>
      </c>
      <c r="C22" s="144"/>
      <c r="D22" s="144"/>
      <c r="E22" s="144"/>
      <c r="F22" s="117">
        <v>129</v>
      </c>
      <c r="G22" s="117">
        <v>90</v>
      </c>
      <c r="H22" s="117">
        <v>39</v>
      </c>
      <c r="I22" s="117">
        <v>39</v>
      </c>
      <c r="J22" s="117">
        <v>130</v>
      </c>
      <c r="K22" s="117">
        <v>85</v>
      </c>
      <c r="L22" s="117">
        <v>89</v>
      </c>
      <c r="M22" s="117">
        <v>140</v>
      </c>
      <c r="N22" s="117">
        <v>85</v>
      </c>
      <c r="O22" s="117">
        <v>85</v>
      </c>
      <c r="P22" s="117">
        <v>85</v>
      </c>
      <c r="Q22" s="117">
        <v>85</v>
      </c>
      <c r="R22" s="117">
        <v>85</v>
      </c>
      <c r="S22" s="117">
        <v>149</v>
      </c>
      <c r="T22" s="144"/>
      <c r="U22" s="144"/>
      <c r="V22" s="117">
        <v>85</v>
      </c>
      <c r="W22" s="117">
        <v>85</v>
      </c>
      <c r="X22" s="117">
        <v>83</v>
      </c>
      <c r="Y22" s="117">
        <v>83</v>
      </c>
      <c r="Z22" s="144"/>
      <c r="AA22" s="117">
        <v>98</v>
      </c>
      <c r="AB22" s="144"/>
      <c r="AC22" s="144"/>
      <c r="AD22" s="144"/>
      <c r="AE22" s="144"/>
      <c r="AF22" s="144"/>
      <c r="AG22" s="167">
        <v>90</v>
      </c>
      <c r="AH22" s="117">
        <v>151</v>
      </c>
      <c r="AI22" s="3"/>
      <c r="AJ22" s="117">
        <v>85</v>
      </c>
      <c r="AK22" s="117">
        <v>139</v>
      </c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143" t="s">
        <v>49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143" t="s">
        <v>49</v>
      </c>
      <c r="U23" s="143" t="s">
        <v>49</v>
      </c>
      <c r="V23" s="31" t="s">
        <v>52</v>
      </c>
      <c r="W23" s="31" t="s">
        <v>52</v>
      </c>
      <c r="X23" s="31" t="s">
        <v>52</v>
      </c>
      <c r="Y23" s="31" t="s">
        <v>52</v>
      </c>
      <c r="Z23" s="143" t="s">
        <v>49</v>
      </c>
      <c r="AA23" s="31" t="s">
        <v>52</v>
      </c>
      <c r="AB23" s="143" t="s">
        <v>49</v>
      </c>
      <c r="AC23" s="143" t="s">
        <v>49</v>
      </c>
      <c r="AD23" s="143" t="s">
        <v>49</v>
      </c>
      <c r="AE23" s="143" t="s">
        <v>49</v>
      </c>
      <c r="AF23" s="143" t="s">
        <v>49</v>
      </c>
      <c r="AG23" s="139" t="s">
        <v>52</v>
      </c>
      <c r="AH23" s="31" t="s">
        <v>52</v>
      </c>
      <c r="AI23" s="3"/>
      <c r="AJ23" s="31" t="s">
        <v>52</v>
      </c>
      <c r="AK23" s="31" t="s">
        <v>52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143" t="s">
        <v>49</v>
      </c>
      <c r="F24" s="31" t="s">
        <v>1025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142" t="s">
        <v>52</v>
      </c>
      <c r="T24" s="143" t="s">
        <v>49</v>
      </c>
      <c r="U24" s="143" t="s">
        <v>49</v>
      </c>
      <c r="V24" s="31" t="s">
        <v>52</v>
      </c>
      <c r="W24" s="31" t="s">
        <v>52</v>
      </c>
      <c r="X24" s="31" t="s">
        <v>52</v>
      </c>
      <c r="Y24" s="31" t="s">
        <v>52</v>
      </c>
      <c r="Z24" s="143" t="s">
        <v>49</v>
      </c>
      <c r="AA24" s="31" t="s">
        <v>52</v>
      </c>
      <c r="AB24" s="143" t="s">
        <v>49</v>
      </c>
      <c r="AC24" s="143" t="s">
        <v>49</v>
      </c>
      <c r="AD24" s="143" t="s">
        <v>49</v>
      </c>
      <c r="AE24" s="143" t="s">
        <v>49</v>
      </c>
      <c r="AF24" s="143" t="s">
        <v>49</v>
      </c>
      <c r="AG24" s="139" t="s">
        <v>52</v>
      </c>
      <c r="AH24" s="31" t="s">
        <v>162</v>
      </c>
      <c r="AI24" s="3"/>
      <c r="AJ24" s="31" t="s">
        <v>52</v>
      </c>
      <c r="AK24" s="31" t="s">
        <v>52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143" t="s">
        <v>49</v>
      </c>
      <c r="F25" s="31" t="s">
        <v>1094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143" t="s">
        <v>49</v>
      </c>
      <c r="U25" s="143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143" t="s">
        <v>49</v>
      </c>
      <c r="AA25" s="31" t="s">
        <v>49</v>
      </c>
      <c r="AB25" s="143" t="s">
        <v>49</v>
      </c>
      <c r="AC25" s="143" t="s">
        <v>49</v>
      </c>
      <c r="AD25" s="143" t="s">
        <v>49</v>
      </c>
      <c r="AE25" s="143" t="s">
        <v>49</v>
      </c>
      <c r="AF25" s="143" t="s">
        <v>49</v>
      </c>
      <c r="AG25" s="139" t="s">
        <v>49</v>
      </c>
      <c r="AH25" s="31" t="s">
        <v>49</v>
      </c>
      <c r="AI25" s="3"/>
      <c r="AJ25" s="31" t="s">
        <v>49</v>
      </c>
      <c r="AK25" s="31" t="s">
        <v>49</v>
      </c>
    </row>
    <row x14ac:dyDescent="0.25" r="26" customHeight="1" ht="18.75">
      <c r="A26" s="30" t="s">
        <v>126</v>
      </c>
      <c r="B26" s="31" t="s">
        <v>52</v>
      </c>
      <c r="C26" s="143" t="s">
        <v>49</v>
      </c>
      <c r="D26" s="143" t="s">
        <v>49</v>
      </c>
      <c r="E26" s="143" t="s">
        <v>49</v>
      </c>
      <c r="F26" s="31" t="s">
        <v>1025</v>
      </c>
      <c r="G26" s="31" t="s">
        <v>52</v>
      </c>
      <c r="H26" s="31" t="s">
        <v>49</v>
      </c>
      <c r="I26" s="31" t="s">
        <v>49</v>
      </c>
      <c r="J26" s="31" t="s">
        <v>52</v>
      </c>
      <c r="K26" s="31" t="s">
        <v>52</v>
      </c>
      <c r="L26" s="31" t="s">
        <v>52</v>
      </c>
      <c r="M26" s="31" t="s">
        <v>52</v>
      </c>
      <c r="N26" s="31" t="s">
        <v>52</v>
      </c>
      <c r="O26" s="31" t="s">
        <v>52</v>
      </c>
      <c r="P26" s="31" t="s">
        <v>52</v>
      </c>
      <c r="Q26" s="31" t="s">
        <v>52</v>
      </c>
      <c r="R26" s="31" t="s">
        <v>52</v>
      </c>
      <c r="S26" s="31" t="s">
        <v>162</v>
      </c>
      <c r="T26" s="143" t="s">
        <v>49</v>
      </c>
      <c r="U26" s="143" t="s">
        <v>49</v>
      </c>
      <c r="V26" s="31" t="s">
        <v>52</v>
      </c>
      <c r="W26" s="31" t="s">
        <v>52</v>
      </c>
      <c r="X26" s="31" t="s">
        <v>49</v>
      </c>
      <c r="Y26" s="31" t="s">
        <v>49</v>
      </c>
      <c r="Z26" s="143" t="s">
        <v>49</v>
      </c>
      <c r="AA26" s="31" t="s">
        <v>49</v>
      </c>
      <c r="AB26" s="143" t="s">
        <v>49</v>
      </c>
      <c r="AC26" s="143" t="s">
        <v>49</v>
      </c>
      <c r="AD26" s="143" t="s">
        <v>49</v>
      </c>
      <c r="AE26" s="143" t="s">
        <v>49</v>
      </c>
      <c r="AF26" s="143" t="s">
        <v>49</v>
      </c>
      <c r="AG26" s="139" t="s">
        <v>52</v>
      </c>
      <c r="AH26" s="31" t="s">
        <v>49</v>
      </c>
      <c r="AI26" s="3"/>
      <c r="AJ26" s="31" t="s">
        <v>52</v>
      </c>
      <c r="AK26" s="31" t="s">
        <v>52</v>
      </c>
    </row>
    <row x14ac:dyDescent="0.25" r="27" customHeight="1" ht="18.75">
      <c r="A27" s="30" t="s">
        <v>127</v>
      </c>
      <c r="B27" s="31" t="s">
        <v>164</v>
      </c>
      <c r="C27" s="143" t="s">
        <v>133</v>
      </c>
      <c r="D27" s="143" t="s">
        <v>133</v>
      </c>
      <c r="E27" s="143" t="s">
        <v>133</v>
      </c>
      <c r="F27" s="31" t="s">
        <v>133</v>
      </c>
      <c r="G27" s="31" t="s">
        <v>133</v>
      </c>
      <c r="H27" s="31" t="s">
        <v>133</v>
      </c>
      <c r="I27" s="31" t="s">
        <v>133</v>
      </c>
      <c r="J27" s="33" t="s">
        <v>648</v>
      </c>
      <c r="K27" s="31" t="s">
        <v>143</v>
      </c>
      <c r="L27" s="31" t="s">
        <v>164</v>
      </c>
      <c r="M27" s="31" t="s">
        <v>234</v>
      </c>
      <c r="N27" s="31" t="s">
        <v>143</v>
      </c>
      <c r="O27" s="31" t="s">
        <v>143</v>
      </c>
      <c r="P27" s="31" t="s">
        <v>143</v>
      </c>
      <c r="Q27" s="31" t="s">
        <v>143</v>
      </c>
      <c r="R27" s="31" t="s">
        <v>143</v>
      </c>
      <c r="S27" s="33" t="s">
        <v>163</v>
      </c>
      <c r="T27" s="143" t="s">
        <v>133</v>
      </c>
      <c r="U27" s="143" t="s">
        <v>133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143" t="s">
        <v>133</v>
      </c>
      <c r="AA27" s="31" t="s">
        <v>133</v>
      </c>
      <c r="AB27" s="143" t="s">
        <v>133</v>
      </c>
      <c r="AC27" s="143" t="s">
        <v>133</v>
      </c>
      <c r="AD27" s="143" t="s">
        <v>133</v>
      </c>
      <c r="AE27" s="143" t="s">
        <v>133</v>
      </c>
      <c r="AF27" s="143" t="s">
        <v>133</v>
      </c>
      <c r="AG27" s="139" t="s">
        <v>133</v>
      </c>
      <c r="AH27" s="31" t="s">
        <v>133</v>
      </c>
      <c r="AI27" s="3"/>
      <c r="AJ27" s="31" t="s">
        <v>143</v>
      </c>
      <c r="AK27" s="31" t="s">
        <v>133</v>
      </c>
    </row>
    <row x14ac:dyDescent="0.25" r="28" customHeight="1" ht="18.75">
      <c r="A28" s="30" t="s">
        <v>128</v>
      </c>
      <c r="B28" s="31">
        <f>-7/6</f>
      </c>
      <c r="C28" s="143">
        <v>-2</v>
      </c>
      <c r="D28" s="143">
        <v>-2</v>
      </c>
      <c r="E28" s="143">
        <v>-2</v>
      </c>
      <c r="F28" s="33">
        <f>AVERAGE(0,0,-1.25)</f>
      </c>
      <c r="G28" s="31">
        <v>-2</v>
      </c>
      <c r="H28" s="31">
        <v>-2</v>
      </c>
      <c r="I28" s="31">
        <v>-2</v>
      </c>
      <c r="J28" s="31">
        <f>AVERAGE(0.75,0.75,0.75,0)</f>
      </c>
      <c r="K28" s="31">
        <v>0.75</v>
      </c>
      <c r="L28" s="31">
        <v>-1.625</v>
      </c>
      <c r="M28" s="31">
        <v>-3</v>
      </c>
      <c r="N28" s="31">
        <v>0.75</v>
      </c>
      <c r="O28" s="31">
        <v>0.75</v>
      </c>
      <c r="P28" s="31">
        <v>0.75</v>
      </c>
      <c r="Q28" s="31">
        <v>0.75</v>
      </c>
      <c r="R28" s="31">
        <v>0.75</v>
      </c>
      <c r="S28" s="31">
        <f>AVERAGE(0.75,-2)</f>
      </c>
      <c r="T28" s="143">
        <v>-2</v>
      </c>
      <c r="U28" s="143">
        <v>-2</v>
      </c>
      <c r="V28" s="31">
        <v>0.75</v>
      </c>
      <c r="W28" s="31">
        <v>0.75</v>
      </c>
      <c r="X28" s="31">
        <v>0.75</v>
      </c>
      <c r="Y28" s="31">
        <v>0.75</v>
      </c>
      <c r="Z28" s="143">
        <v>-2</v>
      </c>
      <c r="AA28" s="31">
        <v>-2</v>
      </c>
      <c r="AB28" s="143">
        <v>-2</v>
      </c>
      <c r="AC28" s="143">
        <v>-2</v>
      </c>
      <c r="AD28" s="143">
        <v>-2</v>
      </c>
      <c r="AE28" s="143">
        <v>-2</v>
      </c>
      <c r="AF28" s="143">
        <v>-2</v>
      </c>
      <c r="AG28" s="139">
        <v>-2</v>
      </c>
      <c r="AH28" s="31">
        <v>-2</v>
      </c>
      <c r="AI28" s="3"/>
      <c r="AJ28" s="31">
        <v>0.75</v>
      </c>
      <c r="AK28" s="31">
        <f>-1/6</f>
      </c>
    </row>
    <row x14ac:dyDescent="0.25" r="29" customHeight="1" ht="18.75">
      <c r="A29" s="30" t="s">
        <v>129</v>
      </c>
      <c r="B29" s="31" t="s">
        <v>167</v>
      </c>
      <c r="C29" s="143" t="s">
        <v>358</v>
      </c>
      <c r="D29" s="143" t="s">
        <v>358</v>
      </c>
      <c r="E29" s="143" t="s">
        <v>358</v>
      </c>
      <c r="F29" s="150" t="s">
        <v>1095</v>
      </c>
      <c r="G29" s="31" t="s">
        <v>198</v>
      </c>
      <c r="H29" s="31" t="s">
        <v>274</v>
      </c>
      <c r="I29" s="31" t="s">
        <v>274</v>
      </c>
      <c r="J29" s="31" t="s">
        <v>167</v>
      </c>
      <c r="K29" s="31" t="s">
        <v>167</v>
      </c>
      <c r="L29" s="31" t="s">
        <v>167</v>
      </c>
      <c r="M29" s="31" t="s">
        <v>167</v>
      </c>
      <c r="N29" s="31" t="s">
        <v>167</v>
      </c>
      <c r="O29" s="31" t="s">
        <v>167</v>
      </c>
      <c r="P29" s="31" t="s">
        <v>167</v>
      </c>
      <c r="Q29" s="31" t="s">
        <v>167</v>
      </c>
      <c r="R29" s="31" t="s">
        <v>167</v>
      </c>
      <c r="S29" s="118" t="s">
        <v>753</v>
      </c>
      <c r="T29" s="143" t="s">
        <v>358</v>
      </c>
      <c r="U29" s="143" t="s">
        <v>358</v>
      </c>
      <c r="V29" s="31" t="s">
        <v>167</v>
      </c>
      <c r="W29" s="31" t="s">
        <v>167</v>
      </c>
      <c r="X29" s="31" t="s">
        <v>198</v>
      </c>
      <c r="Y29" s="31" t="s">
        <v>198</v>
      </c>
      <c r="Z29" s="143" t="s">
        <v>358</v>
      </c>
      <c r="AA29" s="31" t="s">
        <v>134</v>
      </c>
      <c r="AB29" s="143" t="s">
        <v>358</v>
      </c>
      <c r="AC29" s="143" t="s">
        <v>358</v>
      </c>
      <c r="AD29" s="143" t="s">
        <v>358</v>
      </c>
      <c r="AE29" s="143" t="s">
        <v>358</v>
      </c>
      <c r="AF29" s="143" t="s">
        <v>358</v>
      </c>
      <c r="AG29" s="139" t="s">
        <v>198</v>
      </c>
      <c r="AH29" s="31" t="s">
        <v>369</v>
      </c>
      <c r="AI29" s="3"/>
      <c r="AJ29" s="31" t="s">
        <v>167</v>
      </c>
      <c r="AK29" s="31" t="s">
        <v>167</v>
      </c>
    </row>
    <row x14ac:dyDescent="0.25" r="30" customHeight="1" ht="18.75">
      <c r="A30" s="30" t="s">
        <v>130</v>
      </c>
      <c r="B30" s="31">
        <v>0.75</v>
      </c>
      <c r="C30" s="143">
        <v>0</v>
      </c>
      <c r="D30" s="143">
        <v>0</v>
      </c>
      <c r="E30" s="143">
        <v>0</v>
      </c>
      <c r="F30" s="31">
        <f>AVERAGE(0.75,0.75,3)</f>
      </c>
      <c r="G30" s="31">
        <v>0.75</v>
      </c>
      <c r="H30" s="31">
        <v>3</v>
      </c>
      <c r="I30" s="31">
        <v>3</v>
      </c>
      <c r="J30" s="31">
        <v>0.75</v>
      </c>
      <c r="K30" s="31">
        <v>0.75</v>
      </c>
      <c r="L30" s="31">
        <v>0.75</v>
      </c>
      <c r="M30" s="31">
        <v>0.75</v>
      </c>
      <c r="N30" s="31">
        <v>0.75</v>
      </c>
      <c r="O30" s="31">
        <v>0.75</v>
      </c>
      <c r="P30" s="31">
        <v>0.75</v>
      </c>
      <c r="Q30" s="31">
        <v>0.75</v>
      </c>
      <c r="R30" s="31">
        <v>0.75</v>
      </c>
      <c r="S30" s="31">
        <f>AVERAGE(0.75,1/3)</f>
      </c>
      <c r="T30" s="143">
        <v>0</v>
      </c>
      <c r="U30" s="143">
        <v>0</v>
      </c>
      <c r="V30" s="31">
        <v>0.75</v>
      </c>
      <c r="W30" s="31">
        <v>0.75</v>
      </c>
      <c r="X30" s="31">
        <v>1</v>
      </c>
      <c r="Y30" s="31">
        <v>1</v>
      </c>
      <c r="Z30" s="143">
        <v>0</v>
      </c>
      <c r="AA30" s="31">
        <f>1/3</f>
      </c>
      <c r="AB30" s="143">
        <v>0</v>
      </c>
      <c r="AC30" s="143">
        <v>0</v>
      </c>
      <c r="AD30" s="143">
        <v>0</v>
      </c>
      <c r="AE30" s="143">
        <v>0</v>
      </c>
      <c r="AF30" s="143">
        <v>0</v>
      </c>
      <c r="AG30" s="139">
        <v>0.75</v>
      </c>
      <c r="AH30" s="31">
        <f>AVERAGE(1/3,0)</f>
      </c>
      <c r="AI30" s="3"/>
      <c r="AJ30" s="31">
        <v>0.75</v>
      </c>
      <c r="AK30" s="31">
        <v>0.75</v>
      </c>
    </row>
    <row x14ac:dyDescent="0.25" r="31" customHeight="1" ht="18.75">
      <c r="A31" s="46"/>
      <c r="B31" s="138" t="s">
        <v>1215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138" t="s">
        <v>1216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138" t="s">
        <v>1217</v>
      </c>
      <c r="AK31" s="138" t="s">
        <v>1218</v>
      </c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2"/>
    </row>
    <row x14ac:dyDescent="0.25" r="33" customHeight="1" ht="18.75">
      <c r="A33" s="209" t="s">
        <v>1219</v>
      </c>
      <c r="B33" s="214" t="s">
        <v>1220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2"/>
    </row>
    <row x14ac:dyDescent="0.25" r="34" customHeight="1" ht="18.75">
      <c r="A34" s="30"/>
      <c r="B34" s="214" t="s">
        <v>1221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</row>
    <row x14ac:dyDescent="0.25" r="35" customHeight="1" ht="18.75">
      <c r="A35" s="30"/>
      <c r="B35" s="214" t="s">
        <v>1103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2"/>
    </row>
    <row x14ac:dyDescent="0.25" r="36" customHeight="1" ht="18.75">
      <c r="A36" s="30"/>
      <c r="B36" s="214" t="s">
        <v>1104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2"/>
    </row>
    <row x14ac:dyDescent="0.25" r="37" customHeight="1" ht="18.75">
      <c r="A37" s="30" t="s">
        <v>1222</v>
      </c>
      <c r="B37" s="40" t="s">
        <v>1223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2"/>
    </row>
    <row x14ac:dyDescent="0.25" r="38" customHeight="1" ht="18.75">
      <c r="A38" s="30" t="s">
        <v>1224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"/>
      <c r="AJ38" s="2"/>
      <c r="AK38" s="2"/>
    </row>
  </sheetData>
  <mergeCells count="6">
    <mergeCell ref="B3:D3"/>
    <mergeCell ref="F3:O3"/>
    <mergeCell ref="B4:D4"/>
    <mergeCell ref="F4:O5"/>
    <mergeCell ref="B5:D5"/>
    <mergeCell ref="A33:A3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6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2"/>
      <c r="AM1" s="2"/>
    </row>
    <row x14ac:dyDescent="0.25" r="2" customHeight="1" ht="18.7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  <c r="AL2" s="2"/>
      <c r="AM2" s="2"/>
    </row>
    <row x14ac:dyDescent="0.25" r="3" customHeight="1" ht="18.75">
      <c r="A3" s="1" t="s">
        <v>2</v>
      </c>
      <c r="B3" s="5">
        <v>39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2"/>
      <c r="AM3" s="2"/>
    </row>
    <row x14ac:dyDescent="0.25" r="4" customHeight="1" ht="18.75">
      <c r="A4" s="1" t="s">
        <v>4</v>
      </c>
      <c r="B4" s="7" t="s">
        <v>1174</v>
      </c>
      <c r="C4" s="7"/>
      <c r="D4" s="7"/>
      <c r="E4" s="2"/>
      <c r="F4" s="124" t="s">
        <v>1201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2"/>
      <c r="AM4" s="2"/>
    </row>
    <row x14ac:dyDescent="0.25" r="5" customHeight="1" ht="18.75">
      <c r="A5" s="1" t="s">
        <v>7</v>
      </c>
      <c r="B5" s="7" t="s">
        <v>1202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2"/>
      <c r="AM5" s="2"/>
    </row>
    <row x14ac:dyDescent="0.25" r="6" customHeight="1" ht="18.7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2"/>
      <c r="AM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09" t="s">
        <v>39</v>
      </c>
      <c r="AF7" s="200" t="s">
        <v>40</v>
      </c>
      <c r="AG7" s="112" t="s">
        <v>41</v>
      </c>
      <c r="AH7" s="56" t="s">
        <v>42</v>
      </c>
      <c r="AI7" s="3"/>
      <c r="AJ7" s="201" t="s">
        <v>32</v>
      </c>
      <c r="AK7" s="201" t="s">
        <v>33</v>
      </c>
      <c r="AL7" s="56" t="s">
        <v>41</v>
      </c>
      <c r="AM7" s="56" t="s">
        <v>42</v>
      </c>
    </row>
    <row x14ac:dyDescent="0.25" r="8" customHeight="1" ht="18.75">
      <c r="A8" s="30" t="s">
        <v>43</v>
      </c>
      <c r="B8" s="31" t="s">
        <v>1176</v>
      </c>
      <c r="C8" s="114" t="s">
        <v>1180</v>
      </c>
      <c r="D8" s="114" t="s">
        <v>1180</v>
      </c>
      <c r="E8" s="239" t="s">
        <v>281</v>
      </c>
      <c r="F8" s="239" t="s">
        <v>281</v>
      </c>
      <c r="G8" s="239" t="s">
        <v>281</v>
      </c>
      <c r="H8" s="114" t="s">
        <v>281</v>
      </c>
      <c r="I8" s="240" t="s">
        <v>281</v>
      </c>
      <c r="J8" s="31" t="s">
        <v>1180</v>
      </c>
      <c r="K8" s="31" t="s">
        <v>1180</v>
      </c>
      <c r="L8" s="31" t="s">
        <v>1180</v>
      </c>
      <c r="M8" s="31" t="s">
        <v>1180</v>
      </c>
      <c r="N8" s="31" t="s">
        <v>1044</v>
      </c>
      <c r="O8" s="31" t="s">
        <v>1180</v>
      </c>
      <c r="P8" s="31" t="s">
        <v>1044</v>
      </c>
      <c r="Q8" s="31" t="s">
        <v>1044</v>
      </c>
      <c r="R8" s="31" t="s">
        <v>281</v>
      </c>
      <c r="S8" s="31" t="s">
        <v>1044</v>
      </c>
      <c r="T8" s="31" t="s">
        <v>1180</v>
      </c>
      <c r="U8" s="31" t="s">
        <v>1180</v>
      </c>
      <c r="V8" s="31" t="s">
        <v>1180</v>
      </c>
      <c r="W8" s="31" t="s">
        <v>281</v>
      </c>
      <c r="X8" s="31" t="s">
        <v>339</v>
      </c>
      <c r="Y8" s="31" t="s">
        <v>281</v>
      </c>
      <c r="Z8" s="31" t="s">
        <v>1044</v>
      </c>
      <c r="AA8" s="31" t="s">
        <v>1180</v>
      </c>
      <c r="AB8" s="31" t="s">
        <v>1180</v>
      </c>
      <c r="AC8" s="31" t="s">
        <v>1180</v>
      </c>
      <c r="AD8" s="31" t="s">
        <v>1180</v>
      </c>
      <c r="AE8" s="31" t="s">
        <v>1180</v>
      </c>
      <c r="AF8" s="31" t="s">
        <v>281</v>
      </c>
      <c r="AG8" s="31" t="s">
        <v>139</v>
      </c>
      <c r="AH8" s="31" t="s">
        <v>139</v>
      </c>
      <c r="AI8" s="3"/>
      <c r="AJ8" s="31" t="s">
        <v>281</v>
      </c>
      <c r="AK8" s="31" t="s">
        <v>281</v>
      </c>
      <c r="AL8" s="31" t="s">
        <v>281</v>
      </c>
      <c r="AM8" s="31" t="s">
        <v>281</v>
      </c>
    </row>
    <row x14ac:dyDescent="0.25" r="9" customHeight="1" ht="15.75">
      <c r="A9" s="30" t="s">
        <v>45</v>
      </c>
      <c r="B9" s="33" t="s">
        <v>1181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139" t="s">
        <v>302</v>
      </c>
      <c r="J9" s="31" t="s">
        <v>302</v>
      </c>
      <c r="K9" s="31" t="s">
        <v>302</v>
      </c>
      <c r="L9" s="31" t="s">
        <v>302</v>
      </c>
      <c r="M9" s="31" t="s">
        <v>302</v>
      </c>
      <c r="N9" s="31" t="s">
        <v>302</v>
      </c>
      <c r="O9" s="31" t="s">
        <v>302</v>
      </c>
      <c r="P9" s="31" t="s">
        <v>302</v>
      </c>
      <c r="Q9" s="31" t="s">
        <v>302</v>
      </c>
      <c r="R9" s="31" t="s">
        <v>302</v>
      </c>
      <c r="S9" s="31" t="s">
        <v>302</v>
      </c>
      <c r="T9" s="31" t="s">
        <v>302</v>
      </c>
      <c r="U9" s="31" t="s">
        <v>302</v>
      </c>
      <c r="V9" s="31" t="s">
        <v>302</v>
      </c>
      <c r="W9" s="31" t="s">
        <v>302</v>
      </c>
      <c r="X9" s="31" t="s">
        <v>339</v>
      </c>
      <c r="Y9" s="31" t="s">
        <v>302</v>
      </c>
      <c r="Z9" s="33" t="s">
        <v>1181</v>
      </c>
      <c r="AA9" s="31" t="s">
        <v>302</v>
      </c>
      <c r="AB9" s="31" t="s">
        <v>302</v>
      </c>
      <c r="AC9" s="31" t="s">
        <v>302</v>
      </c>
      <c r="AD9" s="31" t="s">
        <v>302</v>
      </c>
      <c r="AE9" s="31" t="s">
        <v>302</v>
      </c>
      <c r="AF9" s="31" t="s">
        <v>302</v>
      </c>
      <c r="AG9" s="31" t="s">
        <v>139</v>
      </c>
      <c r="AH9" s="31" t="s">
        <v>139</v>
      </c>
      <c r="AI9" s="3"/>
      <c r="AJ9" s="31" t="s">
        <v>302</v>
      </c>
      <c r="AK9" s="31" t="s">
        <v>302</v>
      </c>
      <c r="AL9" s="31" t="s">
        <v>302</v>
      </c>
      <c r="AM9" s="31" t="s">
        <v>302</v>
      </c>
    </row>
    <row x14ac:dyDescent="0.25" r="10" customHeight="1" ht="18.75">
      <c r="A10" s="35" t="s">
        <v>47</v>
      </c>
      <c r="B10" s="117">
        <v>15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6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117">
        <v>19</v>
      </c>
      <c r="W10" s="117">
        <v>19</v>
      </c>
      <c r="X10" s="117">
        <v>2</v>
      </c>
      <c r="Y10" s="117">
        <v>19</v>
      </c>
      <c r="Z10" s="117">
        <v>15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</v>
      </c>
      <c r="AH10" s="117">
        <v>1</v>
      </c>
      <c r="AI10" s="3"/>
      <c r="AJ10" s="117">
        <v>19</v>
      </c>
      <c r="AK10" s="117">
        <v>19</v>
      </c>
      <c r="AL10" s="86">
        <v>19</v>
      </c>
      <c r="AM10" s="86">
        <v>19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140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3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3" t="s">
        <v>52</v>
      </c>
      <c r="AH11" s="33" t="s">
        <v>52</v>
      </c>
      <c r="AI11" s="3"/>
      <c r="AJ11" s="31" t="s">
        <v>52</v>
      </c>
      <c r="AK11" s="31" t="s">
        <v>52</v>
      </c>
      <c r="AL11" s="33" t="s">
        <v>52</v>
      </c>
      <c r="AM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139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52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1" t="s">
        <v>49</v>
      </c>
      <c r="AK12" s="31" t="s">
        <v>49</v>
      </c>
      <c r="AL12" s="31" t="s">
        <v>49</v>
      </c>
      <c r="AM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139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142" t="s">
        <v>49</v>
      </c>
      <c r="AK13" s="142" t="s">
        <v>49</v>
      </c>
      <c r="AL13" s="31" t="s">
        <v>49</v>
      </c>
      <c r="AM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139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114" t="s">
        <v>49</v>
      </c>
      <c r="AM14" s="114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139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1" t="s">
        <v>234</v>
      </c>
      <c r="W15" s="31" t="s">
        <v>234</v>
      </c>
      <c r="X15" s="31" t="s">
        <v>140</v>
      </c>
      <c r="Y15" s="31" t="s">
        <v>234</v>
      </c>
      <c r="Z15" s="31" t="s">
        <v>488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140</v>
      </c>
      <c r="AH15" s="31" t="s">
        <v>140</v>
      </c>
      <c r="AI15" s="3"/>
      <c r="AJ15" s="31" t="s">
        <v>234</v>
      </c>
      <c r="AK15" s="31" t="s">
        <v>234</v>
      </c>
      <c r="AL15" s="114" t="s">
        <v>234</v>
      </c>
      <c r="AM15" s="114" t="s">
        <v>234</v>
      </c>
    </row>
    <row x14ac:dyDescent="0.25" r="16" customHeight="1" ht="18.75">
      <c r="A16" s="30" t="s">
        <v>128</v>
      </c>
      <c r="B16" s="31">
        <v>-1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139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>
        <v>-3</v>
      </c>
      <c r="W16" s="31">
        <v>-3</v>
      </c>
      <c r="X16" s="31">
        <v>3</v>
      </c>
      <c r="Y16" s="31">
        <v>-3</v>
      </c>
      <c r="Z16" s="31">
        <v>-1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3</v>
      </c>
      <c r="AH16" s="31">
        <v>3</v>
      </c>
      <c r="AI16" s="3"/>
      <c r="AJ16" s="31">
        <v>-3</v>
      </c>
      <c r="AK16" s="31">
        <v>-3</v>
      </c>
      <c r="AL16" s="114">
        <v>-3</v>
      </c>
      <c r="AM16" s="114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139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  <c r="AI17" s="3"/>
      <c r="AJ17" s="31" t="s">
        <v>138</v>
      </c>
      <c r="AK17" s="31" t="s">
        <v>138</v>
      </c>
      <c r="AL17" s="114" t="s">
        <v>138</v>
      </c>
      <c r="AM17" s="114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139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  <c r="AI18" s="3"/>
      <c r="AJ18" s="31">
        <v>4</v>
      </c>
      <c r="AK18" s="31">
        <v>4</v>
      </c>
      <c r="AL18" s="114">
        <v>4</v>
      </c>
      <c r="AM18" s="114">
        <v>4</v>
      </c>
    </row>
    <row x14ac:dyDescent="0.25" r="19" customHeight="1" ht="18.7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2"/>
      <c r="AL19" s="2"/>
      <c r="AM19" s="2"/>
    </row>
    <row x14ac:dyDescent="0.25" r="20" customHeight="1" ht="18.75">
      <c r="A20" s="30" t="s">
        <v>43</v>
      </c>
      <c r="B20" s="177"/>
      <c r="C20" s="31" t="s">
        <v>483</v>
      </c>
      <c r="D20" s="31" t="s">
        <v>483</v>
      </c>
      <c r="E20" s="31" t="s">
        <v>775</v>
      </c>
      <c r="F20" s="31" t="s">
        <v>483</v>
      </c>
      <c r="G20" s="31" t="s">
        <v>483</v>
      </c>
      <c r="H20" s="31" t="s">
        <v>483</v>
      </c>
      <c r="I20" s="31" t="s">
        <v>483</v>
      </c>
      <c r="J20" s="31" t="s">
        <v>483</v>
      </c>
      <c r="K20" s="31" t="s">
        <v>483</v>
      </c>
      <c r="L20" s="139" t="s">
        <v>483</v>
      </c>
      <c r="M20" s="31" t="s">
        <v>483</v>
      </c>
      <c r="N20" s="143" t="s">
        <v>358</v>
      </c>
      <c r="O20" s="31" t="s">
        <v>483</v>
      </c>
      <c r="P20" s="143" t="s">
        <v>358</v>
      </c>
      <c r="Q20" s="143" t="s">
        <v>358</v>
      </c>
      <c r="R20" s="31" t="s">
        <v>486</v>
      </c>
      <c r="S20" s="143" t="s">
        <v>358</v>
      </c>
      <c r="T20" s="31" t="s">
        <v>483</v>
      </c>
      <c r="U20" s="31" t="s">
        <v>483</v>
      </c>
      <c r="V20" s="31" t="s">
        <v>483</v>
      </c>
      <c r="W20" s="31" t="s">
        <v>483</v>
      </c>
      <c r="X20" s="143" t="s">
        <v>358</v>
      </c>
      <c r="Y20" s="31" t="s">
        <v>483</v>
      </c>
      <c r="Z20" s="143" t="s">
        <v>358</v>
      </c>
      <c r="AA20" s="31" t="s">
        <v>483</v>
      </c>
      <c r="AB20" s="31" t="s">
        <v>483</v>
      </c>
      <c r="AC20" s="31" t="s">
        <v>483</v>
      </c>
      <c r="AD20" s="31" t="s">
        <v>483</v>
      </c>
      <c r="AE20" s="31" t="s">
        <v>483</v>
      </c>
      <c r="AF20" s="31" t="s">
        <v>483</v>
      </c>
      <c r="AG20" s="143" t="s">
        <v>358</v>
      </c>
      <c r="AH20" s="143" t="s">
        <v>358</v>
      </c>
      <c r="AI20" s="3"/>
      <c r="AJ20" s="143" t="s">
        <v>358</v>
      </c>
      <c r="AK20" s="143" t="s">
        <v>358</v>
      </c>
      <c r="AL20" s="143" t="s">
        <v>358</v>
      </c>
      <c r="AM20" s="143" t="s">
        <v>358</v>
      </c>
    </row>
    <row x14ac:dyDescent="0.25" r="21" customHeight="1" ht="18.75">
      <c r="A21" s="30" t="s">
        <v>45</v>
      </c>
      <c r="B21" s="219"/>
      <c r="C21" s="31" t="s">
        <v>486</v>
      </c>
      <c r="D21" s="31" t="s">
        <v>486</v>
      </c>
      <c r="E21" s="186" t="s">
        <v>776</v>
      </c>
      <c r="F21" s="31" t="s">
        <v>486</v>
      </c>
      <c r="G21" s="31" t="s">
        <v>486</v>
      </c>
      <c r="H21" s="31" t="s">
        <v>486</v>
      </c>
      <c r="I21" s="31" t="s">
        <v>486</v>
      </c>
      <c r="J21" s="31" t="s">
        <v>486</v>
      </c>
      <c r="K21" s="31" t="s">
        <v>486</v>
      </c>
      <c r="L21" s="139" t="s">
        <v>486</v>
      </c>
      <c r="M21" s="31" t="s">
        <v>486</v>
      </c>
      <c r="N21" s="146" t="s">
        <v>358</v>
      </c>
      <c r="O21" s="31" t="s">
        <v>486</v>
      </c>
      <c r="P21" s="146" t="s">
        <v>358</v>
      </c>
      <c r="Q21" s="146" t="s">
        <v>358</v>
      </c>
      <c r="R21" s="119" t="s">
        <v>776</v>
      </c>
      <c r="S21" s="146" t="s">
        <v>358</v>
      </c>
      <c r="T21" s="31" t="s">
        <v>486</v>
      </c>
      <c r="U21" s="31" t="s">
        <v>486</v>
      </c>
      <c r="V21" s="31" t="s">
        <v>486</v>
      </c>
      <c r="W21" s="31" t="s">
        <v>486</v>
      </c>
      <c r="X21" s="146" t="s">
        <v>358</v>
      </c>
      <c r="Y21" s="31" t="s">
        <v>486</v>
      </c>
      <c r="Z21" s="146" t="s">
        <v>358</v>
      </c>
      <c r="AA21" s="31" t="s">
        <v>486</v>
      </c>
      <c r="AB21" s="31" t="s">
        <v>486</v>
      </c>
      <c r="AC21" s="31" t="s">
        <v>486</v>
      </c>
      <c r="AD21" s="31" t="s">
        <v>486</v>
      </c>
      <c r="AE21" s="31" t="s">
        <v>486</v>
      </c>
      <c r="AF21" s="31" t="s">
        <v>486</v>
      </c>
      <c r="AG21" s="146" t="s">
        <v>358</v>
      </c>
      <c r="AH21" s="146" t="s">
        <v>358</v>
      </c>
      <c r="AI21" s="3"/>
      <c r="AJ21" s="146" t="s">
        <v>358</v>
      </c>
      <c r="AK21" s="146" t="s">
        <v>358</v>
      </c>
      <c r="AL21" s="146" t="s">
        <v>358</v>
      </c>
      <c r="AM21" s="146" t="s">
        <v>358</v>
      </c>
    </row>
    <row x14ac:dyDescent="0.25" r="22" customHeight="1" ht="18.75">
      <c r="A22" s="35" t="s">
        <v>47</v>
      </c>
      <c r="B22" s="219"/>
      <c r="C22" s="117">
        <v>97</v>
      </c>
      <c r="D22" s="117">
        <v>97</v>
      </c>
      <c r="E22" s="117">
        <v>134</v>
      </c>
      <c r="F22" s="117">
        <v>97</v>
      </c>
      <c r="G22" s="117">
        <v>97</v>
      </c>
      <c r="H22" s="117">
        <v>97</v>
      </c>
      <c r="I22" s="117">
        <v>97</v>
      </c>
      <c r="J22" s="117">
        <v>97</v>
      </c>
      <c r="K22" s="117">
        <v>97</v>
      </c>
      <c r="L22" s="167">
        <v>97</v>
      </c>
      <c r="M22" s="117">
        <v>97</v>
      </c>
      <c r="N22" s="144"/>
      <c r="O22" s="117">
        <v>97</v>
      </c>
      <c r="P22" s="144"/>
      <c r="Q22" s="144"/>
      <c r="R22" s="117">
        <v>134</v>
      </c>
      <c r="S22" s="144"/>
      <c r="T22" s="117">
        <v>97</v>
      </c>
      <c r="U22" s="117">
        <v>97</v>
      </c>
      <c r="V22" s="117">
        <v>97</v>
      </c>
      <c r="W22" s="117">
        <v>97</v>
      </c>
      <c r="X22" s="144"/>
      <c r="Y22" s="117">
        <v>97</v>
      </c>
      <c r="Z22" s="144"/>
      <c r="AA22" s="117">
        <v>97</v>
      </c>
      <c r="AB22" s="117">
        <v>97</v>
      </c>
      <c r="AC22" s="117">
        <v>97</v>
      </c>
      <c r="AD22" s="117">
        <v>97</v>
      </c>
      <c r="AE22" s="117">
        <v>97</v>
      </c>
      <c r="AF22" s="117">
        <v>97</v>
      </c>
      <c r="AG22" s="144"/>
      <c r="AH22" s="144"/>
      <c r="AI22" s="3"/>
      <c r="AJ22" s="144"/>
      <c r="AK22" s="144"/>
      <c r="AL22" s="144"/>
      <c r="AM22" s="144"/>
    </row>
    <row x14ac:dyDescent="0.25" r="23" customHeight="1" ht="18.75">
      <c r="A23" s="30" t="s">
        <v>123</v>
      </c>
      <c r="B23" s="177"/>
      <c r="C23" s="31" t="s">
        <v>52</v>
      </c>
      <c r="D23" s="31" t="s">
        <v>52</v>
      </c>
      <c r="E23" s="31" t="s">
        <v>162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139" t="s">
        <v>52</v>
      </c>
      <c r="M23" s="31" t="s">
        <v>52</v>
      </c>
      <c r="N23" s="143" t="s">
        <v>49</v>
      </c>
      <c r="O23" s="31" t="s">
        <v>52</v>
      </c>
      <c r="P23" s="143" t="s">
        <v>49</v>
      </c>
      <c r="Q23" s="143" t="s">
        <v>49</v>
      </c>
      <c r="R23" s="31" t="s">
        <v>162</v>
      </c>
      <c r="S23" s="143" t="s">
        <v>49</v>
      </c>
      <c r="T23" s="31" t="s">
        <v>52</v>
      </c>
      <c r="U23" s="31" t="s">
        <v>52</v>
      </c>
      <c r="V23" s="31" t="s">
        <v>52</v>
      </c>
      <c r="W23" s="31" t="s">
        <v>52</v>
      </c>
      <c r="X23" s="143" t="s">
        <v>49</v>
      </c>
      <c r="Y23" s="31" t="s">
        <v>52</v>
      </c>
      <c r="Z23" s="143" t="s">
        <v>49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143" t="s">
        <v>49</v>
      </c>
      <c r="AH23" s="143" t="s">
        <v>49</v>
      </c>
      <c r="AI23" s="3"/>
      <c r="AJ23" s="143" t="s">
        <v>49</v>
      </c>
      <c r="AK23" s="143" t="s">
        <v>49</v>
      </c>
      <c r="AL23" s="143" t="s">
        <v>49</v>
      </c>
      <c r="AM23" s="143" t="s">
        <v>49</v>
      </c>
    </row>
    <row x14ac:dyDescent="0.25" r="24" customHeight="1" ht="18.75">
      <c r="A24" s="30" t="s">
        <v>124</v>
      </c>
      <c r="B24" s="177"/>
      <c r="C24" s="31" t="s">
        <v>52</v>
      </c>
      <c r="D24" s="31" t="s">
        <v>52</v>
      </c>
      <c r="E24" s="31" t="s">
        <v>162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139" t="s">
        <v>52</v>
      </c>
      <c r="M24" s="31" t="s">
        <v>52</v>
      </c>
      <c r="N24" s="143" t="s">
        <v>49</v>
      </c>
      <c r="O24" s="31" t="s">
        <v>52</v>
      </c>
      <c r="P24" s="143" t="s">
        <v>49</v>
      </c>
      <c r="Q24" s="143" t="s">
        <v>49</v>
      </c>
      <c r="R24" s="31" t="s">
        <v>162</v>
      </c>
      <c r="S24" s="143" t="s">
        <v>49</v>
      </c>
      <c r="T24" s="31" t="s">
        <v>52</v>
      </c>
      <c r="U24" s="31" t="s">
        <v>52</v>
      </c>
      <c r="V24" s="31" t="s">
        <v>52</v>
      </c>
      <c r="W24" s="31" t="s">
        <v>52</v>
      </c>
      <c r="X24" s="143" t="s">
        <v>49</v>
      </c>
      <c r="Y24" s="31" t="s">
        <v>52</v>
      </c>
      <c r="Z24" s="143" t="s">
        <v>49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143" t="s">
        <v>49</v>
      </c>
      <c r="AH24" s="143" t="s">
        <v>49</v>
      </c>
      <c r="AI24" s="3"/>
      <c r="AJ24" s="143" t="s">
        <v>49</v>
      </c>
      <c r="AK24" s="143" t="s">
        <v>49</v>
      </c>
      <c r="AL24" s="143" t="s">
        <v>49</v>
      </c>
      <c r="AM24" s="143" t="s">
        <v>49</v>
      </c>
    </row>
    <row x14ac:dyDescent="0.25" r="25" customHeight="1" ht="18.75">
      <c r="A25" s="30" t="s">
        <v>125</v>
      </c>
      <c r="B25" s="177"/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139" t="s">
        <v>49</v>
      </c>
      <c r="M25" s="31" t="s">
        <v>49</v>
      </c>
      <c r="N25" s="143" t="s">
        <v>49</v>
      </c>
      <c r="O25" s="31" t="s">
        <v>49</v>
      </c>
      <c r="P25" s="143" t="s">
        <v>49</v>
      </c>
      <c r="Q25" s="143" t="s">
        <v>49</v>
      </c>
      <c r="R25" s="31" t="s">
        <v>49</v>
      </c>
      <c r="S25" s="143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143" t="s">
        <v>49</v>
      </c>
      <c r="Y25" s="31" t="s">
        <v>49</v>
      </c>
      <c r="Z25" s="143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143" t="s">
        <v>49</v>
      </c>
      <c r="AH25" s="143" t="s">
        <v>49</v>
      </c>
      <c r="AI25" s="3"/>
      <c r="AJ25" s="143" t="s">
        <v>49</v>
      </c>
      <c r="AK25" s="143" t="s">
        <v>49</v>
      </c>
      <c r="AL25" s="143" t="s">
        <v>49</v>
      </c>
      <c r="AM25" s="143" t="s">
        <v>49</v>
      </c>
    </row>
    <row x14ac:dyDescent="0.25" r="26" customHeight="1" ht="18.75">
      <c r="A26" s="30" t="s">
        <v>126</v>
      </c>
      <c r="B26" s="177"/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139" t="s">
        <v>49</v>
      </c>
      <c r="M26" s="31" t="s">
        <v>49</v>
      </c>
      <c r="N26" s="143" t="s">
        <v>49</v>
      </c>
      <c r="O26" s="31" t="s">
        <v>49</v>
      </c>
      <c r="P26" s="143" t="s">
        <v>49</v>
      </c>
      <c r="Q26" s="143" t="s">
        <v>49</v>
      </c>
      <c r="R26" s="31" t="s">
        <v>49</v>
      </c>
      <c r="S26" s="143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143" t="s">
        <v>49</v>
      </c>
      <c r="Y26" s="31" t="s">
        <v>49</v>
      </c>
      <c r="Z26" s="143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143" t="s">
        <v>49</v>
      </c>
      <c r="AH26" s="143" t="s">
        <v>49</v>
      </c>
      <c r="AI26" s="3"/>
      <c r="AJ26" s="143" t="s">
        <v>49</v>
      </c>
      <c r="AK26" s="143" t="s">
        <v>49</v>
      </c>
      <c r="AL26" s="143" t="s">
        <v>49</v>
      </c>
      <c r="AM26" s="143" t="s">
        <v>49</v>
      </c>
    </row>
    <row x14ac:dyDescent="0.25" r="27" customHeight="1" ht="18.75">
      <c r="A27" s="30" t="s">
        <v>127</v>
      </c>
      <c r="B27" s="177"/>
      <c r="C27" s="31" t="s">
        <v>488</v>
      </c>
      <c r="D27" s="31" t="s">
        <v>488</v>
      </c>
      <c r="E27" s="31" t="s">
        <v>488</v>
      </c>
      <c r="F27" s="31" t="s">
        <v>488</v>
      </c>
      <c r="G27" s="31" t="s">
        <v>488</v>
      </c>
      <c r="H27" s="31" t="s">
        <v>488</v>
      </c>
      <c r="I27" s="31" t="s">
        <v>488</v>
      </c>
      <c r="J27" s="31" t="s">
        <v>488</v>
      </c>
      <c r="K27" s="31" t="s">
        <v>488</v>
      </c>
      <c r="L27" s="139" t="s">
        <v>488</v>
      </c>
      <c r="M27" s="31" t="s">
        <v>488</v>
      </c>
      <c r="N27" s="143" t="s">
        <v>488</v>
      </c>
      <c r="O27" s="31" t="s">
        <v>488</v>
      </c>
      <c r="P27" s="143" t="s">
        <v>488</v>
      </c>
      <c r="Q27" s="143" t="s">
        <v>488</v>
      </c>
      <c r="R27" s="31" t="s">
        <v>488</v>
      </c>
      <c r="S27" s="143" t="s">
        <v>488</v>
      </c>
      <c r="T27" s="31" t="s">
        <v>488</v>
      </c>
      <c r="U27" s="31" t="s">
        <v>488</v>
      </c>
      <c r="V27" s="31" t="s">
        <v>488</v>
      </c>
      <c r="W27" s="31" t="s">
        <v>488</v>
      </c>
      <c r="X27" s="143" t="s">
        <v>488</v>
      </c>
      <c r="Y27" s="31" t="s">
        <v>488</v>
      </c>
      <c r="Z27" s="143" t="s">
        <v>488</v>
      </c>
      <c r="AA27" s="31" t="s">
        <v>488</v>
      </c>
      <c r="AB27" s="31" t="s">
        <v>488</v>
      </c>
      <c r="AC27" s="31" t="s">
        <v>488</v>
      </c>
      <c r="AD27" s="31" t="s">
        <v>488</v>
      </c>
      <c r="AE27" s="31" t="s">
        <v>488</v>
      </c>
      <c r="AF27" s="31" t="s">
        <v>488</v>
      </c>
      <c r="AG27" s="143" t="s">
        <v>488</v>
      </c>
      <c r="AH27" s="143" t="s">
        <v>488</v>
      </c>
      <c r="AI27" s="3"/>
      <c r="AJ27" s="143" t="s">
        <v>488</v>
      </c>
      <c r="AK27" s="143" t="s">
        <v>488</v>
      </c>
      <c r="AL27" s="143" t="s">
        <v>488</v>
      </c>
      <c r="AM27" s="143" t="s">
        <v>488</v>
      </c>
    </row>
    <row x14ac:dyDescent="0.25" r="28" customHeight="1" ht="18.75">
      <c r="A28" s="30" t="s">
        <v>128</v>
      </c>
      <c r="B28" s="177"/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139">
        <v>0</v>
      </c>
      <c r="M28" s="31">
        <v>0</v>
      </c>
      <c r="N28" s="143">
        <v>0</v>
      </c>
      <c r="O28" s="31">
        <v>0</v>
      </c>
      <c r="P28" s="143">
        <v>0</v>
      </c>
      <c r="Q28" s="143">
        <v>0</v>
      </c>
      <c r="R28" s="31">
        <v>0</v>
      </c>
      <c r="S28" s="143">
        <v>0</v>
      </c>
      <c r="T28" s="31">
        <v>0</v>
      </c>
      <c r="U28" s="31">
        <v>0</v>
      </c>
      <c r="V28" s="31">
        <v>0</v>
      </c>
      <c r="W28" s="31">
        <v>0</v>
      </c>
      <c r="X28" s="143">
        <v>0</v>
      </c>
      <c r="Y28" s="31">
        <v>0</v>
      </c>
      <c r="Z28" s="143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143">
        <v>0</v>
      </c>
      <c r="AH28" s="143">
        <v>0</v>
      </c>
      <c r="AI28" s="3"/>
      <c r="AJ28" s="143">
        <v>0</v>
      </c>
      <c r="AK28" s="143">
        <v>0</v>
      </c>
      <c r="AL28" s="143">
        <v>0</v>
      </c>
      <c r="AM28" s="143">
        <v>0</v>
      </c>
    </row>
    <row x14ac:dyDescent="0.25" r="29" customHeight="1" ht="18.75">
      <c r="A29" s="30" t="s">
        <v>129</v>
      </c>
      <c r="B29" s="177"/>
      <c r="C29" s="31" t="s">
        <v>134</v>
      </c>
      <c r="D29" s="31" t="s">
        <v>134</v>
      </c>
      <c r="E29" s="119" t="s">
        <v>369</v>
      </c>
      <c r="F29" s="31" t="s">
        <v>134</v>
      </c>
      <c r="G29" s="31" t="s">
        <v>134</v>
      </c>
      <c r="H29" s="31" t="s">
        <v>134</v>
      </c>
      <c r="I29" s="31" t="s">
        <v>134</v>
      </c>
      <c r="J29" s="31" t="s">
        <v>134</v>
      </c>
      <c r="K29" s="31" t="s">
        <v>134</v>
      </c>
      <c r="L29" s="139" t="s">
        <v>134</v>
      </c>
      <c r="M29" s="31" t="s">
        <v>134</v>
      </c>
      <c r="N29" s="143" t="s">
        <v>358</v>
      </c>
      <c r="O29" s="31" t="s">
        <v>134</v>
      </c>
      <c r="P29" s="143" t="s">
        <v>358</v>
      </c>
      <c r="Q29" s="143" t="s">
        <v>358</v>
      </c>
      <c r="R29" s="119" t="s">
        <v>369</v>
      </c>
      <c r="S29" s="143" t="s">
        <v>358</v>
      </c>
      <c r="T29" s="31" t="s">
        <v>134</v>
      </c>
      <c r="U29" s="31" t="s">
        <v>134</v>
      </c>
      <c r="V29" s="31" t="s">
        <v>134</v>
      </c>
      <c r="W29" s="31" t="s">
        <v>134</v>
      </c>
      <c r="X29" s="143" t="s">
        <v>358</v>
      </c>
      <c r="Y29" s="31" t="s">
        <v>134</v>
      </c>
      <c r="Z29" s="143" t="s">
        <v>358</v>
      </c>
      <c r="AA29" s="31" t="s">
        <v>134</v>
      </c>
      <c r="AB29" s="31" t="s">
        <v>134</v>
      </c>
      <c r="AC29" s="31" t="s">
        <v>134</v>
      </c>
      <c r="AD29" s="31" t="s">
        <v>134</v>
      </c>
      <c r="AE29" s="31" t="s">
        <v>134</v>
      </c>
      <c r="AF29" s="31" t="s">
        <v>134</v>
      </c>
      <c r="AG29" s="143" t="s">
        <v>358</v>
      </c>
      <c r="AH29" s="143" t="s">
        <v>358</v>
      </c>
      <c r="AI29" s="3"/>
      <c r="AJ29" s="143" t="s">
        <v>358</v>
      </c>
      <c r="AK29" s="143" t="s">
        <v>358</v>
      </c>
      <c r="AL29" s="143" t="s">
        <v>358</v>
      </c>
      <c r="AM29" s="143" t="s">
        <v>358</v>
      </c>
    </row>
    <row x14ac:dyDescent="0.25" r="30" customHeight="1" ht="18.75">
      <c r="A30" s="30" t="s">
        <v>130</v>
      </c>
      <c r="B30" s="177"/>
      <c r="C30" s="31">
        <f>1/3</f>
      </c>
      <c r="D30" s="31">
        <f>1/3</f>
      </c>
      <c r="E30" s="31">
        <f>AVERAGE(1/3,0)</f>
      </c>
      <c r="F30" s="31">
        <f>1/3</f>
      </c>
      <c r="G30" s="31">
        <f>1/3</f>
      </c>
      <c r="H30" s="31">
        <f>1/3</f>
      </c>
      <c r="I30" s="31">
        <f>1/3</f>
      </c>
      <c r="J30" s="31">
        <f>1/3</f>
      </c>
      <c r="K30" s="31">
        <f>1/3</f>
      </c>
      <c r="L30" s="31">
        <f>1/3</f>
      </c>
      <c r="M30" s="31">
        <f>1/3</f>
      </c>
      <c r="N30" s="143">
        <v>0</v>
      </c>
      <c r="O30" s="31">
        <f>1/3</f>
      </c>
      <c r="P30" s="143">
        <v>0</v>
      </c>
      <c r="Q30" s="143">
        <v>0</v>
      </c>
      <c r="R30" s="31">
        <f>AVERAGE(1/3,0)</f>
      </c>
      <c r="S30" s="143">
        <v>0</v>
      </c>
      <c r="T30" s="31">
        <f>1/3</f>
      </c>
      <c r="U30" s="31">
        <f>1/3</f>
      </c>
      <c r="V30" s="31">
        <f>1/3</f>
      </c>
      <c r="W30" s="31">
        <f>1/3</f>
      </c>
      <c r="X30" s="143">
        <v>0</v>
      </c>
      <c r="Y30" s="31">
        <f>1/3</f>
      </c>
      <c r="Z30" s="143">
        <v>0</v>
      </c>
      <c r="AA30" s="31">
        <f>1/3</f>
      </c>
      <c r="AB30" s="31">
        <f>1/3</f>
      </c>
      <c r="AC30" s="31">
        <f>1/3</f>
      </c>
      <c r="AD30" s="31">
        <f>1/3</f>
      </c>
      <c r="AE30" s="31">
        <f>1/3</f>
      </c>
      <c r="AF30" s="31">
        <f>1/3</f>
      </c>
      <c r="AG30" s="143">
        <v>0</v>
      </c>
      <c r="AH30" s="143">
        <v>0</v>
      </c>
      <c r="AI30" s="3"/>
      <c r="AJ30" s="143">
        <v>0</v>
      </c>
      <c r="AK30" s="143">
        <v>0</v>
      </c>
      <c r="AL30" s="143">
        <v>0</v>
      </c>
      <c r="AM30" s="143">
        <v>0</v>
      </c>
    </row>
    <row x14ac:dyDescent="0.25" r="31" customHeight="1" ht="15.7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38" t="s">
        <v>1203</v>
      </c>
      <c r="Y31" s="138"/>
      <c r="Z31" s="2"/>
      <c r="AA31" s="2"/>
      <c r="AB31" s="2"/>
      <c r="AC31" s="2"/>
      <c r="AD31" s="2"/>
      <c r="AE31" s="2"/>
      <c r="AF31" s="2"/>
      <c r="AG31" s="2"/>
      <c r="AH31" s="138" t="s">
        <v>1203</v>
      </c>
      <c r="AI31" s="3"/>
      <c r="AJ31" s="121" t="s">
        <v>1204</v>
      </c>
      <c r="AK31" s="121"/>
      <c r="AL31" s="121"/>
      <c r="AM31" s="121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2"/>
      <c r="AL32" s="2"/>
      <c r="AM32" s="2"/>
    </row>
    <row x14ac:dyDescent="0.25" r="33" customHeight="1" ht="18.75">
      <c r="A33" s="207" t="s">
        <v>1205</v>
      </c>
      <c r="B33" s="40" t="s">
        <v>1206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2"/>
      <c r="AL33" s="2"/>
      <c r="AM33" s="2"/>
    </row>
    <row x14ac:dyDescent="0.25" r="34" customHeight="1" ht="18.75">
      <c r="A34" s="123"/>
      <c r="B34" s="40" t="s">
        <v>1207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  <c r="AL34" s="2"/>
      <c r="AM34" s="2"/>
    </row>
    <row x14ac:dyDescent="0.25" r="35" customHeight="1" ht="18.75">
      <c r="A35" s="123"/>
      <c r="B35" s="40" t="s">
        <v>1198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2"/>
      <c r="AL35" s="2"/>
      <c r="AM35" s="2"/>
    </row>
    <row x14ac:dyDescent="0.25" r="36" customHeight="1" ht="18.75">
      <c r="A36" s="217" t="s">
        <v>1208</v>
      </c>
      <c r="B36" s="40" t="s">
        <v>1209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2"/>
      <c r="AL36" s="2"/>
      <c r="AM36" s="2"/>
    </row>
  </sheetData>
  <mergeCells count="8">
    <mergeCell ref="B3:D3"/>
    <mergeCell ref="F3:O3"/>
    <mergeCell ref="B4:D4"/>
    <mergeCell ref="F4:O5"/>
    <mergeCell ref="B5:D5"/>
    <mergeCell ref="X31:Y31"/>
    <mergeCell ref="AJ31:AM31"/>
    <mergeCell ref="A33:A35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38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2"/>
      <c r="AM1" s="2"/>
      <c r="AN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  <c r="AL2" s="2"/>
      <c r="AM2" s="2"/>
      <c r="AN2" s="2"/>
    </row>
    <row x14ac:dyDescent="0.25" r="3" customHeight="1" ht="18.75">
      <c r="A3" s="1" t="s">
        <v>2</v>
      </c>
      <c r="B3" s="5">
        <v>40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2"/>
      <c r="AM3" s="2"/>
      <c r="AN3" s="2"/>
    </row>
    <row x14ac:dyDescent="0.25" r="4" customHeight="1" ht="18.75">
      <c r="A4" s="1" t="s">
        <v>4</v>
      </c>
      <c r="B4" s="7" t="s">
        <v>1174</v>
      </c>
      <c r="C4" s="7"/>
      <c r="D4" s="7"/>
      <c r="E4" s="2"/>
      <c r="F4" s="124" t="s">
        <v>1193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2"/>
      <c r="AM4" s="2"/>
      <c r="AN4" s="2"/>
    </row>
    <row x14ac:dyDescent="0.25" r="5" customHeight="1" ht="18.75">
      <c r="A5" s="1" t="s">
        <v>7</v>
      </c>
      <c r="B5" s="7" t="s">
        <v>1194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2"/>
      <c r="AM5" s="2"/>
      <c r="AN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2"/>
      <c r="AM6" s="2"/>
      <c r="AN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56" t="s">
        <v>42</v>
      </c>
      <c r="AI7" s="3"/>
      <c r="AJ7" s="53" t="s">
        <v>19</v>
      </c>
      <c r="AK7" s="53" t="s">
        <v>20</v>
      </c>
      <c r="AL7" s="53" t="s">
        <v>21</v>
      </c>
      <c r="AM7" s="103" t="s">
        <v>26</v>
      </c>
      <c r="AN7" s="147" t="s">
        <v>31</v>
      </c>
    </row>
    <row x14ac:dyDescent="0.25" r="8" customHeight="1" ht="18.75">
      <c r="A8" s="30" t="s">
        <v>43</v>
      </c>
      <c r="B8" s="31" t="s">
        <v>1176</v>
      </c>
      <c r="C8" s="114" t="s">
        <v>281</v>
      </c>
      <c r="D8" s="114" t="s">
        <v>281</v>
      </c>
      <c r="E8" s="114" t="s">
        <v>281</v>
      </c>
      <c r="F8" s="114" t="s">
        <v>281</v>
      </c>
      <c r="G8" s="114" t="s">
        <v>281</v>
      </c>
      <c r="H8" s="114" t="s">
        <v>281</v>
      </c>
      <c r="I8" s="114" t="s">
        <v>281</v>
      </c>
      <c r="J8" s="114" t="s">
        <v>281</v>
      </c>
      <c r="K8" s="114" t="s">
        <v>281</v>
      </c>
      <c r="L8" s="114" t="s">
        <v>281</v>
      </c>
      <c r="M8" s="114" t="s">
        <v>281</v>
      </c>
      <c r="N8" s="114" t="s">
        <v>281</v>
      </c>
      <c r="O8" s="114" t="s">
        <v>281</v>
      </c>
      <c r="P8" s="114" t="s">
        <v>1044</v>
      </c>
      <c r="Q8" s="114" t="s">
        <v>1044</v>
      </c>
      <c r="R8" s="114" t="s">
        <v>281</v>
      </c>
      <c r="S8" s="114" t="s">
        <v>1044</v>
      </c>
      <c r="T8" s="114" t="s">
        <v>1180</v>
      </c>
      <c r="U8" s="114" t="s">
        <v>1180</v>
      </c>
      <c r="V8" s="114" t="s">
        <v>1180</v>
      </c>
      <c r="W8" s="114" t="s">
        <v>281</v>
      </c>
      <c r="X8" s="31" t="s">
        <v>339</v>
      </c>
      <c r="Y8" s="114" t="s">
        <v>281</v>
      </c>
      <c r="Z8" s="31" t="s">
        <v>1044</v>
      </c>
      <c r="AA8" s="31" t="s">
        <v>1180</v>
      </c>
      <c r="AB8" s="31" t="s">
        <v>1180</v>
      </c>
      <c r="AC8" s="31" t="s">
        <v>1180</v>
      </c>
      <c r="AD8" s="31" t="s">
        <v>1180</v>
      </c>
      <c r="AE8" s="31" t="s">
        <v>1180</v>
      </c>
      <c r="AF8" s="31" t="s">
        <v>281</v>
      </c>
      <c r="AG8" s="31" t="s">
        <v>139</v>
      </c>
      <c r="AH8" s="31" t="s">
        <v>139</v>
      </c>
      <c r="AI8" s="3"/>
      <c r="AJ8" s="31" t="s">
        <v>1180</v>
      </c>
      <c r="AK8" s="114" t="s">
        <v>1180</v>
      </c>
      <c r="AL8" s="114" t="s">
        <v>1180</v>
      </c>
      <c r="AM8" s="31" t="s">
        <v>281</v>
      </c>
      <c r="AN8" s="114" t="s">
        <v>281</v>
      </c>
    </row>
    <row x14ac:dyDescent="0.25" r="9" customHeight="1" ht="18.75">
      <c r="A9" s="30" t="s">
        <v>45</v>
      </c>
      <c r="B9" s="33" t="s">
        <v>1181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31" t="s">
        <v>302</v>
      </c>
      <c r="J9" s="31" t="s">
        <v>302</v>
      </c>
      <c r="K9" s="31" t="s">
        <v>302</v>
      </c>
      <c r="L9" s="31" t="s">
        <v>302</v>
      </c>
      <c r="M9" s="31" t="s">
        <v>302</v>
      </c>
      <c r="N9" s="31" t="s">
        <v>302</v>
      </c>
      <c r="O9" s="31" t="s">
        <v>302</v>
      </c>
      <c r="P9" s="31" t="s">
        <v>302</v>
      </c>
      <c r="Q9" s="31" t="s">
        <v>302</v>
      </c>
      <c r="R9" s="31" t="s">
        <v>302</v>
      </c>
      <c r="S9" s="31" t="s">
        <v>302</v>
      </c>
      <c r="T9" s="31" t="s">
        <v>302</v>
      </c>
      <c r="U9" s="31" t="s">
        <v>302</v>
      </c>
      <c r="V9" s="31" t="s">
        <v>302</v>
      </c>
      <c r="W9" s="31" t="s">
        <v>302</v>
      </c>
      <c r="X9" s="31" t="s">
        <v>339</v>
      </c>
      <c r="Y9" s="31" t="s">
        <v>302</v>
      </c>
      <c r="Z9" s="33" t="s">
        <v>1181</v>
      </c>
      <c r="AA9" s="31" t="s">
        <v>302</v>
      </c>
      <c r="AB9" s="31" t="s">
        <v>302</v>
      </c>
      <c r="AC9" s="31" t="s">
        <v>302</v>
      </c>
      <c r="AD9" s="31" t="s">
        <v>302</v>
      </c>
      <c r="AE9" s="31" t="s">
        <v>302</v>
      </c>
      <c r="AF9" s="31" t="s">
        <v>302</v>
      </c>
      <c r="AG9" s="31" t="s">
        <v>139</v>
      </c>
      <c r="AH9" s="31" t="s">
        <v>139</v>
      </c>
      <c r="AI9" s="3"/>
      <c r="AJ9" s="33" t="s">
        <v>302</v>
      </c>
      <c r="AK9" s="31" t="s">
        <v>302</v>
      </c>
      <c r="AL9" s="31" t="s">
        <v>302</v>
      </c>
      <c r="AM9" s="31" t="s">
        <v>302</v>
      </c>
      <c r="AN9" s="31" t="s">
        <v>302</v>
      </c>
    </row>
    <row x14ac:dyDescent="0.25" r="10" customHeight="1" ht="18.75">
      <c r="A10" s="35" t="s">
        <v>47</v>
      </c>
      <c r="B10" s="117">
        <v>15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117">
        <v>19</v>
      </c>
      <c r="W10" s="117">
        <v>19</v>
      </c>
      <c r="X10" s="117">
        <v>2</v>
      </c>
      <c r="Y10" s="117">
        <v>19</v>
      </c>
      <c r="Z10" s="117">
        <v>15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</v>
      </c>
      <c r="AH10" s="117">
        <v>1</v>
      </c>
      <c r="AI10" s="3"/>
      <c r="AJ10" s="117">
        <v>19</v>
      </c>
      <c r="AK10" s="117">
        <v>19</v>
      </c>
      <c r="AL10" s="117">
        <v>19</v>
      </c>
      <c r="AM10" s="117">
        <v>19</v>
      </c>
      <c r="AN10" s="117">
        <v>19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  <c r="AI11" s="3"/>
      <c r="AJ11" s="33" t="s">
        <v>52</v>
      </c>
      <c r="AK11" s="33" t="s">
        <v>52</v>
      </c>
      <c r="AL11" s="33" t="s">
        <v>52</v>
      </c>
      <c r="AM11" s="33" t="s">
        <v>52</v>
      </c>
      <c r="AN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3" t="s">
        <v>52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1" t="s">
        <v>49</v>
      </c>
      <c r="AK12" s="31" t="s">
        <v>49</v>
      </c>
      <c r="AL12" s="31" t="s">
        <v>49</v>
      </c>
      <c r="AM12" s="31" t="s">
        <v>49</v>
      </c>
      <c r="AN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  <c r="AK13" s="31" t="s">
        <v>49</v>
      </c>
      <c r="AL13" s="31" t="s">
        <v>49</v>
      </c>
      <c r="AM13" s="31" t="s">
        <v>49</v>
      </c>
      <c r="AN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1" t="s">
        <v>234</v>
      </c>
      <c r="W15" s="31" t="s">
        <v>234</v>
      </c>
      <c r="X15" s="31" t="s">
        <v>140</v>
      </c>
      <c r="Y15" s="31" t="s">
        <v>234</v>
      </c>
      <c r="Z15" s="31" t="s">
        <v>488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140</v>
      </c>
      <c r="AH15" s="31" t="s">
        <v>140</v>
      </c>
      <c r="AI15" s="3"/>
      <c r="AJ15" s="31" t="s">
        <v>234</v>
      </c>
      <c r="AK15" s="31" t="s">
        <v>234</v>
      </c>
      <c r="AL15" s="31" t="s">
        <v>234</v>
      </c>
      <c r="AM15" s="31" t="s">
        <v>234</v>
      </c>
      <c r="AN15" s="31" t="s">
        <v>234</v>
      </c>
    </row>
    <row x14ac:dyDescent="0.25" r="16" customHeight="1" ht="18.75">
      <c r="A16" s="30" t="s">
        <v>128</v>
      </c>
      <c r="B16" s="31">
        <v>-1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>
        <v>-3</v>
      </c>
      <c r="W16" s="31">
        <v>-3</v>
      </c>
      <c r="X16" s="31">
        <v>3</v>
      </c>
      <c r="Y16" s="31">
        <v>-3</v>
      </c>
      <c r="Z16" s="31">
        <v>-1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3</v>
      </c>
      <c r="AH16" s="31">
        <v>3</v>
      </c>
      <c r="AI16" s="3"/>
      <c r="AJ16" s="31">
        <v>-3</v>
      </c>
      <c r="AK16" s="31">
        <v>-3</v>
      </c>
      <c r="AL16" s="31">
        <v>-3</v>
      </c>
      <c r="AM16" s="31">
        <v>-3</v>
      </c>
      <c r="AN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  <c r="AI17" s="3"/>
      <c r="AJ17" s="31" t="s">
        <v>138</v>
      </c>
      <c r="AK17" s="31" t="s">
        <v>138</v>
      </c>
      <c r="AL17" s="31" t="s">
        <v>138</v>
      </c>
      <c r="AM17" s="31" t="s">
        <v>138</v>
      </c>
      <c r="AN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  <c r="AI18" s="3"/>
      <c r="AJ18" s="31">
        <v>4</v>
      </c>
      <c r="AK18" s="31">
        <v>4</v>
      </c>
      <c r="AL18" s="31">
        <v>4</v>
      </c>
      <c r="AM18" s="31">
        <v>4</v>
      </c>
      <c r="AN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2"/>
      <c r="AL19" s="2"/>
      <c r="AM19" s="2"/>
      <c r="AN19" s="2"/>
    </row>
    <row x14ac:dyDescent="0.25" r="20" customHeight="1" ht="18.75">
      <c r="A20" s="30" t="s">
        <v>43</v>
      </c>
      <c r="B20" s="177"/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143" t="s">
        <v>358</v>
      </c>
      <c r="S20" s="143" t="s">
        <v>358</v>
      </c>
      <c r="T20" s="31" t="s">
        <v>483</v>
      </c>
      <c r="U20" s="31" t="s">
        <v>483</v>
      </c>
      <c r="V20" s="31" t="s">
        <v>483</v>
      </c>
      <c r="W20" s="143" t="s">
        <v>358</v>
      </c>
      <c r="X20" s="143" t="s">
        <v>358</v>
      </c>
      <c r="Y20" s="143" t="s">
        <v>358</v>
      </c>
      <c r="Z20" s="143" t="s">
        <v>358</v>
      </c>
      <c r="AA20" s="31" t="s">
        <v>483</v>
      </c>
      <c r="AB20" s="31" t="s">
        <v>483</v>
      </c>
      <c r="AC20" s="31" t="s">
        <v>483</v>
      </c>
      <c r="AD20" s="31" t="s">
        <v>483</v>
      </c>
      <c r="AE20" s="31" t="s">
        <v>483</v>
      </c>
      <c r="AF20" s="31" t="s">
        <v>483</v>
      </c>
      <c r="AG20" s="143" t="s">
        <v>358</v>
      </c>
      <c r="AH20" s="143" t="s">
        <v>358</v>
      </c>
      <c r="AI20" s="3"/>
      <c r="AJ20" s="31" t="s">
        <v>483</v>
      </c>
      <c r="AK20" s="31" t="s">
        <v>483</v>
      </c>
      <c r="AL20" s="31" t="s">
        <v>483</v>
      </c>
      <c r="AM20" s="31" t="s">
        <v>1182</v>
      </c>
      <c r="AN20" s="31" t="s">
        <v>483</v>
      </c>
    </row>
    <row x14ac:dyDescent="0.25" r="21" customHeight="1" ht="18.75">
      <c r="A21" s="30" t="s">
        <v>45</v>
      </c>
      <c r="B21" s="219"/>
      <c r="C21" s="146" t="s">
        <v>358</v>
      </c>
      <c r="D21" s="146" t="s">
        <v>358</v>
      </c>
      <c r="E21" s="146" t="s">
        <v>358</v>
      </c>
      <c r="F21" s="146" t="s">
        <v>358</v>
      </c>
      <c r="G21" s="146" t="s">
        <v>358</v>
      </c>
      <c r="H21" s="146" t="s">
        <v>358</v>
      </c>
      <c r="I21" s="146" t="s">
        <v>358</v>
      </c>
      <c r="J21" s="146" t="s">
        <v>358</v>
      </c>
      <c r="K21" s="146" t="s">
        <v>358</v>
      </c>
      <c r="L21" s="146" t="s">
        <v>358</v>
      </c>
      <c r="M21" s="146" t="s">
        <v>358</v>
      </c>
      <c r="N21" s="146" t="s">
        <v>358</v>
      </c>
      <c r="O21" s="146" t="s">
        <v>358</v>
      </c>
      <c r="P21" s="146" t="s">
        <v>358</v>
      </c>
      <c r="Q21" s="146" t="s">
        <v>358</v>
      </c>
      <c r="R21" s="146" t="s">
        <v>358</v>
      </c>
      <c r="S21" s="146" t="s">
        <v>358</v>
      </c>
      <c r="T21" s="31" t="s">
        <v>486</v>
      </c>
      <c r="U21" s="31" t="s">
        <v>486</v>
      </c>
      <c r="V21" s="186" t="s">
        <v>776</v>
      </c>
      <c r="W21" s="146" t="s">
        <v>358</v>
      </c>
      <c r="X21" s="146" t="s">
        <v>358</v>
      </c>
      <c r="Y21" s="146" t="s">
        <v>358</v>
      </c>
      <c r="Z21" s="146" t="s">
        <v>358</v>
      </c>
      <c r="AA21" s="31" t="s">
        <v>486</v>
      </c>
      <c r="AB21" s="31" t="s">
        <v>486</v>
      </c>
      <c r="AC21" s="31" t="s">
        <v>486</v>
      </c>
      <c r="AD21" s="31" t="s">
        <v>486</v>
      </c>
      <c r="AE21" s="31" t="s">
        <v>486</v>
      </c>
      <c r="AF21" s="31" t="s">
        <v>486</v>
      </c>
      <c r="AG21" s="146" t="s">
        <v>358</v>
      </c>
      <c r="AH21" s="146" t="s">
        <v>358</v>
      </c>
      <c r="AI21" s="3"/>
      <c r="AJ21" s="31" t="s">
        <v>486</v>
      </c>
      <c r="AK21" s="31" t="s">
        <v>486</v>
      </c>
      <c r="AL21" s="31" t="s">
        <v>486</v>
      </c>
      <c r="AM21" s="186" t="s">
        <v>776</v>
      </c>
      <c r="AN21" s="186" t="s">
        <v>776</v>
      </c>
    </row>
    <row x14ac:dyDescent="0.25" r="22" customHeight="1" ht="18.75">
      <c r="A22" s="35" t="s">
        <v>47</v>
      </c>
      <c r="B22" s="219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17">
        <v>97</v>
      </c>
      <c r="U22" s="117">
        <v>97</v>
      </c>
      <c r="V22" s="117">
        <v>134</v>
      </c>
      <c r="W22" s="144"/>
      <c r="X22" s="144"/>
      <c r="Y22" s="144"/>
      <c r="Z22" s="144"/>
      <c r="AA22" s="117">
        <v>97</v>
      </c>
      <c r="AB22" s="117">
        <v>97</v>
      </c>
      <c r="AC22" s="117">
        <v>97</v>
      </c>
      <c r="AD22" s="117">
        <v>97</v>
      </c>
      <c r="AE22" s="117">
        <v>97</v>
      </c>
      <c r="AF22" s="117">
        <v>97</v>
      </c>
      <c r="AG22" s="144"/>
      <c r="AH22" s="144"/>
      <c r="AI22" s="3"/>
      <c r="AJ22" s="117">
        <v>97</v>
      </c>
      <c r="AK22" s="117">
        <v>97</v>
      </c>
      <c r="AL22" s="117">
        <v>97</v>
      </c>
      <c r="AM22" s="117">
        <v>134</v>
      </c>
      <c r="AN22" s="117">
        <v>134</v>
      </c>
    </row>
    <row x14ac:dyDescent="0.25" r="23" customHeight="1" ht="18.75">
      <c r="A23" s="30" t="s">
        <v>123</v>
      </c>
      <c r="B23" s="177"/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143" t="s">
        <v>49</v>
      </c>
      <c r="S23" s="143" t="s">
        <v>49</v>
      </c>
      <c r="T23" s="31" t="s">
        <v>52</v>
      </c>
      <c r="U23" s="31" t="s">
        <v>52</v>
      </c>
      <c r="V23" s="31" t="s">
        <v>162</v>
      </c>
      <c r="W23" s="143" t="s">
        <v>49</v>
      </c>
      <c r="X23" s="143" t="s">
        <v>49</v>
      </c>
      <c r="Y23" s="143" t="s">
        <v>49</v>
      </c>
      <c r="Z23" s="143" t="s">
        <v>49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143" t="s">
        <v>49</v>
      </c>
      <c r="AH23" s="143" t="s">
        <v>49</v>
      </c>
      <c r="AI23" s="3"/>
      <c r="AJ23" s="31" t="s">
        <v>52</v>
      </c>
      <c r="AK23" s="31" t="s">
        <v>52</v>
      </c>
      <c r="AL23" s="31" t="s">
        <v>52</v>
      </c>
      <c r="AM23" s="31" t="s">
        <v>162</v>
      </c>
      <c r="AN23" s="31" t="s">
        <v>162</v>
      </c>
    </row>
    <row x14ac:dyDescent="0.25" r="24" customHeight="1" ht="18.75">
      <c r="A24" s="30" t="s">
        <v>124</v>
      </c>
      <c r="B24" s="177"/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143" t="s">
        <v>49</v>
      </c>
      <c r="S24" s="143" t="s">
        <v>49</v>
      </c>
      <c r="T24" s="31" t="s">
        <v>52</v>
      </c>
      <c r="U24" s="31" t="s">
        <v>52</v>
      </c>
      <c r="V24" s="31" t="s">
        <v>162</v>
      </c>
      <c r="W24" s="143" t="s">
        <v>49</v>
      </c>
      <c r="X24" s="143" t="s">
        <v>49</v>
      </c>
      <c r="Y24" s="143" t="s">
        <v>49</v>
      </c>
      <c r="Z24" s="143" t="s">
        <v>49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143" t="s">
        <v>49</v>
      </c>
      <c r="AH24" s="143" t="s">
        <v>49</v>
      </c>
      <c r="AI24" s="3"/>
      <c r="AJ24" s="31" t="s">
        <v>52</v>
      </c>
      <c r="AK24" s="31" t="s">
        <v>52</v>
      </c>
      <c r="AL24" s="31" t="s">
        <v>52</v>
      </c>
      <c r="AM24" s="31" t="s">
        <v>162</v>
      </c>
      <c r="AN24" s="31" t="s">
        <v>162</v>
      </c>
    </row>
    <row x14ac:dyDescent="0.25" r="25" customHeight="1" ht="18.75">
      <c r="A25" s="30" t="s">
        <v>125</v>
      </c>
      <c r="B25" s="177"/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143" t="s">
        <v>49</v>
      </c>
      <c r="S25" s="143" t="s">
        <v>49</v>
      </c>
      <c r="T25" s="31" t="s">
        <v>49</v>
      </c>
      <c r="U25" s="31" t="s">
        <v>49</v>
      </c>
      <c r="V25" s="31" t="s">
        <v>49</v>
      </c>
      <c r="W25" s="143" t="s">
        <v>49</v>
      </c>
      <c r="X25" s="143" t="s">
        <v>49</v>
      </c>
      <c r="Y25" s="143" t="s">
        <v>49</v>
      </c>
      <c r="Z25" s="143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143" t="s">
        <v>49</v>
      </c>
      <c r="AH25" s="143" t="s">
        <v>49</v>
      </c>
      <c r="AI25" s="3"/>
      <c r="AJ25" s="31" t="s">
        <v>49</v>
      </c>
      <c r="AK25" s="31" t="s">
        <v>49</v>
      </c>
      <c r="AL25" s="31" t="s">
        <v>49</v>
      </c>
      <c r="AM25" s="31" t="s">
        <v>49</v>
      </c>
      <c r="AN25" s="31" t="s">
        <v>49</v>
      </c>
    </row>
    <row x14ac:dyDescent="0.25" r="26" customHeight="1" ht="18.75">
      <c r="A26" s="30" t="s">
        <v>126</v>
      </c>
      <c r="B26" s="177"/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143" t="s">
        <v>49</v>
      </c>
      <c r="S26" s="143" t="s">
        <v>49</v>
      </c>
      <c r="T26" s="31" t="s">
        <v>49</v>
      </c>
      <c r="U26" s="31" t="s">
        <v>49</v>
      </c>
      <c r="V26" s="31" t="s">
        <v>49</v>
      </c>
      <c r="W26" s="143" t="s">
        <v>49</v>
      </c>
      <c r="X26" s="143" t="s">
        <v>49</v>
      </c>
      <c r="Y26" s="143" t="s">
        <v>49</v>
      </c>
      <c r="Z26" s="143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143" t="s">
        <v>49</v>
      </c>
      <c r="AH26" s="143" t="s">
        <v>49</v>
      </c>
      <c r="AI26" s="3"/>
      <c r="AJ26" s="31" t="s">
        <v>49</v>
      </c>
      <c r="AK26" s="31" t="s">
        <v>49</v>
      </c>
      <c r="AL26" s="31" t="s">
        <v>49</v>
      </c>
      <c r="AM26" s="31" t="s">
        <v>49</v>
      </c>
      <c r="AN26" s="31" t="s">
        <v>49</v>
      </c>
    </row>
    <row x14ac:dyDescent="0.25" r="27" customHeight="1" ht="18.75">
      <c r="A27" s="30" t="s">
        <v>127</v>
      </c>
      <c r="B27" s="177"/>
      <c r="C27" s="143" t="s">
        <v>488</v>
      </c>
      <c r="D27" s="143" t="s">
        <v>488</v>
      </c>
      <c r="E27" s="143" t="s">
        <v>488</v>
      </c>
      <c r="F27" s="143" t="s">
        <v>488</v>
      </c>
      <c r="G27" s="143" t="s">
        <v>488</v>
      </c>
      <c r="H27" s="143" t="s">
        <v>488</v>
      </c>
      <c r="I27" s="143" t="s">
        <v>488</v>
      </c>
      <c r="J27" s="143" t="s">
        <v>488</v>
      </c>
      <c r="K27" s="143" t="s">
        <v>488</v>
      </c>
      <c r="L27" s="143" t="s">
        <v>488</v>
      </c>
      <c r="M27" s="143" t="s">
        <v>488</v>
      </c>
      <c r="N27" s="143" t="s">
        <v>488</v>
      </c>
      <c r="O27" s="143" t="s">
        <v>488</v>
      </c>
      <c r="P27" s="143" t="s">
        <v>488</v>
      </c>
      <c r="Q27" s="143" t="s">
        <v>488</v>
      </c>
      <c r="R27" s="143" t="s">
        <v>488</v>
      </c>
      <c r="S27" s="143" t="s">
        <v>488</v>
      </c>
      <c r="T27" s="31" t="s">
        <v>488</v>
      </c>
      <c r="U27" s="31" t="s">
        <v>488</v>
      </c>
      <c r="V27" s="31" t="s">
        <v>488</v>
      </c>
      <c r="W27" s="143" t="s">
        <v>488</v>
      </c>
      <c r="X27" s="143" t="s">
        <v>488</v>
      </c>
      <c r="Y27" s="143" t="s">
        <v>488</v>
      </c>
      <c r="Z27" s="143" t="s">
        <v>488</v>
      </c>
      <c r="AA27" s="31" t="s">
        <v>488</v>
      </c>
      <c r="AB27" s="31" t="s">
        <v>488</v>
      </c>
      <c r="AC27" s="31" t="s">
        <v>488</v>
      </c>
      <c r="AD27" s="31" t="s">
        <v>488</v>
      </c>
      <c r="AE27" s="31" t="s">
        <v>488</v>
      </c>
      <c r="AF27" s="31" t="s">
        <v>488</v>
      </c>
      <c r="AG27" s="143" t="s">
        <v>488</v>
      </c>
      <c r="AH27" s="143" t="s">
        <v>488</v>
      </c>
      <c r="AI27" s="3"/>
      <c r="AJ27" s="31" t="s">
        <v>488</v>
      </c>
      <c r="AK27" s="31" t="s">
        <v>488</v>
      </c>
      <c r="AL27" s="31" t="s">
        <v>488</v>
      </c>
      <c r="AM27" s="31" t="s">
        <v>488</v>
      </c>
      <c r="AN27" s="31" t="s">
        <v>488</v>
      </c>
    </row>
    <row x14ac:dyDescent="0.25" r="28" customHeight="1" ht="18.75">
      <c r="A28" s="30" t="s">
        <v>128</v>
      </c>
      <c r="B28" s="177"/>
      <c r="C28" s="143">
        <v>0</v>
      </c>
      <c r="D28" s="143">
        <v>0</v>
      </c>
      <c r="E28" s="143">
        <v>0</v>
      </c>
      <c r="F28" s="143">
        <v>0</v>
      </c>
      <c r="G28" s="143">
        <v>0</v>
      </c>
      <c r="H28" s="143">
        <v>0</v>
      </c>
      <c r="I28" s="143">
        <v>0</v>
      </c>
      <c r="J28" s="143">
        <v>0</v>
      </c>
      <c r="K28" s="143">
        <v>0</v>
      </c>
      <c r="L28" s="143">
        <v>0</v>
      </c>
      <c r="M28" s="143">
        <v>0</v>
      </c>
      <c r="N28" s="143">
        <v>0</v>
      </c>
      <c r="O28" s="143">
        <v>0</v>
      </c>
      <c r="P28" s="143">
        <v>0</v>
      </c>
      <c r="Q28" s="143">
        <v>0</v>
      </c>
      <c r="R28" s="143">
        <v>0</v>
      </c>
      <c r="S28" s="143">
        <v>0</v>
      </c>
      <c r="T28" s="31">
        <v>0</v>
      </c>
      <c r="U28" s="31">
        <v>0</v>
      </c>
      <c r="V28" s="31">
        <v>0</v>
      </c>
      <c r="W28" s="143">
        <v>0</v>
      </c>
      <c r="X28" s="143">
        <v>0</v>
      </c>
      <c r="Y28" s="143">
        <v>0</v>
      </c>
      <c r="Z28" s="143">
        <v>0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0</v>
      </c>
      <c r="AG28" s="143">
        <v>0</v>
      </c>
      <c r="AH28" s="143">
        <v>0</v>
      </c>
      <c r="AI28" s="3"/>
      <c r="AJ28" s="31">
        <v>0</v>
      </c>
      <c r="AK28" s="31">
        <v>0</v>
      </c>
      <c r="AL28" s="31">
        <v>0</v>
      </c>
      <c r="AM28" s="31">
        <v>0</v>
      </c>
      <c r="AN28" s="31">
        <v>0</v>
      </c>
    </row>
    <row x14ac:dyDescent="0.25" r="29" customHeight="1" ht="18.75">
      <c r="A29" s="30" t="s">
        <v>129</v>
      </c>
      <c r="B29" s="177"/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143" t="s">
        <v>358</v>
      </c>
      <c r="S29" s="143" t="s">
        <v>358</v>
      </c>
      <c r="T29" s="31" t="s">
        <v>134</v>
      </c>
      <c r="U29" s="31" t="s">
        <v>134</v>
      </c>
      <c r="V29" s="119" t="s">
        <v>369</v>
      </c>
      <c r="W29" s="143" t="s">
        <v>358</v>
      </c>
      <c r="X29" s="143" t="s">
        <v>358</v>
      </c>
      <c r="Y29" s="143" t="s">
        <v>358</v>
      </c>
      <c r="Z29" s="143" t="s">
        <v>358</v>
      </c>
      <c r="AA29" s="31" t="s">
        <v>134</v>
      </c>
      <c r="AB29" s="31" t="s">
        <v>134</v>
      </c>
      <c r="AC29" s="31" t="s">
        <v>134</v>
      </c>
      <c r="AD29" s="31" t="s">
        <v>134</v>
      </c>
      <c r="AE29" s="31" t="s">
        <v>134</v>
      </c>
      <c r="AF29" s="31" t="s">
        <v>134</v>
      </c>
      <c r="AG29" s="143" t="s">
        <v>358</v>
      </c>
      <c r="AH29" s="143" t="s">
        <v>358</v>
      </c>
      <c r="AI29" s="3"/>
      <c r="AJ29" s="31" t="s">
        <v>134</v>
      </c>
      <c r="AK29" s="31" t="s">
        <v>134</v>
      </c>
      <c r="AL29" s="31" t="s">
        <v>134</v>
      </c>
      <c r="AM29" s="119" t="s">
        <v>369</v>
      </c>
      <c r="AN29" s="119" t="s">
        <v>369</v>
      </c>
    </row>
    <row x14ac:dyDescent="0.25" r="30" customHeight="1" ht="18.75">
      <c r="A30" s="30" t="s">
        <v>130</v>
      </c>
      <c r="B30" s="177"/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143">
        <v>0</v>
      </c>
      <c r="S30" s="143">
        <v>0</v>
      </c>
      <c r="T30" s="31">
        <f>1/3</f>
      </c>
      <c r="U30" s="31">
        <f>1/3</f>
      </c>
      <c r="V30" s="31">
        <f>AVERAGE(1/3,0)</f>
      </c>
      <c r="W30" s="143">
        <v>0</v>
      </c>
      <c r="X30" s="143">
        <v>0</v>
      </c>
      <c r="Y30" s="143">
        <v>0</v>
      </c>
      <c r="Z30" s="143">
        <v>0</v>
      </c>
      <c r="AA30" s="31">
        <f>1/3</f>
      </c>
      <c r="AB30" s="31">
        <f>1/3</f>
      </c>
      <c r="AC30" s="31">
        <f>1/3</f>
      </c>
      <c r="AD30" s="31">
        <f>1/3</f>
      </c>
      <c r="AE30" s="31">
        <f>1/3</f>
      </c>
      <c r="AF30" s="31">
        <f>1/3</f>
      </c>
      <c r="AG30" s="143">
        <v>0</v>
      </c>
      <c r="AH30" s="143">
        <v>0</v>
      </c>
      <c r="AI30" s="3"/>
      <c r="AJ30" s="31">
        <f>1/3</f>
      </c>
      <c r="AK30" s="31">
        <f>1/3</f>
      </c>
      <c r="AL30" s="31">
        <f>1/3</f>
      </c>
      <c r="AM30" s="31">
        <f>AVERAGE(1/3,0)</f>
      </c>
      <c r="AN30" s="31">
        <f>AVERAGE(1/3,0)</f>
      </c>
    </row>
    <row x14ac:dyDescent="0.25" r="31" customHeight="1" ht="18.75">
      <c r="A31" s="46"/>
      <c r="B31" s="2"/>
      <c r="C31" s="2"/>
      <c r="D31" s="2"/>
      <c r="E31" s="2"/>
      <c r="F31" s="2"/>
      <c r="G31" s="2"/>
      <c r="H31" s="2"/>
      <c r="I31" s="2"/>
      <c r="J31" s="2"/>
      <c r="K31" s="121" t="s">
        <v>1195</v>
      </c>
      <c r="L31" s="121"/>
      <c r="M31" s="121"/>
      <c r="N31" s="2"/>
      <c r="O31" s="2"/>
      <c r="P31" s="2"/>
      <c r="Q31" s="2"/>
      <c r="R31" s="150" t="s">
        <v>1195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121" t="s">
        <v>1196</v>
      </c>
      <c r="AK31" s="121"/>
      <c r="AL31" s="121"/>
      <c r="AM31" s="121"/>
      <c r="AN31" s="2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2"/>
      <c r="AL32" s="2"/>
      <c r="AM32" s="2"/>
      <c r="AN32" s="2"/>
    </row>
    <row x14ac:dyDescent="0.25" r="33" customHeight="1" ht="18.75">
      <c r="A33" s="209" t="s">
        <v>1197</v>
      </c>
      <c r="B33" s="40" t="s">
        <v>1186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2"/>
      <c r="AL33" s="2"/>
      <c r="AM33" s="2"/>
      <c r="AN33" s="2"/>
    </row>
    <row x14ac:dyDescent="0.25" r="34" customHeight="1" ht="18.75">
      <c r="A34" s="30"/>
      <c r="B34" s="40" t="s">
        <v>1189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  <c r="AL34" s="2"/>
      <c r="AM34" s="2"/>
      <c r="AN34" s="2"/>
    </row>
    <row x14ac:dyDescent="0.25" r="35" customHeight="1" ht="18.75">
      <c r="A35" s="30"/>
      <c r="B35" s="40" t="s">
        <v>1198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2"/>
      <c r="AL35" s="2"/>
      <c r="AM35" s="2"/>
      <c r="AN35" s="2"/>
    </row>
    <row x14ac:dyDescent="0.25" r="36" customHeight="1" ht="18.75">
      <c r="A36" s="209" t="s">
        <v>1199</v>
      </c>
      <c r="B36" s="40" t="s">
        <v>1186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2"/>
      <c r="AL36" s="2"/>
      <c r="AM36" s="2"/>
      <c r="AN36" s="2"/>
    </row>
    <row x14ac:dyDescent="0.25" r="37" customHeight="1" ht="18.75">
      <c r="A37" s="30"/>
      <c r="B37" s="40" t="s">
        <v>1200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2"/>
      <c r="AL37" s="2"/>
      <c r="AM37" s="2"/>
      <c r="AN37" s="2"/>
    </row>
    <row x14ac:dyDescent="0.25" r="38" customHeight="1" ht="18.75">
      <c r="A38" s="30"/>
      <c r="B38" s="40" t="s">
        <v>1198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"/>
      <c r="AJ38" s="2"/>
      <c r="AK38" s="2"/>
      <c r="AL38" s="2"/>
      <c r="AM38" s="2"/>
      <c r="AN38" s="2"/>
    </row>
  </sheetData>
  <mergeCells count="9">
    <mergeCell ref="B3:D3"/>
    <mergeCell ref="F3:O3"/>
    <mergeCell ref="B4:D4"/>
    <mergeCell ref="F4:O5"/>
    <mergeCell ref="B5:D5"/>
    <mergeCell ref="K31:M31"/>
    <mergeCell ref="AJ31:AM31"/>
    <mergeCell ref="A33:A35"/>
    <mergeCell ref="A36:A38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41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1174</v>
      </c>
      <c r="C4" s="7"/>
      <c r="D4" s="7"/>
      <c r="E4" s="2"/>
      <c r="F4" s="124" t="s">
        <v>1190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1191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1176</v>
      </c>
      <c r="C8" s="31" t="s">
        <v>281</v>
      </c>
      <c r="D8" s="31" t="s">
        <v>281</v>
      </c>
      <c r="E8" s="31" t="s">
        <v>281</v>
      </c>
      <c r="F8" s="31" t="s">
        <v>281</v>
      </c>
      <c r="G8" s="31" t="s">
        <v>281</v>
      </c>
      <c r="H8" s="31" t="s">
        <v>281</v>
      </c>
      <c r="I8" s="31" t="s">
        <v>281</v>
      </c>
      <c r="J8" s="31" t="s">
        <v>281</v>
      </c>
      <c r="K8" s="31" t="s">
        <v>281</v>
      </c>
      <c r="L8" s="31" t="s">
        <v>281</v>
      </c>
      <c r="M8" s="31" t="s">
        <v>281</v>
      </c>
      <c r="N8" s="31" t="s">
        <v>281</v>
      </c>
      <c r="O8" s="31" t="s">
        <v>281</v>
      </c>
      <c r="P8" s="31" t="s">
        <v>281</v>
      </c>
      <c r="Q8" s="31" t="s">
        <v>281</v>
      </c>
      <c r="R8" s="31" t="s">
        <v>281</v>
      </c>
      <c r="S8" s="31" t="s">
        <v>281</v>
      </c>
      <c r="T8" s="31" t="s">
        <v>281</v>
      </c>
      <c r="U8" s="31" t="s">
        <v>281</v>
      </c>
      <c r="V8" s="31" t="s">
        <v>281</v>
      </c>
      <c r="W8" s="31" t="s">
        <v>281</v>
      </c>
      <c r="X8" s="31" t="s">
        <v>281</v>
      </c>
      <c r="Y8" s="31" t="s">
        <v>281</v>
      </c>
      <c r="Z8" s="31" t="s">
        <v>281</v>
      </c>
      <c r="AA8" s="31" t="s">
        <v>281</v>
      </c>
      <c r="AB8" s="31" t="s">
        <v>281</v>
      </c>
      <c r="AC8" s="31" t="s">
        <v>281</v>
      </c>
      <c r="AD8" s="31" t="s">
        <v>281</v>
      </c>
      <c r="AE8" s="31" t="s">
        <v>281</v>
      </c>
      <c r="AF8" s="31" t="s">
        <v>281</v>
      </c>
      <c r="AG8" s="31" t="s">
        <v>281</v>
      </c>
      <c r="AH8" s="31" t="s">
        <v>281</v>
      </c>
    </row>
    <row x14ac:dyDescent="0.25" r="9" customHeight="1" ht="18.75">
      <c r="A9" s="30" t="s">
        <v>45</v>
      </c>
      <c r="B9" s="33" t="s">
        <v>1181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31" t="s">
        <v>302</v>
      </c>
      <c r="J9" s="31" t="s">
        <v>302</v>
      </c>
      <c r="K9" s="31" t="s">
        <v>302</v>
      </c>
      <c r="L9" s="31" t="s">
        <v>302</v>
      </c>
      <c r="M9" s="31" t="s">
        <v>302</v>
      </c>
      <c r="N9" s="31" t="s">
        <v>302</v>
      </c>
      <c r="O9" s="31" t="s">
        <v>302</v>
      </c>
      <c r="P9" s="31" t="s">
        <v>302</v>
      </c>
      <c r="Q9" s="31" t="s">
        <v>302</v>
      </c>
      <c r="R9" s="31" t="s">
        <v>302</v>
      </c>
      <c r="S9" s="31" t="s">
        <v>302</v>
      </c>
      <c r="T9" s="31" t="s">
        <v>302</v>
      </c>
      <c r="U9" s="31" t="s">
        <v>302</v>
      </c>
      <c r="V9" s="31" t="s">
        <v>302</v>
      </c>
      <c r="W9" s="31" t="s">
        <v>302</v>
      </c>
      <c r="X9" s="31" t="s">
        <v>302</v>
      </c>
      <c r="Y9" s="31" t="s">
        <v>302</v>
      </c>
      <c r="Z9" s="31" t="s">
        <v>302</v>
      </c>
      <c r="AA9" s="31" t="s">
        <v>302</v>
      </c>
      <c r="AB9" s="31" t="s">
        <v>302</v>
      </c>
      <c r="AC9" s="31" t="s">
        <v>302</v>
      </c>
      <c r="AD9" s="31" t="s">
        <v>302</v>
      </c>
      <c r="AE9" s="31" t="s">
        <v>302</v>
      </c>
      <c r="AF9" s="31" t="s">
        <v>302</v>
      </c>
      <c r="AG9" s="31" t="s">
        <v>302</v>
      </c>
      <c r="AH9" s="31" t="s">
        <v>302</v>
      </c>
    </row>
    <row x14ac:dyDescent="0.25" r="10" customHeight="1" ht="18.75">
      <c r="A10" s="35" t="s">
        <v>47</v>
      </c>
      <c r="B10" s="117">
        <v>15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117">
        <v>19</v>
      </c>
      <c r="W10" s="117">
        <v>19</v>
      </c>
      <c r="X10" s="117">
        <v>19</v>
      </c>
      <c r="Y10" s="117">
        <v>19</v>
      </c>
      <c r="Z10" s="117">
        <v>19</v>
      </c>
      <c r="AA10" s="117">
        <v>19</v>
      </c>
      <c r="AB10" s="117">
        <v>19</v>
      </c>
      <c r="AC10" s="117">
        <v>19</v>
      </c>
      <c r="AD10" s="117">
        <v>19</v>
      </c>
      <c r="AE10" s="117">
        <v>19</v>
      </c>
      <c r="AF10" s="117">
        <v>19</v>
      </c>
      <c r="AG10" s="117">
        <v>19</v>
      </c>
      <c r="AH10" s="117">
        <v>19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1" t="s">
        <v>234</v>
      </c>
      <c r="W15" s="31" t="s">
        <v>234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1" t="s">
        <v>234</v>
      </c>
      <c r="AC15" s="31" t="s">
        <v>234</v>
      </c>
      <c r="AD15" s="31" t="s">
        <v>234</v>
      </c>
      <c r="AE15" s="31" t="s">
        <v>234</v>
      </c>
      <c r="AF15" s="31" t="s">
        <v>234</v>
      </c>
      <c r="AG15" s="31" t="s">
        <v>234</v>
      </c>
      <c r="AH15" s="31" t="s">
        <v>234</v>
      </c>
    </row>
    <row x14ac:dyDescent="0.25" r="16" customHeight="1" ht="18.75">
      <c r="A16" s="30" t="s">
        <v>128</v>
      </c>
      <c r="B16" s="31">
        <v>-1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>
        <v>-3</v>
      </c>
      <c r="W16" s="31">
        <v>-3</v>
      </c>
      <c r="X16" s="31">
        <v>-3</v>
      </c>
      <c r="Y16" s="31">
        <v>-3</v>
      </c>
      <c r="Z16" s="31">
        <v>-3</v>
      </c>
      <c r="AA16" s="31">
        <v>-3</v>
      </c>
      <c r="AB16" s="31">
        <v>-3</v>
      </c>
      <c r="AC16" s="31">
        <v>-3</v>
      </c>
      <c r="AD16" s="31">
        <v>-3</v>
      </c>
      <c r="AE16" s="31">
        <v>-3</v>
      </c>
      <c r="AF16" s="31">
        <v>-3</v>
      </c>
      <c r="AG16" s="31">
        <v>-3</v>
      </c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138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1" t="s">
        <v>138</v>
      </c>
      <c r="AC17" s="31" t="s">
        <v>138</v>
      </c>
      <c r="AD17" s="31" t="s">
        <v>138</v>
      </c>
      <c r="AE17" s="31" t="s">
        <v>138</v>
      </c>
      <c r="AF17" s="31" t="s">
        <v>138</v>
      </c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v>4</v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>
        <v>4</v>
      </c>
      <c r="AC18" s="31">
        <v>4</v>
      </c>
      <c r="AD18" s="31">
        <v>4</v>
      </c>
      <c r="AE18" s="31">
        <v>4</v>
      </c>
      <c r="AF18" s="31">
        <v>4</v>
      </c>
      <c r="AG18" s="31">
        <v>4</v>
      </c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0" t="s">
        <v>43</v>
      </c>
      <c r="B20" s="177"/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143" t="s">
        <v>358</v>
      </c>
      <c r="S20" s="143" t="s">
        <v>358</v>
      </c>
      <c r="T20" s="143" t="s">
        <v>358</v>
      </c>
      <c r="U20" s="143" t="s">
        <v>358</v>
      </c>
      <c r="V20" s="143" t="s">
        <v>358</v>
      </c>
      <c r="W20" s="143" t="s">
        <v>358</v>
      </c>
      <c r="X20" s="143" t="s">
        <v>358</v>
      </c>
      <c r="Y20" s="143" t="s">
        <v>358</v>
      </c>
      <c r="Z20" s="143" t="s">
        <v>358</v>
      </c>
      <c r="AA20" s="143" t="s">
        <v>358</v>
      </c>
      <c r="AB20" s="143" t="s">
        <v>358</v>
      </c>
      <c r="AC20" s="143" t="s">
        <v>358</v>
      </c>
      <c r="AD20" s="143" t="s">
        <v>358</v>
      </c>
      <c r="AE20" s="143" t="s">
        <v>358</v>
      </c>
      <c r="AF20" s="143" t="s">
        <v>358</v>
      </c>
      <c r="AG20" s="143" t="s">
        <v>358</v>
      </c>
      <c r="AH20" s="143" t="s">
        <v>358</v>
      </c>
    </row>
    <row x14ac:dyDescent="0.25" r="21" customHeight="1" ht="18.75">
      <c r="A21" s="30" t="s">
        <v>45</v>
      </c>
      <c r="B21" s="219"/>
      <c r="C21" s="146" t="s">
        <v>358</v>
      </c>
      <c r="D21" s="146" t="s">
        <v>358</v>
      </c>
      <c r="E21" s="146" t="s">
        <v>358</v>
      </c>
      <c r="F21" s="146" t="s">
        <v>358</v>
      </c>
      <c r="G21" s="146" t="s">
        <v>358</v>
      </c>
      <c r="H21" s="146" t="s">
        <v>358</v>
      </c>
      <c r="I21" s="146" t="s">
        <v>358</v>
      </c>
      <c r="J21" s="146" t="s">
        <v>358</v>
      </c>
      <c r="K21" s="146" t="s">
        <v>358</v>
      </c>
      <c r="L21" s="146" t="s">
        <v>358</v>
      </c>
      <c r="M21" s="146" t="s">
        <v>358</v>
      </c>
      <c r="N21" s="146" t="s">
        <v>358</v>
      </c>
      <c r="O21" s="146" t="s">
        <v>358</v>
      </c>
      <c r="P21" s="146" t="s">
        <v>358</v>
      </c>
      <c r="Q21" s="146" t="s">
        <v>358</v>
      </c>
      <c r="R21" s="146" t="s">
        <v>358</v>
      </c>
      <c r="S21" s="146" t="s">
        <v>358</v>
      </c>
      <c r="T21" s="146" t="s">
        <v>358</v>
      </c>
      <c r="U21" s="146" t="s">
        <v>358</v>
      </c>
      <c r="V21" s="146" t="s">
        <v>358</v>
      </c>
      <c r="W21" s="146" t="s">
        <v>358</v>
      </c>
      <c r="X21" s="146" t="s">
        <v>358</v>
      </c>
      <c r="Y21" s="146" t="s">
        <v>358</v>
      </c>
      <c r="Z21" s="146" t="s">
        <v>358</v>
      </c>
      <c r="AA21" s="146" t="s">
        <v>358</v>
      </c>
      <c r="AB21" s="146" t="s">
        <v>358</v>
      </c>
      <c r="AC21" s="146" t="s">
        <v>358</v>
      </c>
      <c r="AD21" s="146" t="s">
        <v>358</v>
      </c>
      <c r="AE21" s="146" t="s">
        <v>358</v>
      </c>
      <c r="AF21" s="146" t="s">
        <v>358</v>
      </c>
      <c r="AG21" s="146" t="s">
        <v>358</v>
      </c>
      <c r="AH21" s="146" t="s">
        <v>358</v>
      </c>
    </row>
    <row x14ac:dyDescent="0.25" r="22" customHeight="1" ht="18.75">
      <c r="A22" s="35" t="s">
        <v>47</v>
      </c>
      <c r="B22" s="219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</row>
    <row x14ac:dyDescent="0.25" r="23" customHeight="1" ht="18.75">
      <c r="A23" s="30" t="s">
        <v>123</v>
      </c>
      <c r="B23" s="177"/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143" t="s">
        <v>49</v>
      </c>
      <c r="S23" s="143" t="s">
        <v>49</v>
      </c>
      <c r="T23" s="143" t="s">
        <v>49</v>
      </c>
      <c r="U23" s="143" t="s">
        <v>49</v>
      </c>
      <c r="V23" s="143" t="s">
        <v>49</v>
      </c>
      <c r="W23" s="143" t="s">
        <v>49</v>
      </c>
      <c r="X23" s="143" t="s">
        <v>49</v>
      </c>
      <c r="Y23" s="143" t="s">
        <v>49</v>
      </c>
      <c r="Z23" s="143" t="s">
        <v>49</v>
      </c>
      <c r="AA23" s="143" t="s">
        <v>49</v>
      </c>
      <c r="AB23" s="143" t="s">
        <v>49</v>
      </c>
      <c r="AC23" s="143" t="s">
        <v>49</v>
      </c>
      <c r="AD23" s="143" t="s">
        <v>49</v>
      </c>
      <c r="AE23" s="143" t="s">
        <v>49</v>
      </c>
      <c r="AF23" s="143" t="s">
        <v>49</v>
      </c>
      <c r="AG23" s="143" t="s">
        <v>49</v>
      </c>
      <c r="AH23" s="143" t="s">
        <v>49</v>
      </c>
    </row>
    <row x14ac:dyDescent="0.25" r="24" customHeight="1" ht="18.75">
      <c r="A24" s="30" t="s">
        <v>124</v>
      </c>
      <c r="B24" s="177"/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143" t="s">
        <v>49</v>
      </c>
      <c r="S24" s="143" t="s">
        <v>49</v>
      </c>
      <c r="T24" s="143" t="s">
        <v>49</v>
      </c>
      <c r="U24" s="143" t="s">
        <v>49</v>
      </c>
      <c r="V24" s="143" t="s">
        <v>49</v>
      </c>
      <c r="W24" s="143" t="s">
        <v>49</v>
      </c>
      <c r="X24" s="143" t="s">
        <v>49</v>
      </c>
      <c r="Y24" s="143" t="s">
        <v>49</v>
      </c>
      <c r="Z24" s="143" t="s">
        <v>49</v>
      </c>
      <c r="AA24" s="143" t="s">
        <v>49</v>
      </c>
      <c r="AB24" s="143" t="s">
        <v>49</v>
      </c>
      <c r="AC24" s="143" t="s">
        <v>49</v>
      </c>
      <c r="AD24" s="143" t="s">
        <v>49</v>
      </c>
      <c r="AE24" s="143" t="s">
        <v>49</v>
      </c>
      <c r="AF24" s="143" t="s">
        <v>49</v>
      </c>
      <c r="AG24" s="143" t="s">
        <v>49</v>
      </c>
      <c r="AH24" s="143" t="s">
        <v>49</v>
      </c>
    </row>
    <row x14ac:dyDescent="0.25" r="25" customHeight="1" ht="18.75">
      <c r="A25" s="30" t="s">
        <v>125</v>
      </c>
      <c r="B25" s="177"/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143" t="s">
        <v>49</v>
      </c>
      <c r="S25" s="143" t="s">
        <v>49</v>
      </c>
      <c r="T25" s="143" t="s">
        <v>49</v>
      </c>
      <c r="U25" s="143" t="s">
        <v>49</v>
      </c>
      <c r="V25" s="143" t="s">
        <v>49</v>
      </c>
      <c r="W25" s="143" t="s">
        <v>49</v>
      </c>
      <c r="X25" s="143" t="s">
        <v>49</v>
      </c>
      <c r="Y25" s="143" t="s">
        <v>49</v>
      </c>
      <c r="Z25" s="143" t="s">
        <v>49</v>
      </c>
      <c r="AA25" s="143" t="s">
        <v>49</v>
      </c>
      <c r="AB25" s="143" t="s">
        <v>49</v>
      </c>
      <c r="AC25" s="143" t="s">
        <v>49</v>
      </c>
      <c r="AD25" s="143" t="s">
        <v>49</v>
      </c>
      <c r="AE25" s="143" t="s">
        <v>49</v>
      </c>
      <c r="AF25" s="143" t="s">
        <v>49</v>
      </c>
      <c r="AG25" s="143" t="s">
        <v>49</v>
      </c>
      <c r="AH25" s="143" t="s">
        <v>49</v>
      </c>
    </row>
    <row x14ac:dyDescent="0.25" r="26" customHeight="1" ht="18.75">
      <c r="A26" s="30" t="s">
        <v>126</v>
      </c>
      <c r="B26" s="177"/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143" t="s">
        <v>49</v>
      </c>
      <c r="S26" s="143" t="s">
        <v>49</v>
      </c>
      <c r="T26" s="143" t="s">
        <v>49</v>
      </c>
      <c r="U26" s="143" t="s">
        <v>49</v>
      </c>
      <c r="V26" s="143" t="s">
        <v>49</v>
      </c>
      <c r="W26" s="143" t="s">
        <v>49</v>
      </c>
      <c r="X26" s="143" t="s">
        <v>49</v>
      </c>
      <c r="Y26" s="143" t="s">
        <v>49</v>
      </c>
      <c r="Z26" s="143" t="s">
        <v>49</v>
      </c>
      <c r="AA26" s="143" t="s">
        <v>49</v>
      </c>
      <c r="AB26" s="143" t="s">
        <v>49</v>
      </c>
      <c r="AC26" s="143" t="s">
        <v>49</v>
      </c>
      <c r="AD26" s="143" t="s">
        <v>49</v>
      </c>
      <c r="AE26" s="143" t="s">
        <v>49</v>
      </c>
      <c r="AF26" s="143" t="s">
        <v>49</v>
      </c>
      <c r="AG26" s="143" t="s">
        <v>49</v>
      </c>
      <c r="AH26" s="143" t="s">
        <v>49</v>
      </c>
    </row>
    <row x14ac:dyDescent="0.25" r="27" customHeight="1" ht="18.75">
      <c r="A27" s="30" t="s">
        <v>127</v>
      </c>
      <c r="B27" s="177"/>
      <c r="C27" s="143" t="s">
        <v>488</v>
      </c>
      <c r="D27" s="143" t="s">
        <v>488</v>
      </c>
      <c r="E27" s="143" t="s">
        <v>488</v>
      </c>
      <c r="F27" s="143" t="s">
        <v>488</v>
      </c>
      <c r="G27" s="143" t="s">
        <v>488</v>
      </c>
      <c r="H27" s="143" t="s">
        <v>488</v>
      </c>
      <c r="I27" s="143" t="s">
        <v>488</v>
      </c>
      <c r="J27" s="143" t="s">
        <v>488</v>
      </c>
      <c r="K27" s="143" t="s">
        <v>488</v>
      </c>
      <c r="L27" s="143" t="s">
        <v>488</v>
      </c>
      <c r="M27" s="143" t="s">
        <v>488</v>
      </c>
      <c r="N27" s="143" t="s">
        <v>488</v>
      </c>
      <c r="O27" s="143" t="s">
        <v>488</v>
      </c>
      <c r="P27" s="143" t="s">
        <v>488</v>
      </c>
      <c r="Q27" s="143" t="s">
        <v>488</v>
      </c>
      <c r="R27" s="143" t="s">
        <v>488</v>
      </c>
      <c r="S27" s="143" t="s">
        <v>488</v>
      </c>
      <c r="T27" s="143" t="s">
        <v>488</v>
      </c>
      <c r="U27" s="143" t="s">
        <v>488</v>
      </c>
      <c r="V27" s="143" t="s">
        <v>488</v>
      </c>
      <c r="W27" s="143" t="s">
        <v>488</v>
      </c>
      <c r="X27" s="143" t="s">
        <v>488</v>
      </c>
      <c r="Y27" s="143" t="s">
        <v>488</v>
      </c>
      <c r="Z27" s="143" t="s">
        <v>488</v>
      </c>
      <c r="AA27" s="143" t="s">
        <v>488</v>
      </c>
      <c r="AB27" s="143" t="s">
        <v>488</v>
      </c>
      <c r="AC27" s="143" t="s">
        <v>488</v>
      </c>
      <c r="AD27" s="143" t="s">
        <v>488</v>
      </c>
      <c r="AE27" s="143" t="s">
        <v>488</v>
      </c>
      <c r="AF27" s="143" t="s">
        <v>488</v>
      </c>
      <c r="AG27" s="143" t="s">
        <v>488</v>
      </c>
      <c r="AH27" s="143" t="s">
        <v>488</v>
      </c>
    </row>
    <row x14ac:dyDescent="0.25" r="28" customHeight="1" ht="18.75">
      <c r="A28" s="30" t="s">
        <v>128</v>
      </c>
      <c r="B28" s="177"/>
      <c r="C28" s="143">
        <v>0</v>
      </c>
      <c r="D28" s="143">
        <v>0</v>
      </c>
      <c r="E28" s="143">
        <v>0</v>
      </c>
      <c r="F28" s="143">
        <v>0</v>
      </c>
      <c r="G28" s="143">
        <v>0</v>
      </c>
      <c r="H28" s="143">
        <v>0</v>
      </c>
      <c r="I28" s="143">
        <v>0</v>
      </c>
      <c r="J28" s="143">
        <v>0</v>
      </c>
      <c r="K28" s="143">
        <v>0</v>
      </c>
      <c r="L28" s="143">
        <v>0</v>
      </c>
      <c r="M28" s="143">
        <v>0</v>
      </c>
      <c r="N28" s="143">
        <v>0</v>
      </c>
      <c r="O28" s="143">
        <v>0</v>
      </c>
      <c r="P28" s="143">
        <v>0</v>
      </c>
      <c r="Q28" s="143">
        <v>0</v>
      </c>
      <c r="R28" s="143">
        <v>0</v>
      </c>
      <c r="S28" s="143">
        <v>0</v>
      </c>
      <c r="T28" s="143">
        <v>0</v>
      </c>
      <c r="U28" s="143">
        <v>0</v>
      </c>
      <c r="V28" s="143">
        <v>0</v>
      </c>
      <c r="W28" s="143">
        <v>0</v>
      </c>
      <c r="X28" s="143">
        <v>0</v>
      </c>
      <c r="Y28" s="143">
        <v>0</v>
      </c>
      <c r="Z28" s="143">
        <v>0</v>
      </c>
      <c r="AA28" s="143">
        <v>0</v>
      </c>
      <c r="AB28" s="143">
        <v>0</v>
      </c>
      <c r="AC28" s="143">
        <v>0</v>
      </c>
      <c r="AD28" s="143">
        <v>0</v>
      </c>
      <c r="AE28" s="143">
        <v>0</v>
      </c>
      <c r="AF28" s="143">
        <v>0</v>
      </c>
      <c r="AG28" s="143">
        <v>0</v>
      </c>
      <c r="AH28" s="143">
        <v>0</v>
      </c>
    </row>
    <row x14ac:dyDescent="0.25" r="29" customHeight="1" ht="18.75">
      <c r="A29" s="30" t="s">
        <v>129</v>
      </c>
      <c r="B29" s="177"/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143" t="s">
        <v>358</v>
      </c>
      <c r="S29" s="143" t="s">
        <v>358</v>
      </c>
      <c r="T29" s="143" t="s">
        <v>358</v>
      </c>
      <c r="U29" s="143" t="s">
        <v>358</v>
      </c>
      <c r="V29" s="143" t="s">
        <v>358</v>
      </c>
      <c r="W29" s="143" t="s">
        <v>358</v>
      </c>
      <c r="X29" s="143" t="s">
        <v>358</v>
      </c>
      <c r="Y29" s="143" t="s">
        <v>358</v>
      </c>
      <c r="Z29" s="143" t="s">
        <v>358</v>
      </c>
      <c r="AA29" s="143" t="s">
        <v>358</v>
      </c>
      <c r="AB29" s="143" t="s">
        <v>358</v>
      </c>
      <c r="AC29" s="143" t="s">
        <v>358</v>
      </c>
      <c r="AD29" s="143" t="s">
        <v>358</v>
      </c>
      <c r="AE29" s="143" t="s">
        <v>358</v>
      </c>
      <c r="AF29" s="143" t="s">
        <v>358</v>
      </c>
      <c r="AG29" s="143" t="s">
        <v>358</v>
      </c>
      <c r="AH29" s="143" t="s">
        <v>358</v>
      </c>
    </row>
    <row x14ac:dyDescent="0.25" r="30" customHeight="1" ht="18.75">
      <c r="A30" s="30" t="s">
        <v>130</v>
      </c>
      <c r="B30" s="177"/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143">
        <v>0</v>
      </c>
      <c r="S30" s="143">
        <v>0</v>
      </c>
      <c r="T30" s="143">
        <v>0</v>
      </c>
      <c r="U30" s="143">
        <v>0</v>
      </c>
      <c r="V30" s="143">
        <v>0</v>
      </c>
      <c r="W30" s="143">
        <v>0</v>
      </c>
      <c r="X30" s="143">
        <v>0</v>
      </c>
      <c r="Y30" s="143">
        <v>0</v>
      </c>
      <c r="Z30" s="143">
        <v>0</v>
      </c>
      <c r="AA30" s="143">
        <v>0</v>
      </c>
      <c r="AB30" s="143">
        <v>0</v>
      </c>
      <c r="AC30" s="143">
        <v>0</v>
      </c>
      <c r="AD30" s="143">
        <v>0</v>
      </c>
      <c r="AE30" s="143">
        <v>0</v>
      </c>
      <c r="AF30" s="143">
        <v>0</v>
      </c>
      <c r="AG30" s="143">
        <v>0</v>
      </c>
      <c r="AH30" s="143">
        <v>0</v>
      </c>
    </row>
    <row x14ac:dyDescent="0.25" r="31" customHeight="1" ht="18.75">
      <c r="A31" s="46"/>
      <c r="B31" s="5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x14ac:dyDescent="0.25" r="32" customHeight="1" ht="18.75">
      <c r="A32" s="38" t="s">
        <v>64</v>
      </c>
      <c r="B32" s="5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x14ac:dyDescent="0.25" r="33" customHeight="1" ht="18.75">
      <c r="A33" s="30" t="s">
        <v>1192</v>
      </c>
      <c r="B33" s="40" t="s">
        <v>1186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3"/>
      <c r="AE1" s="2"/>
      <c r="AF1" s="2"/>
      <c r="AG1" s="2"/>
      <c r="AH1" s="2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3"/>
      <c r="AE2" s="2"/>
      <c r="AF2" s="2"/>
      <c r="AG2" s="2"/>
      <c r="AH2" s="2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x14ac:dyDescent="0.25" r="3" customHeight="1" ht="18.75">
      <c r="A3" s="1" t="s">
        <v>2</v>
      </c>
      <c r="B3" s="5">
        <v>42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3"/>
      <c r="AE3" s="2"/>
      <c r="AF3" s="2"/>
      <c r="AG3" s="2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x14ac:dyDescent="0.25" r="4" customHeight="1" ht="18.75">
      <c r="A4" s="1" t="s">
        <v>4</v>
      </c>
      <c r="B4" s="7" t="s">
        <v>1174</v>
      </c>
      <c r="C4" s="7"/>
      <c r="D4" s="7"/>
      <c r="E4" s="2"/>
      <c r="F4" s="124" t="s">
        <v>1175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3"/>
      <c r="AE4" s="2"/>
      <c r="AF4" s="2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3"/>
      <c r="AE5" s="2"/>
      <c r="AF5" s="2"/>
      <c r="AG5" s="2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3"/>
      <c r="AE6" s="2"/>
      <c r="AF6" s="2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200" t="s">
        <v>40</v>
      </c>
      <c r="AG7" s="112" t="s">
        <v>41</v>
      </c>
      <c r="AH7" s="56" t="s">
        <v>42</v>
      </c>
      <c r="AI7" s="3"/>
      <c r="AJ7" s="199" t="s">
        <v>28</v>
      </c>
      <c r="AK7" s="199" t="s">
        <v>29</v>
      </c>
      <c r="AL7" s="147" t="s">
        <v>30</v>
      </c>
      <c r="AM7" s="104" t="s">
        <v>32</v>
      </c>
      <c r="AN7" s="104" t="s">
        <v>33</v>
      </c>
      <c r="AO7" s="106" t="s">
        <v>34</v>
      </c>
      <c r="AP7" s="55" t="s">
        <v>35</v>
      </c>
      <c r="AQ7" s="107" t="s">
        <v>36</v>
      </c>
      <c r="AR7" s="107" t="s">
        <v>37</v>
      </c>
      <c r="AS7" s="107" t="s">
        <v>38</v>
      </c>
      <c r="AT7" s="109" t="s">
        <v>39</v>
      </c>
      <c r="AU7" s="200" t="s">
        <v>40</v>
      </c>
    </row>
    <row x14ac:dyDescent="0.25" r="8" customHeight="1" ht="18.75">
      <c r="A8" s="30" t="s">
        <v>43</v>
      </c>
      <c r="B8" s="31" t="s">
        <v>1176</v>
      </c>
      <c r="C8" s="114" t="s">
        <v>1044</v>
      </c>
      <c r="D8" s="114" t="s">
        <v>1044</v>
      </c>
      <c r="E8" s="114" t="s">
        <v>1044</v>
      </c>
      <c r="F8" s="114" t="s">
        <v>1044</v>
      </c>
      <c r="G8" s="114" t="s">
        <v>1044</v>
      </c>
      <c r="H8" s="114" t="s">
        <v>1044</v>
      </c>
      <c r="I8" s="114" t="s">
        <v>1044</v>
      </c>
      <c r="J8" s="114" t="s">
        <v>1044</v>
      </c>
      <c r="K8" s="114" t="s">
        <v>1044</v>
      </c>
      <c r="L8" s="114" t="s">
        <v>1044</v>
      </c>
      <c r="M8" s="114" t="s">
        <v>1044</v>
      </c>
      <c r="N8" s="114" t="s">
        <v>1044</v>
      </c>
      <c r="O8" s="114" t="s">
        <v>1044</v>
      </c>
      <c r="P8" s="114" t="s">
        <v>1177</v>
      </c>
      <c r="Q8" s="114" t="s">
        <v>1177</v>
      </c>
      <c r="R8" s="31" t="s">
        <v>281</v>
      </c>
      <c r="S8" s="114" t="s">
        <v>1044</v>
      </c>
      <c r="T8" s="31" t="s">
        <v>301</v>
      </c>
      <c r="U8" s="31" t="s">
        <v>301</v>
      </c>
      <c r="V8" s="31" t="s">
        <v>1178</v>
      </c>
      <c r="W8" s="31" t="s">
        <v>281</v>
      </c>
      <c r="X8" s="31" t="s">
        <v>301</v>
      </c>
      <c r="Y8" s="31" t="s">
        <v>301</v>
      </c>
      <c r="Z8" s="31" t="s">
        <v>301</v>
      </c>
      <c r="AA8" s="31" t="s">
        <v>301</v>
      </c>
      <c r="AB8" s="32"/>
      <c r="AC8" s="31" t="s">
        <v>281</v>
      </c>
      <c r="AD8" s="32"/>
      <c r="AE8" s="31" t="s">
        <v>1179</v>
      </c>
      <c r="AF8" s="31" t="s">
        <v>301</v>
      </c>
      <c r="AG8" s="31" t="s">
        <v>286</v>
      </c>
      <c r="AH8" s="31" t="s">
        <v>281</v>
      </c>
      <c r="AI8" s="3"/>
      <c r="AJ8" s="31" t="s">
        <v>1180</v>
      </c>
      <c r="AK8" s="31" t="s">
        <v>1180</v>
      </c>
      <c r="AL8" s="31" t="s">
        <v>1180</v>
      </c>
      <c r="AM8" s="31" t="s">
        <v>339</v>
      </c>
      <c r="AN8" s="31" t="s">
        <v>281</v>
      </c>
      <c r="AO8" s="31" t="s">
        <v>1180</v>
      </c>
      <c r="AP8" s="31" t="s">
        <v>1180</v>
      </c>
      <c r="AQ8" s="31" t="s">
        <v>1180</v>
      </c>
      <c r="AR8" s="31" t="s">
        <v>1180</v>
      </c>
      <c r="AS8" s="31" t="s">
        <v>1180</v>
      </c>
      <c r="AT8" s="31" t="s">
        <v>1180</v>
      </c>
      <c r="AU8" s="31" t="s">
        <v>281</v>
      </c>
    </row>
    <row x14ac:dyDescent="0.25" r="9" customHeight="1" ht="18.75">
      <c r="A9" s="30" t="s">
        <v>45</v>
      </c>
      <c r="B9" s="33" t="s">
        <v>1181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31" t="s">
        <v>302</v>
      </c>
      <c r="J9" s="31" t="s">
        <v>302</v>
      </c>
      <c r="K9" s="31" t="s">
        <v>302</v>
      </c>
      <c r="L9" s="31" t="s">
        <v>302</v>
      </c>
      <c r="M9" s="31" t="s">
        <v>303</v>
      </c>
      <c r="N9" s="31" t="s">
        <v>302</v>
      </c>
      <c r="O9" s="31" t="s">
        <v>302</v>
      </c>
      <c r="P9" s="31" t="s">
        <v>302</v>
      </c>
      <c r="Q9" s="31" t="s">
        <v>302</v>
      </c>
      <c r="R9" s="31" t="s">
        <v>302</v>
      </c>
      <c r="S9" s="31" t="s">
        <v>302</v>
      </c>
      <c r="T9" s="31" t="s">
        <v>302</v>
      </c>
      <c r="U9" s="31" t="s">
        <v>302</v>
      </c>
      <c r="V9" s="33" t="s">
        <v>1023</v>
      </c>
      <c r="W9" s="31" t="s">
        <v>302</v>
      </c>
      <c r="X9" s="31" t="s">
        <v>302</v>
      </c>
      <c r="Y9" s="31" t="s">
        <v>302</v>
      </c>
      <c r="Z9" s="31" t="s">
        <v>302</v>
      </c>
      <c r="AA9" s="31" t="s">
        <v>302</v>
      </c>
      <c r="AB9" s="34"/>
      <c r="AC9" s="31" t="s">
        <v>302</v>
      </c>
      <c r="AD9" s="34"/>
      <c r="AE9" s="31" t="s">
        <v>302</v>
      </c>
      <c r="AF9" s="31" t="s">
        <v>302</v>
      </c>
      <c r="AG9" s="33" t="s">
        <v>293</v>
      </c>
      <c r="AH9" s="31" t="s">
        <v>294</v>
      </c>
      <c r="AI9" s="3"/>
      <c r="AJ9" s="31" t="s">
        <v>302</v>
      </c>
      <c r="AK9" s="31" t="s">
        <v>302</v>
      </c>
      <c r="AL9" s="31" t="s">
        <v>302</v>
      </c>
      <c r="AM9" s="31" t="s">
        <v>339</v>
      </c>
      <c r="AN9" s="31" t="s">
        <v>302</v>
      </c>
      <c r="AO9" s="31" t="s">
        <v>302</v>
      </c>
      <c r="AP9" s="31" t="s">
        <v>302</v>
      </c>
      <c r="AQ9" s="31" t="s">
        <v>302</v>
      </c>
      <c r="AR9" s="31" t="s">
        <v>302</v>
      </c>
      <c r="AS9" s="31" t="s">
        <v>302</v>
      </c>
      <c r="AT9" s="31" t="s">
        <v>302</v>
      </c>
      <c r="AU9" s="31" t="s">
        <v>302</v>
      </c>
    </row>
    <row x14ac:dyDescent="0.25" r="10" customHeight="1" ht="18.75">
      <c r="A10" s="35" t="s">
        <v>47</v>
      </c>
      <c r="B10" s="117">
        <v>15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150</v>
      </c>
      <c r="N10" s="117">
        <v>19</v>
      </c>
      <c r="O10" s="117">
        <v>19</v>
      </c>
      <c r="P10" s="117">
        <v>19</v>
      </c>
      <c r="Q10" s="117">
        <v>19</v>
      </c>
      <c r="R10" s="117">
        <v>19</v>
      </c>
      <c r="S10" s="117">
        <v>19</v>
      </c>
      <c r="T10" s="117">
        <v>19</v>
      </c>
      <c r="U10" s="117">
        <v>19</v>
      </c>
      <c r="V10" s="117">
        <v>152</v>
      </c>
      <c r="W10" s="117">
        <v>19</v>
      </c>
      <c r="X10" s="117">
        <v>19</v>
      </c>
      <c r="Y10" s="117">
        <v>19</v>
      </c>
      <c r="Z10" s="117">
        <v>19</v>
      </c>
      <c r="AA10" s="117">
        <v>19</v>
      </c>
      <c r="AB10" s="37"/>
      <c r="AC10" s="117">
        <v>19</v>
      </c>
      <c r="AD10" s="37"/>
      <c r="AE10" s="117">
        <v>19</v>
      </c>
      <c r="AF10" s="117">
        <v>19</v>
      </c>
      <c r="AG10" s="196">
        <v>26</v>
      </c>
      <c r="AH10" s="117">
        <v>34</v>
      </c>
      <c r="AI10" s="3"/>
      <c r="AJ10" s="117">
        <v>19</v>
      </c>
      <c r="AK10" s="117">
        <v>19</v>
      </c>
      <c r="AL10" s="117">
        <v>19</v>
      </c>
      <c r="AM10" s="117">
        <v>2</v>
      </c>
      <c r="AN10" s="117">
        <v>19</v>
      </c>
      <c r="AO10" s="117">
        <v>19</v>
      </c>
      <c r="AP10" s="117">
        <v>19</v>
      </c>
      <c r="AQ10" s="117">
        <v>19</v>
      </c>
      <c r="AR10" s="117">
        <v>19</v>
      </c>
      <c r="AS10" s="117">
        <v>19</v>
      </c>
      <c r="AT10" s="117">
        <v>19</v>
      </c>
      <c r="AU10" s="117">
        <v>19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1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2"/>
      <c r="AC11" s="33" t="s">
        <v>52</v>
      </c>
      <c r="AD11" s="32"/>
      <c r="AE11" s="33" t="s">
        <v>52</v>
      </c>
      <c r="AF11" s="33" t="s">
        <v>52</v>
      </c>
      <c r="AG11" s="31" t="s">
        <v>52</v>
      </c>
      <c r="AH11" s="31" t="s">
        <v>52</v>
      </c>
      <c r="AI11" s="3"/>
      <c r="AJ11" s="33" t="s">
        <v>52</v>
      </c>
      <c r="AK11" s="33" t="s">
        <v>52</v>
      </c>
      <c r="AL11" s="33" t="s">
        <v>52</v>
      </c>
      <c r="AM11" s="31" t="s">
        <v>52</v>
      </c>
      <c r="AN11" s="31" t="s">
        <v>52</v>
      </c>
      <c r="AO11" s="33" t="s">
        <v>52</v>
      </c>
      <c r="AP11" s="33" t="s">
        <v>52</v>
      </c>
      <c r="AQ11" s="33" t="s">
        <v>52</v>
      </c>
      <c r="AR11" s="33" t="s">
        <v>52</v>
      </c>
      <c r="AS11" s="33" t="s">
        <v>52</v>
      </c>
      <c r="AT11" s="33" t="s">
        <v>52</v>
      </c>
      <c r="AU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2"/>
      <c r="AC12" s="31" t="s">
        <v>49</v>
      </c>
      <c r="AD12" s="32"/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1" t="s">
        <v>49</v>
      </c>
      <c r="AK12" s="31" t="s">
        <v>49</v>
      </c>
      <c r="AL12" s="31" t="s">
        <v>49</v>
      </c>
      <c r="AM12" s="31" t="s">
        <v>52</v>
      </c>
      <c r="AN12" s="31" t="s">
        <v>49</v>
      </c>
      <c r="AO12" s="31" t="s">
        <v>49</v>
      </c>
      <c r="AP12" s="31" t="s">
        <v>49</v>
      </c>
      <c r="AQ12" s="31" t="s">
        <v>49</v>
      </c>
      <c r="AR12" s="31" t="s">
        <v>49</v>
      </c>
      <c r="AS12" s="31" t="s">
        <v>49</v>
      </c>
      <c r="AT12" s="31" t="s">
        <v>49</v>
      </c>
      <c r="AU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295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2"/>
      <c r="AC13" s="31" t="s">
        <v>49</v>
      </c>
      <c r="AD13" s="32"/>
      <c r="AE13" s="31" t="s">
        <v>49</v>
      </c>
      <c r="AF13" s="31" t="s">
        <v>49</v>
      </c>
      <c r="AG13" s="31" t="s">
        <v>52</v>
      </c>
      <c r="AH13" s="31" t="s">
        <v>52</v>
      </c>
      <c r="AI13" s="3"/>
      <c r="AJ13" s="31" t="s">
        <v>49</v>
      </c>
      <c r="AK13" s="31" t="s">
        <v>49</v>
      </c>
      <c r="AL13" s="31" t="s">
        <v>49</v>
      </c>
      <c r="AM13" s="31" t="s">
        <v>49</v>
      </c>
      <c r="AN13" s="31" t="s">
        <v>49</v>
      </c>
      <c r="AO13" s="31" t="s">
        <v>49</v>
      </c>
      <c r="AP13" s="31" t="s">
        <v>49</v>
      </c>
      <c r="AQ13" s="31" t="s">
        <v>49</v>
      </c>
      <c r="AR13" s="31" t="s">
        <v>49</v>
      </c>
      <c r="AS13" s="31" t="s">
        <v>49</v>
      </c>
      <c r="AT13" s="31" t="s">
        <v>49</v>
      </c>
      <c r="AU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2"/>
      <c r="AC14" s="31" t="s">
        <v>49</v>
      </c>
      <c r="AD14" s="32"/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  <c r="AR14" s="31" t="s">
        <v>49</v>
      </c>
      <c r="AS14" s="31" t="s">
        <v>49</v>
      </c>
      <c r="AT14" s="31" t="s">
        <v>49</v>
      </c>
      <c r="AU14" s="31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304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234</v>
      </c>
      <c r="U15" s="31" t="s">
        <v>234</v>
      </c>
      <c r="V15" s="31" t="s">
        <v>133</v>
      </c>
      <c r="W15" s="31" t="s">
        <v>234</v>
      </c>
      <c r="X15" s="31" t="s">
        <v>234</v>
      </c>
      <c r="Y15" s="31" t="s">
        <v>234</v>
      </c>
      <c r="Z15" s="31" t="s">
        <v>234</v>
      </c>
      <c r="AA15" s="31" t="s">
        <v>234</v>
      </c>
      <c r="AB15" s="32"/>
      <c r="AC15" s="31" t="s">
        <v>234</v>
      </c>
      <c r="AD15" s="32"/>
      <c r="AE15" s="31" t="s">
        <v>234</v>
      </c>
      <c r="AF15" s="31" t="s">
        <v>234</v>
      </c>
      <c r="AG15" s="31" t="s">
        <v>143</v>
      </c>
      <c r="AH15" s="31" t="s">
        <v>133</v>
      </c>
      <c r="AI15" s="3"/>
      <c r="AJ15" s="31" t="s">
        <v>234</v>
      </c>
      <c r="AK15" s="31" t="s">
        <v>234</v>
      </c>
      <c r="AL15" s="31" t="s">
        <v>234</v>
      </c>
      <c r="AM15" s="31" t="s">
        <v>140</v>
      </c>
      <c r="AN15" s="31" t="s">
        <v>234</v>
      </c>
      <c r="AO15" s="31" t="s">
        <v>234</v>
      </c>
      <c r="AP15" s="31" t="s">
        <v>234</v>
      </c>
      <c r="AQ15" s="31" t="s">
        <v>234</v>
      </c>
      <c r="AR15" s="31" t="s">
        <v>234</v>
      </c>
      <c r="AS15" s="31" t="s">
        <v>234</v>
      </c>
      <c r="AT15" s="31" t="s">
        <v>234</v>
      </c>
      <c r="AU15" s="31" t="s">
        <v>234</v>
      </c>
    </row>
    <row x14ac:dyDescent="0.25" r="16" customHeight="1" ht="18.75">
      <c r="A16" s="30" t="s">
        <v>128</v>
      </c>
      <c r="B16" s="31">
        <v>-1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f>AVERAGE(-3,-2)</f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1">
        <v>-3</v>
      </c>
      <c r="U16" s="31">
        <v>-3</v>
      </c>
      <c r="V16" s="31">
        <f>AVERAGE(-2,-0.5)</f>
      </c>
      <c r="W16" s="31">
        <v>-3</v>
      </c>
      <c r="X16" s="31">
        <v>-3</v>
      </c>
      <c r="Y16" s="31">
        <v>-3</v>
      </c>
      <c r="Z16" s="31">
        <v>-3</v>
      </c>
      <c r="AA16" s="31">
        <v>-3</v>
      </c>
      <c r="AB16" s="31"/>
      <c r="AC16" s="31">
        <v>-3</v>
      </c>
      <c r="AD16" s="31"/>
      <c r="AE16" s="31">
        <v>-3</v>
      </c>
      <c r="AF16" s="31">
        <v>-3</v>
      </c>
      <c r="AG16" s="31">
        <f>4/3</f>
      </c>
      <c r="AH16" s="31">
        <v>-0.5</v>
      </c>
      <c r="AI16" s="3"/>
      <c r="AJ16" s="31">
        <v>-3</v>
      </c>
      <c r="AK16" s="31">
        <v>-3</v>
      </c>
      <c r="AL16" s="31">
        <v>-3</v>
      </c>
      <c r="AM16" s="31">
        <v>3</v>
      </c>
      <c r="AN16" s="31">
        <v>-3</v>
      </c>
      <c r="AO16" s="31">
        <v>-3</v>
      </c>
      <c r="AP16" s="31">
        <v>-3</v>
      </c>
      <c r="AQ16" s="31">
        <v>-3</v>
      </c>
      <c r="AR16" s="31">
        <v>-3</v>
      </c>
      <c r="AS16" s="31">
        <v>-3</v>
      </c>
      <c r="AT16" s="31">
        <v>-3</v>
      </c>
      <c r="AU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138</v>
      </c>
      <c r="T17" s="31" t="s">
        <v>138</v>
      </c>
      <c r="U17" s="31" t="s">
        <v>138</v>
      </c>
      <c r="V17" s="31" t="s">
        <v>814</v>
      </c>
      <c r="W17" s="31" t="s">
        <v>138</v>
      </c>
      <c r="X17" s="31" t="s">
        <v>138</v>
      </c>
      <c r="Y17" s="31" t="s">
        <v>138</v>
      </c>
      <c r="Z17" s="31" t="s">
        <v>138</v>
      </c>
      <c r="AA17" s="31" t="s">
        <v>138</v>
      </c>
      <c r="AB17" s="32"/>
      <c r="AC17" s="31" t="s">
        <v>138</v>
      </c>
      <c r="AD17" s="32"/>
      <c r="AE17" s="31" t="s">
        <v>138</v>
      </c>
      <c r="AF17" s="31" t="s">
        <v>138</v>
      </c>
      <c r="AG17" s="31" t="s">
        <v>274</v>
      </c>
      <c r="AH17" s="31" t="s">
        <v>274</v>
      </c>
      <c r="AI17" s="3"/>
      <c r="AJ17" s="31" t="s">
        <v>138</v>
      </c>
      <c r="AK17" s="31" t="s">
        <v>138</v>
      </c>
      <c r="AL17" s="31" t="s">
        <v>138</v>
      </c>
      <c r="AM17" s="31" t="s">
        <v>138</v>
      </c>
      <c r="AN17" s="31" t="s">
        <v>138</v>
      </c>
      <c r="AO17" s="31" t="s">
        <v>138</v>
      </c>
      <c r="AP17" s="31" t="s">
        <v>138</v>
      </c>
      <c r="AQ17" s="31" t="s">
        <v>138</v>
      </c>
      <c r="AR17" s="31" t="s">
        <v>138</v>
      </c>
      <c r="AS17" s="31" t="s">
        <v>138</v>
      </c>
      <c r="AT17" s="31" t="s">
        <v>138</v>
      </c>
      <c r="AU17" s="31" t="s">
        <v>138</v>
      </c>
    </row>
    <row x14ac:dyDescent="0.25" r="18" customHeight="1" ht="18.75">
      <c r="A18" s="30" t="s">
        <v>130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v>4</v>
      </c>
      <c r="T18" s="31">
        <v>4</v>
      </c>
      <c r="U18" s="31">
        <v>4</v>
      </c>
      <c r="V18" s="31">
        <f>AVERAGE(4,3)</f>
      </c>
      <c r="W18" s="31">
        <v>4</v>
      </c>
      <c r="X18" s="31">
        <v>4</v>
      </c>
      <c r="Y18" s="31">
        <v>4</v>
      </c>
      <c r="Z18" s="31">
        <v>4</v>
      </c>
      <c r="AA18" s="31">
        <v>4</v>
      </c>
      <c r="AB18" s="31"/>
      <c r="AC18" s="31">
        <v>4</v>
      </c>
      <c r="AD18" s="31"/>
      <c r="AE18" s="31">
        <v>4</v>
      </c>
      <c r="AF18" s="31">
        <v>4</v>
      </c>
      <c r="AG18" s="31">
        <v>3</v>
      </c>
      <c r="AH18" s="31">
        <v>3</v>
      </c>
      <c r="AI18" s="3"/>
      <c r="AJ18" s="31">
        <v>4</v>
      </c>
      <c r="AK18" s="31">
        <v>4</v>
      </c>
      <c r="AL18" s="31">
        <v>4</v>
      </c>
      <c r="AM18" s="31">
        <v>4</v>
      </c>
      <c r="AN18" s="31">
        <v>4</v>
      </c>
      <c r="AO18" s="31">
        <v>4</v>
      </c>
      <c r="AP18" s="31">
        <v>4</v>
      </c>
      <c r="AQ18" s="31">
        <v>4</v>
      </c>
      <c r="AR18" s="31">
        <v>4</v>
      </c>
      <c r="AS18" s="31">
        <v>4</v>
      </c>
      <c r="AT18" s="31">
        <v>4</v>
      </c>
      <c r="AU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3"/>
      <c r="AE19" s="2"/>
      <c r="AF19" s="2"/>
      <c r="AG19" s="2"/>
      <c r="AH19" s="2"/>
      <c r="AI19" s="3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x14ac:dyDescent="0.25" r="20" customHeight="1" ht="18.75">
      <c r="A20" s="30" t="s">
        <v>43</v>
      </c>
      <c r="B20" s="177"/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31" t="s">
        <v>486</v>
      </c>
      <c r="S20" s="143" t="s">
        <v>358</v>
      </c>
      <c r="T20" s="143" t="s">
        <v>358</v>
      </c>
      <c r="U20" s="143" t="s">
        <v>358</v>
      </c>
      <c r="V20" s="143" t="s">
        <v>358</v>
      </c>
      <c r="W20" s="31" t="s">
        <v>483</v>
      </c>
      <c r="X20" s="143" t="s">
        <v>358</v>
      </c>
      <c r="Y20" s="143" t="s">
        <v>358</v>
      </c>
      <c r="Z20" s="143" t="s">
        <v>358</v>
      </c>
      <c r="AA20" s="143" t="s">
        <v>358</v>
      </c>
      <c r="AB20" s="32"/>
      <c r="AC20" s="143" t="s">
        <v>358</v>
      </c>
      <c r="AD20" s="32"/>
      <c r="AE20" s="31" t="s">
        <v>1182</v>
      </c>
      <c r="AF20" s="143" t="s">
        <v>358</v>
      </c>
      <c r="AG20" s="143" t="s">
        <v>358</v>
      </c>
      <c r="AH20" s="143" t="s">
        <v>358</v>
      </c>
      <c r="AI20" s="3"/>
      <c r="AJ20" s="31" t="s">
        <v>483</v>
      </c>
      <c r="AK20" s="31" t="s">
        <v>483</v>
      </c>
      <c r="AL20" s="31" t="s">
        <v>483</v>
      </c>
      <c r="AM20" s="143" t="s">
        <v>358</v>
      </c>
      <c r="AN20" s="31" t="s">
        <v>483</v>
      </c>
      <c r="AO20" s="31" t="s">
        <v>483</v>
      </c>
      <c r="AP20" s="31" t="s">
        <v>483</v>
      </c>
      <c r="AQ20" s="31" t="s">
        <v>483</v>
      </c>
      <c r="AR20" s="31" t="s">
        <v>483</v>
      </c>
      <c r="AS20" s="31" t="s">
        <v>483</v>
      </c>
      <c r="AT20" s="31" t="s">
        <v>483</v>
      </c>
      <c r="AU20" s="31" t="s">
        <v>483</v>
      </c>
    </row>
    <row x14ac:dyDescent="0.25" r="21" customHeight="1" ht="18.75">
      <c r="A21" s="30" t="s">
        <v>45</v>
      </c>
      <c r="B21" s="219"/>
      <c r="C21" s="146" t="s">
        <v>358</v>
      </c>
      <c r="D21" s="146" t="s">
        <v>358</v>
      </c>
      <c r="E21" s="146" t="s">
        <v>358</v>
      </c>
      <c r="F21" s="146" t="s">
        <v>358</v>
      </c>
      <c r="G21" s="146" t="s">
        <v>358</v>
      </c>
      <c r="H21" s="146" t="s">
        <v>358</v>
      </c>
      <c r="I21" s="146" t="s">
        <v>358</v>
      </c>
      <c r="J21" s="146" t="s">
        <v>358</v>
      </c>
      <c r="K21" s="146" t="s">
        <v>358</v>
      </c>
      <c r="L21" s="146" t="s">
        <v>358</v>
      </c>
      <c r="M21" s="146" t="s">
        <v>358</v>
      </c>
      <c r="N21" s="146" t="s">
        <v>358</v>
      </c>
      <c r="O21" s="146" t="s">
        <v>358</v>
      </c>
      <c r="P21" s="146" t="s">
        <v>358</v>
      </c>
      <c r="Q21" s="146" t="s">
        <v>358</v>
      </c>
      <c r="R21" s="186" t="s">
        <v>776</v>
      </c>
      <c r="S21" s="146" t="s">
        <v>358</v>
      </c>
      <c r="T21" s="146" t="s">
        <v>358</v>
      </c>
      <c r="U21" s="146" t="s">
        <v>358</v>
      </c>
      <c r="V21" s="146" t="s">
        <v>358</v>
      </c>
      <c r="W21" s="31" t="s">
        <v>486</v>
      </c>
      <c r="X21" s="146" t="s">
        <v>358</v>
      </c>
      <c r="Y21" s="146" t="s">
        <v>358</v>
      </c>
      <c r="Z21" s="146" t="s">
        <v>358</v>
      </c>
      <c r="AA21" s="146" t="s">
        <v>358</v>
      </c>
      <c r="AB21" s="34"/>
      <c r="AC21" s="146" t="s">
        <v>358</v>
      </c>
      <c r="AD21" s="34"/>
      <c r="AE21" s="186" t="s">
        <v>776</v>
      </c>
      <c r="AF21" s="146" t="s">
        <v>358</v>
      </c>
      <c r="AG21" s="146" t="s">
        <v>358</v>
      </c>
      <c r="AH21" s="146" t="s">
        <v>358</v>
      </c>
      <c r="AI21" s="3"/>
      <c r="AJ21" s="31" t="s">
        <v>486</v>
      </c>
      <c r="AK21" s="31" t="s">
        <v>486</v>
      </c>
      <c r="AL21" s="31" t="s">
        <v>486</v>
      </c>
      <c r="AM21" s="146" t="s">
        <v>358</v>
      </c>
      <c r="AN21" s="31" t="s">
        <v>486</v>
      </c>
      <c r="AO21" s="31" t="s">
        <v>486</v>
      </c>
      <c r="AP21" s="31" t="s">
        <v>486</v>
      </c>
      <c r="AQ21" s="31" t="s">
        <v>486</v>
      </c>
      <c r="AR21" s="31" t="s">
        <v>486</v>
      </c>
      <c r="AS21" s="31" t="s">
        <v>486</v>
      </c>
      <c r="AT21" s="31" t="s">
        <v>486</v>
      </c>
      <c r="AU21" s="31" t="s">
        <v>486</v>
      </c>
    </row>
    <row x14ac:dyDescent="0.25" r="22" customHeight="1" ht="18.75">
      <c r="A22" s="35" t="s">
        <v>47</v>
      </c>
      <c r="B22" s="219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17">
        <v>134</v>
      </c>
      <c r="S22" s="144"/>
      <c r="T22" s="144"/>
      <c r="U22" s="144"/>
      <c r="V22" s="144"/>
      <c r="W22" s="117">
        <v>97</v>
      </c>
      <c r="X22" s="144"/>
      <c r="Y22" s="144"/>
      <c r="Z22" s="144"/>
      <c r="AA22" s="144"/>
      <c r="AB22" s="37"/>
      <c r="AC22" s="144"/>
      <c r="AD22" s="37"/>
      <c r="AE22" s="117">
        <v>134</v>
      </c>
      <c r="AF22" s="144"/>
      <c r="AG22" s="144"/>
      <c r="AH22" s="144"/>
      <c r="AI22" s="3"/>
      <c r="AJ22" s="117">
        <v>97</v>
      </c>
      <c r="AK22" s="117">
        <v>97</v>
      </c>
      <c r="AL22" s="117">
        <v>97</v>
      </c>
      <c r="AM22" s="144"/>
      <c r="AN22" s="117">
        <v>97</v>
      </c>
      <c r="AO22" s="117">
        <v>97</v>
      </c>
      <c r="AP22" s="117">
        <v>97</v>
      </c>
      <c r="AQ22" s="117">
        <v>97</v>
      </c>
      <c r="AR22" s="117">
        <v>97</v>
      </c>
      <c r="AS22" s="117">
        <v>97</v>
      </c>
      <c r="AT22" s="117">
        <v>97</v>
      </c>
      <c r="AU22" s="117">
        <v>97</v>
      </c>
    </row>
    <row x14ac:dyDescent="0.25" r="23" customHeight="1" ht="18.75">
      <c r="A23" s="30" t="s">
        <v>123</v>
      </c>
      <c r="B23" s="177"/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31" t="s">
        <v>162</v>
      </c>
      <c r="S23" s="143" t="s">
        <v>49</v>
      </c>
      <c r="T23" s="143" t="s">
        <v>49</v>
      </c>
      <c r="U23" s="143" t="s">
        <v>49</v>
      </c>
      <c r="V23" s="143" t="s">
        <v>49</v>
      </c>
      <c r="W23" s="31" t="s">
        <v>52</v>
      </c>
      <c r="X23" s="143" t="s">
        <v>49</v>
      </c>
      <c r="Y23" s="143" t="s">
        <v>49</v>
      </c>
      <c r="Z23" s="143" t="s">
        <v>49</v>
      </c>
      <c r="AA23" s="143" t="s">
        <v>49</v>
      </c>
      <c r="AB23" s="32"/>
      <c r="AC23" s="143" t="s">
        <v>49</v>
      </c>
      <c r="AD23" s="32"/>
      <c r="AE23" s="31" t="s">
        <v>162</v>
      </c>
      <c r="AF23" s="143" t="s">
        <v>49</v>
      </c>
      <c r="AG23" s="143" t="s">
        <v>49</v>
      </c>
      <c r="AH23" s="143" t="s">
        <v>49</v>
      </c>
      <c r="AI23" s="3"/>
      <c r="AJ23" s="31" t="s">
        <v>52</v>
      </c>
      <c r="AK23" s="31" t="s">
        <v>52</v>
      </c>
      <c r="AL23" s="31" t="s">
        <v>52</v>
      </c>
      <c r="AM23" s="143" t="s">
        <v>49</v>
      </c>
      <c r="AN23" s="31" t="s">
        <v>52</v>
      </c>
      <c r="AO23" s="31" t="s">
        <v>52</v>
      </c>
      <c r="AP23" s="31" t="s">
        <v>52</v>
      </c>
      <c r="AQ23" s="31" t="s">
        <v>52</v>
      </c>
      <c r="AR23" s="31" t="s">
        <v>52</v>
      </c>
      <c r="AS23" s="31" t="s">
        <v>52</v>
      </c>
      <c r="AT23" s="31" t="s">
        <v>52</v>
      </c>
      <c r="AU23" s="31" t="s">
        <v>52</v>
      </c>
    </row>
    <row x14ac:dyDescent="0.25" r="24" customHeight="1" ht="18.75">
      <c r="A24" s="30" t="s">
        <v>124</v>
      </c>
      <c r="B24" s="177"/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31" t="s">
        <v>162</v>
      </c>
      <c r="S24" s="143" t="s">
        <v>49</v>
      </c>
      <c r="T24" s="143" t="s">
        <v>49</v>
      </c>
      <c r="U24" s="143" t="s">
        <v>49</v>
      </c>
      <c r="V24" s="143" t="s">
        <v>49</v>
      </c>
      <c r="W24" s="31" t="s">
        <v>52</v>
      </c>
      <c r="X24" s="143" t="s">
        <v>49</v>
      </c>
      <c r="Y24" s="143" t="s">
        <v>49</v>
      </c>
      <c r="Z24" s="143" t="s">
        <v>49</v>
      </c>
      <c r="AA24" s="143" t="s">
        <v>49</v>
      </c>
      <c r="AB24" s="32"/>
      <c r="AC24" s="143" t="s">
        <v>49</v>
      </c>
      <c r="AD24" s="32"/>
      <c r="AE24" s="31" t="s">
        <v>162</v>
      </c>
      <c r="AF24" s="143" t="s">
        <v>49</v>
      </c>
      <c r="AG24" s="143" t="s">
        <v>49</v>
      </c>
      <c r="AH24" s="143" t="s">
        <v>49</v>
      </c>
      <c r="AI24" s="3"/>
      <c r="AJ24" s="31" t="s">
        <v>52</v>
      </c>
      <c r="AK24" s="31" t="s">
        <v>52</v>
      </c>
      <c r="AL24" s="31" t="s">
        <v>52</v>
      </c>
      <c r="AM24" s="143" t="s">
        <v>49</v>
      </c>
      <c r="AN24" s="31" t="s">
        <v>52</v>
      </c>
      <c r="AO24" s="31" t="s">
        <v>52</v>
      </c>
      <c r="AP24" s="31" t="s">
        <v>52</v>
      </c>
      <c r="AQ24" s="31" t="s">
        <v>52</v>
      </c>
      <c r="AR24" s="31" t="s">
        <v>52</v>
      </c>
      <c r="AS24" s="31" t="s">
        <v>52</v>
      </c>
      <c r="AT24" s="31" t="s">
        <v>52</v>
      </c>
      <c r="AU24" s="31" t="s">
        <v>52</v>
      </c>
    </row>
    <row x14ac:dyDescent="0.25" r="25" customHeight="1" ht="18.75">
      <c r="A25" s="30" t="s">
        <v>125</v>
      </c>
      <c r="B25" s="177"/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31" t="s">
        <v>49</v>
      </c>
      <c r="S25" s="143" t="s">
        <v>49</v>
      </c>
      <c r="T25" s="143" t="s">
        <v>49</v>
      </c>
      <c r="U25" s="143" t="s">
        <v>49</v>
      </c>
      <c r="V25" s="143" t="s">
        <v>49</v>
      </c>
      <c r="W25" s="31" t="s">
        <v>49</v>
      </c>
      <c r="X25" s="143" t="s">
        <v>49</v>
      </c>
      <c r="Y25" s="143" t="s">
        <v>49</v>
      </c>
      <c r="Z25" s="143" t="s">
        <v>49</v>
      </c>
      <c r="AA25" s="143" t="s">
        <v>49</v>
      </c>
      <c r="AB25" s="32"/>
      <c r="AC25" s="143" t="s">
        <v>49</v>
      </c>
      <c r="AD25" s="32"/>
      <c r="AE25" s="31" t="s">
        <v>49</v>
      </c>
      <c r="AF25" s="143" t="s">
        <v>49</v>
      </c>
      <c r="AG25" s="143" t="s">
        <v>49</v>
      </c>
      <c r="AH25" s="143" t="s">
        <v>49</v>
      </c>
      <c r="AI25" s="3"/>
      <c r="AJ25" s="31" t="s">
        <v>49</v>
      </c>
      <c r="AK25" s="31" t="s">
        <v>49</v>
      </c>
      <c r="AL25" s="31" t="s">
        <v>49</v>
      </c>
      <c r="AM25" s="143" t="s">
        <v>49</v>
      </c>
      <c r="AN25" s="31" t="s">
        <v>49</v>
      </c>
      <c r="AO25" s="31" t="s">
        <v>49</v>
      </c>
      <c r="AP25" s="31" t="s">
        <v>49</v>
      </c>
      <c r="AQ25" s="31" t="s">
        <v>49</v>
      </c>
      <c r="AR25" s="31" t="s">
        <v>49</v>
      </c>
      <c r="AS25" s="31" t="s">
        <v>49</v>
      </c>
      <c r="AT25" s="31" t="s">
        <v>49</v>
      </c>
      <c r="AU25" s="31" t="s">
        <v>49</v>
      </c>
    </row>
    <row x14ac:dyDescent="0.25" r="26" customHeight="1" ht="18.75">
      <c r="A26" s="30" t="s">
        <v>126</v>
      </c>
      <c r="B26" s="177"/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1" t="s">
        <v>49</v>
      </c>
      <c r="S26" s="143" t="s">
        <v>49</v>
      </c>
      <c r="T26" s="143" t="s">
        <v>49</v>
      </c>
      <c r="U26" s="143" t="s">
        <v>49</v>
      </c>
      <c r="V26" s="143" t="s">
        <v>49</v>
      </c>
      <c r="W26" s="31" t="s">
        <v>49</v>
      </c>
      <c r="X26" s="143" t="s">
        <v>49</v>
      </c>
      <c r="Y26" s="143" t="s">
        <v>49</v>
      </c>
      <c r="Z26" s="143" t="s">
        <v>49</v>
      </c>
      <c r="AA26" s="143" t="s">
        <v>49</v>
      </c>
      <c r="AB26" s="32"/>
      <c r="AC26" s="143" t="s">
        <v>49</v>
      </c>
      <c r="AD26" s="32"/>
      <c r="AE26" s="31" t="s">
        <v>49</v>
      </c>
      <c r="AF26" s="143" t="s">
        <v>49</v>
      </c>
      <c r="AG26" s="143" t="s">
        <v>49</v>
      </c>
      <c r="AH26" s="143" t="s">
        <v>49</v>
      </c>
      <c r="AI26" s="3"/>
      <c r="AJ26" s="31" t="s">
        <v>49</v>
      </c>
      <c r="AK26" s="31" t="s">
        <v>49</v>
      </c>
      <c r="AL26" s="31" t="s">
        <v>49</v>
      </c>
      <c r="AM26" s="143" t="s">
        <v>49</v>
      </c>
      <c r="AN26" s="31" t="s">
        <v>49</v>
      </c>
      <c r="AO26" s="31" t="s">
        <v>49</v>
      </c>
      <c r="AP26" s="31" t="s">
        <v>49</v>
      </c>
      <c r="AQ26" s="31" t="s">
        <v>49</v>
      </c>
      <c r="AR26" s="31" t="s">
        <v>49</v>
      </c>
      <c r="AS26" s="31" t="s">
        <v>49</v>
      </c>
      <c r="AT26" s="31" t="s">
        <v>49</v>
      </c>
      <c r="AU26" s="31" t="s">
        <v>49</v>
      </c>
    </row>
    <row x14ac:dyDescent="0.25" r="27" customHeight="1" ht="18.75">
      <c r="A27" s="30" t="s">
        <v>127</v>
      </c>
      <c r="B27" s="177"/>
      <c r="C27" s="143" t="s">
        <v>488</v>
      </c>
      <c r="D27" s="143" t="s">
        <v>488</v>
      </c>
      <c r="E27" s="143" t="s">
        <v>488</v>
      </c>
      <c r="F27" s="143" t="s">
        <v>488</v>
      </c>
      <c r="G27" s="143" t="s">
        <v>488</v>
      </c>
      <c r="H27" s="143" t="s">
        <v>488</v>
      </c>
      <c r="I27" s="143" t="s">
        <v>488</v>
      </c>
      <c r="J27" s="143" t="s">
        <v>488</v>
      </c>
      <c r="K27" s="143" t="s">
        <v>488</v>
      </c>
      <c r="L27" s="143" t="s">
        <v>488</v>
      </c>
      <c r="M27" s="143" t="s">
        <v>488</v>
      </c>
      <c r="N27" s="143" t="s">
        <v>488</v>
      </c>
      <c r="O27" s="143" t="s">
        <v>488</v>
      </c>
      <c r="P27" s="143" t="s">
        <v>488</v>
      </c>
      <c r="Q27" s="143" t="s">
        <v>488</v>
      </c>
      <c r="R27" s="31" t="s">
        <v>488</v>
      </c>
      <c r="S27" s="143" t="s">
        <v>488</v>
      </c>
      <c r="T27" s="143" t="s">
        <v>488</v>
      </c>
      <c r="U27" s="143" t="s">
        <v>488</v>
      </c>
      <c r="V27" s="143" t="s">
        <v>488</v>
      </c>
      <c r="W27" s="31" t="s">
        <v>488</v>
      </c>
      <c r="X27" s="143" t="s">
        <v>488</v>
      </c>
      <c r="Y27" s="143" t="s">
        <v>488</v>
      </c>
      <c r="Z27" s="143" t="s">
        <v>488</v>
      </c>
      <c r="AA27" s="143" t="s">
        <v>488</v>
      </c>
      <c r="AB27" s="32"/>
      <c r="AC27" s="143" t="s">
        <v>488</v>
      </c>
      <c r="AD27" s="32"/>
      <c r="AE27" s="31" t="s">
        <v>488</v>
      </c>
      <c r="AF27" s="143" t="s">
        <v>488</v>
      </c>
      <c r="AG27" s="143" t="s">
        <v>488</v>
      </c>
      <c r="AH27" s="143" t="s">
        <v>488</v>
      </c>
      <c r="AI27" s="3"/>
      <c r="AJ27" s="31" t="s">
        <v>488</v>
      </c>
      <c r="AK27" s="31" t="s">
        <v>488</v>
      </c>
      <c r="AL27" s="31" t="s">
        <v>488</v>
      </c>
      <c r="AM27" s="143" t="s">
        <v>488</v>
      </c>
      <c r="AN27" s="31" t="s">
        <v>488</v>
      </c>
      <c r="AO27" s="31" t="s">
        <v>488</v>
      </c>
      <c r="AP27" s="31" t="s">
        <v>488</v>
      </c>
      <c r="AQ27" s="31" t="s">
        <v>488</v>
      </c>
      <c r="AR27" s="31" t="s">
        <v>488</v>
      </c>
      <c r="AS27" s="31" t="s">
        <v>488</v>
      </c>
      <c r="AT27" s="31" t="s">
        <v>488</v>
      </c>
      <c r="AU27" s="31" t="s">
        <v>488</v>
      </c>
    </row>
    <row x14ac:dyDescent="0.25" r="28" customHeight="1" ht="18.75">
      <c r="A28" s="30" t="s">
        <v>128</v>
      </c>
      <c r="B28" s="177"/>
      <c r="C28" s="143">
        <v>0</v>
      </c>
      <c r="D28" s="143">
        <v>0</v>
      </c>
      <c r="E28" s="143">
        <v>0</v>
      </c>
      <c r="F28" s="143">
        <v>0</v>
      </c>
      <c r="G28" s="143">
        <v>0</v>
      </c>
      <c r="H28" s="143">
        <v>0</v>
      </c>
      <c r="I28" s="143">
        <v>0</v>
      </c>
      <c r="J28" s="143">
        <v>0</v>
      </c>
      <c r="K28" s="143">
        <v>0</v>
      </c>
      <c r="L28" s="143">
        <v>0</v>
      </c>
      <c r="M28" s="143">
        <v>0</v>
      </c>
      <c r="N28" s="143">
        <v>0</v>
      </c>
      <c r="O28" s="143">
        <v>0</v>
      </c>
      <c r="P28" s="143">
        <v>0</v>
      </c>
      <c r="Q28" s="143">
        <v>0</v>
      </c>
      <c r="R28" s="31">
        <v>0</v>
      </c>
      <c r="S28" s="143">
        <v>0</v>
      </c>
      <c r="T28" s="143">
        <v>0</v>
      </c>
      <c r="U28" s="143">
        <v>0</v>
      </c>
      <c r="V28" s="143">
        <v>0</v>
      </c>
      <c r="W28" s="31">
        <v>0</v>
      </c>
      <c r="X28" s="143">
        <v>0</v>
      </c>
      <c r="Y28" s="143">
        <v>0</v>
      </c>
      <c r="Z28" s="143">
        <v>0</v>
      </c>
      <c r="AA28" s="143">
        <v>0</v>
      </c>
      <c r="AB28" s="31"/>
      <c r="AC28" s="143">
        <v>0</v>
      </c>
      <c r="AD28" s="31"/>
      <c r="AE28" s="31">
        <v>0</v>
      </c>
      <c r="AF28" s="143">
        <v>0</v>
      </c>
      <c r="AG28" s="143">
        <v>0</v>
      </c>
      <c r="AH28" s="143">
        <v>0</v>
      </c>
      <c r="AI28" s="3"/>
      <c r="AJ28" s="31">
        <v>0</v>
      </c>
      <c r="AK28" s="31">
        <v>0</v>
      </c>
      <c r="AL28" s="31">
        <v>0</v>
      </c>
      <c r="AM28" s="143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</row>
    <row x14ac:dyDescent="0.25" r="29" customHeight="1" ht="18.75">
      <c r="A29" s="30" t="s">
        <v>129</v>
      </c>
      <c r="B29" s="177"/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119" t="s">
        <v>369</v>
      </c>
      <c r="S29" s="143" t="s">
        <v>358</v>
      </c>
      <c r="T29" s="143" t="s">
        <v>358</v>
      </c>
      <c r="U29" s="143" t="s">
        <v>358</v>
      </c>
      <c r="V29" s="143" t="s">
        <v>358</v>
      </c>
      <c r="W29" s="31" t="s">
        <v>134</v>
      </c>
      <c r="X29" s="143" t="s">
        <v>358</v>
      </c>
      <c r="Y29" s="143" t="s">
        <v>358</v>
      </c>
      <c r="Z29" s="143" t="s">
        <v>358</v>
      </c>
      <c r="AA29" s="143" t="s">
        <v>358</v>
      </c>
      <c r="AB29" s="32"/>
      <c r="AC29" s="143" t="s">
        <v>358</v>
      </c>
      <c r="AD29" s="32"/>
      <c r="AE29" s="119" t="s">
        <v>369</v>
      </c>
      <c r="AF29" s="143" t="s">
        <v>358</v>
      </c>
      <c r="AG29" s="143" t="s">
        <v>358</v>
      </c>
      <c r="AH29" s="143" t="s">
        <v>358</v>
      </c>
      <c r="AI29" s="3"/>
      <c r="AJ29" s="31" t="s">
        <v>134</v>
      </c>
      <c r="AK29" s="31" t="s">
        <v>134</v>
      </c>
      <c r="AL29" s="31" t="s">
        <v>134</v>
      </c>
      <c r="AM29" s="143" t="s">
        <v>358</v>
      </c>
      <c r="AN29" s="31" t="s">
        <v>134</v>
      </c>
      <c r="AO29" s="31" t="s">
        <v>134</v>
      </c>
      <c r="AP29" s="31" t="s">
        <v>134</v>
      </c>
      <c r="AQ29" s="31" t="s">
        <v>134</v>
      </c>
      <c r="AR29" s="31" t="s">
        <v>134</v>
      </c>
      <c r="AS29" s="31" t="s">
        <v>134</v>
      </c>
      <c r="AT29" s="31" t="s">
        <v>134</v>
      </c>
      <c r="AU29" s="31" t="s">
        <v>134</v>
      </c>
    </row>
    <row x14ac:dyDescent="0.25" r="30" customHeight="1" ht="18.75">
      <c r="A30" s="30" t="s">
        <v>130</v>
      </c>
      <c r="B30" s="177"/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31">
        <f>AVERAGE(1/3,0)</f>
      </c>
      <c r="S30" s="143">
        <v>0</v>
      </c>
      <c r="T30" s="143">
        <v>0</v>
      </c>
      <c r="U30" s="143">
        <v>0</v>
      </c>
      <c r="V30" s="143">
        <v>0</v>
      </c>
      <c r="W30" s="31">
        <f>1/3</f>
      </c>
      <c r="X30" s="143">
        <v>0</v>
      </c>
      <c r="Y30" s="143">
        <v>0</v>
      </c>
      <c r="Z30" s="143">
        <v>0</v>
      </c>
      <c r="AA30" s="143">
        <v>0</v>
      </c>
      <c r="AB30" s="31"/>
      <c r="AC30" s="143">
        <v>0</v>
      </c>
      <c r="AD30" s="31"/>
      <c r="AE30" s="31">
        <f>AVERAGE(1/3,0)</f>
      </c>
      <c r="AF30" s="143">
        <v>0</v>
      </c>
      <c r="AG30" s="143">
        <v>0</v>
      </c>
      <c r="AH30" s="143">
        <v>0</v>
      </c>
      <c r="AI30" s="3"/>
      <c r="AJ30" s="31">
        <f>1/3</f>
      </c>
      <c r="AK30" s="31">
        <f>1/3</f>
      </c>
      <c r="AL30" s="31">
        <f>1/3</f>
      </c>
      <c r="AM30" s="143">
        <v>0</v>
      </c>
      <c r="AN30" s="31">
        <f>1/3</f>
      </c>
      <c r="AO30" s="31">
        <f>1/3</f>
      </c>
      <c r="AP30" s="31">
        <f>1/3</f>
      </c>
      <c r="AQ30" s="31">
        <f>1/3</f>
      </c>
      <c r="AR30" s="31">
        <f>1/3</f>
      </c>
      <c r="AS30" s="31">
        <f>1/3</f>
      </c>
      <c r="AT30" s="31">
        <f>1/3</f>
      </c>
      <c r="AU30" s="31">
        <f>1/3</f>
      </c>
    </row>
    <row x14ac:dyDescent="0.25" r="31" customHeight="1" ht="18.75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21" t="s">
        <v>1183</v>
      </c>
      <c r="Y31" s="121"/>
      <c r="Z31" s="121"/>
      <c r="AA31" s="121"/>
      <c r="AB31" s="120"/>
      <c r="AC31" s="121"/>
      <c r="AD31" s="120"/>
      <c r="AE31" s="121"/>
      <c r="AF31" s="121"/>
      <c r="AG31" s="2"/>
      <c r="AH31" s="2"/>
      <c r="AI31" s="3"/>
      <c r="AJ31" s="121" t="s">
        <v>1184</v>
      </c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  <c r="AC32" s="2"/>
      <c r="AD32" s="3"/>
      <c r="AE32" s="2"/>
      <c r="AF32" s="2"/>
      <c r="AG32" s="2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x14ac:dyDescent="0.25" r="33" customHeight="1" ht="18.75">
      <c r="A33" s="209" t="s">
        <v>1185</v>
      </c>
      <c r="B33" s="40" t="s">
        <v>1186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  <c r="AC33" s="2"/>
      <c r="AD33" s="3"/>
      <c r="AE33" s="2"/>
      <c r="AF33" s="2"/>
      <c r="AG33" s="2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x14ac:dyDescent="0.25" r="34" customHeight="1" ht="18.75">
      <c r="A34" s="30"/>
      <c r="B34" s="40" t="s">
        <v>1187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  <c r="AC34" s="2"/>
      <c r="AD34" s="3"/>
      <c r="AE34" s="2"/>
      <c r="AF34" s="2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x14ac:dyDescent="0.25" r="35" customHeight="1" ht="30.75">
      <c r="A35" s="206" t="s">
        <v>1188</v>
      </c>
      <c r="B35" s="40" t="s">
        <v>1186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  <c r="AC35" s="2"/>
      <c r="AD35" s="3"/>
      <c r="AE35" s="2"/>
      <c r="AF35" s="2"/>
      <c r="AG35" s="2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x14ac:dyDescent="0.25" r="36" customHeight="1" ht="18.75">
      <c r="A36" s="164"/>
      <c r="B36" s="40" t="s">
        <v>1189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/>
      <c r="AC36" s="2"/>
      <c r="AD36" s="3"/>
      <c r="AE36" s="2"/>
      <c r="AF36" s="2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x14ac:dyDescent="0.25" r="37" customHeight="1" ht="18.75">
      <c r="A37" s="164"/>
      <c r="B37" s="40" t="s">
        <v>1187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  <c r="AC37" s="2"/>
      <c r="AD37" s="3"/>
      <c r="AE37" s="2"/>
      <c r="AF37" s="2"/>
      <c r="AG37" s="2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</sheetData>
  <mergeCells count="9">
    <mergeCell ref="B3:D3"/>
    <mergeCell ref="F3:O3"/>
    <mergeCell ref="B4:D4"/>
    <mergeCell ref="F4:O5"/>
    <mergeCell ref="B5:D5"/>
    <mergeCell ref="X31:AF31"/>
    <mergeCell ref="AJ31:AU31"/>
    <mergeCell ref="A33:A34"/>
    <mergeCell ref="A35:A3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5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151" width="13.576428571428572" customWidth="1" bestFit="1"/>
    <col min="15" max="15" style="43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151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151" width="13.576428571428572" customWidth="1" bestFit="1"/>
    <col min="22" max="22" style="43" width="13.576428571428572" customWidth="1" bestFit="1"/>
    <col min="23" max="23" style="151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151" width="13.576428571428572" customWidth="1" bestFit="1"/>
    <col min="28" max="28" style="43" width="13.576428571428572" customWidth="1" bestFit="1"/>
    <col min="29" max="29" style="151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151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4" width="13.576428571428572" customWidth="1" bestFit="1"/>
    <col min="41" max="41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149"/>
      <c r="O1" s="2"/>
      <c r="P1" s="149"/>
      <c r="Q1" s="149"/>
      <c r="R1" s="149"/>
      <c r="S1" s="2"/>
      <c r="T1" s="2"/>
      <c r="U1" s="149"/>
      <c r="V1" s="2"/>
      <c r="W1" s="149"/>
      <c r="X1" s="2"/>
      <c r="Y1" s="2"/>
      <c r="Z1" s="2"/>
      <c r="AA1" s="149"/>
      <c r="AB1" s="2"/>
      <c r="AC1" s="149"/>
      <c r="AD1" s="2"/>
      <c r="AE1" s="2"/>
      <c r="AF1" s="149"/>
      <c r="AG1" s="2"/>
      <c r="AH1" s="2"/>
      <c r="AI1" s="3"/>
      <c r="AJ1" s="2"/>
      <c r="AK1" s="2"/>
      <c r="AL1" s="2"/>
      <c r="AM1" s="2"/>
      <c r="AN1" s="3"/>
      <c r="AO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49"/>
      <c r="O2" s="2"/>
      <c r="P2" s="149"/>
      <c r="Q2" s="149"/>
      <c r="R2" s="149"/>
      <c r="S2" s="2"/>
      <c r="T2" s="2"/>
      <c r="U2" s="149"/>
      <c r="V2" s="2"/>
      <c r="W2" s="149"/>
      <c r="X2" s="2"/>
      <c r="Y2" s="2"/>
      <c r="Z2" s="2"/>
      <c r="AA2" s="149"/>
      <c r="AB2" s="2"/>
      <c r="AC2" s="149"/>
      <c r="AD2" s="2"/>
      <c r="AE2" s="2"/>
      <c r="AF2" s="149"/>
      <c r="AG2" s="2"/>
      <c r="AH2" s="2"/>
      <c r="AI2" s="3"/>
      <c r="AJ2" s="2"/>
      <c r="AK2" s="2"/>
      <c r="AL2" s="2"/>
      <c r="AM2" s="2"/>
      <c r="AN2" s="3"/>
      <c r="AO2" s="2"/>
    </row>
    <row x14ac:dyDescent="0.25" r="3" customHeight="1" ht="18.75">
      <c r="A3" s="1" t="s">
        <v>2</v>
      </c>
      <c r="B3" s="5">
        <v>43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149"/>
      <c r="Q3" s="149"/>
      <c r="R3" s="149"/>
      <c r="S3" s="2"/>
      <c r="T3" s="2"/>
      <c r="U3" s="149"/>
      <c r="V3" s="2"/>
      <c r="W3" s="149"/>
      <c r="X3" s="2"/>
      <c r="Y3" s="2"/>
      <c r="Z3" s="2"/>
      <c r="AA3" s="149"/>
      <c r="AB3" s="2"/>
      <c r="AC3" s="149"/>
      <c r="AD3" s="2"/>
      <c r="AE3" s="2"/>
      <c r="AF3" s="149"/>
      <c r="AG3" s="2"/>
      <c r="AH3" s="2"/>
      <c r="AI3" s="3"/>
      <c r="AJ3" s="2"/>
      <c r="AK3" s="2"/>
      <c r="AL3" s="2"/>
      <c r="AM3" s="2"/>
      <c r="AN3" s="3"/>
      <c r="AO3" s="2"/>
    </row>
    <row x14ac:dyDescent="0.25" r="4" customHeight="1" ht="18.75">
      <c r="A4" s="1" t="s">
        <v>4</v>
      </c>
      <c r="B4" s="7" t="s">
        <v>1113</v>
      </c>
      <c r="C4" s="7"/>
      <c r="D4" s="7"/>
      <c r="E4" s="2"/>
      <c r="F4" s="124" t="s">
        <v>1114</v>
      </c>
      <c r="G4" s="92"/>
      <c r="H4" s="92"/>
      <c r="I4" s="92"/>
      <c r="J4" s="92"/>
      <c r="K4" s="92"/>
      <c r="L4" s="92"/>
      <c r="M4" s="92"/>
      <c r="N4" s="92"/>
      <c r="O4" s="125"/>
      <c r="P4" s="149"/>
      <c r="Q4" s="149"/>
      <c r="R4" s="149"/>
      <c r="S4" s="2"/>
      <c r="T4" s="2"/>
      <c r="U4" s="149"/>
      <c r="V4" s="2"/>
      <c r="W4" s="149"/>
      <c r="X4" s="2"/>
      <c r="Y4" s="2"/>
      <c r="Z4" s="2"/>
      <c r="AA4" s="149"/>
      <c r="AB4" s="2"/>
      <c r="AC4" s="149"/>
      <c r="AD4" s="2"/>
      <c r="AE4" s="2"/>
      <c r="AF4" s="149"/>
      <c r="AG4" s="2"/>
      <c r="AH4" s="2"/>
      <c r="AI4" s="3"/>
      <c r="AJ4" s="2"/>
      <c r="AK4" s="2"/>
      <c r="AL4" s="2"/>
      <c r="AM4" s="2"/>
      <c r="AN4" s="3"/>
      <c r="AO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149"/>
      <c r="Q5" s="149"/>
      <c r="R5" s="149"/>
      <c r="S5" s="2"/>
      <c r="T5" s="2"/>
      <c r="U5" s="149"/>
      <c r="V5" s="2"/>
      <c r="W5" s="149"/>
      <c r="X5" s="2"/>
      <c r="Y5" s="2"/>
      <c r="Z5" s="2"/>
      <c r="AA5" s="149"/>
      <c r="AB5" s="2"/>
      <c r="AC5" s="149"/>
      <c r="AD5" s="2"/>
      <c r="AE5" s="2"/>
      <c r="AF5" s="149"/>
      <c r="AG5" s="2"/>
      <c r="AH5" s="2"/>
      <c r="AI5" s="3"/>
      <c r="AJ5" s="2"/>
      <c r="AK5" s="2"/>
      <c r="AL5" s="2"/>
      <c r="AM5" s="2"/>
      <c r="AN5" s="3"/>
      <c r="AO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49"/>
      <c r="O6" s="2"/>
      <c r="P6" s="149"/>
      <c r="Q6" s="149"/>
      <c r="R6" s="149"/>
      <c r="S6" s="2"/>
      <c r="T6" s="2"/>
      <c r="U6" s="149"/>
      <c r="V6" s="2"/>
      <c r="W6" s="149"/>
      <c r="X6" s="2"/>
      <c r="Y6" s="2"/>
      <c r="Z6" s="2"/>
      <c r="AA6" s="149"/>
      <c r="AB6" s="2"/>
      <c r="AC6" s="149"/>
      <c r="AD6" s="2"/>
      <c r="AE6" s="2"/>
      <c r="AF6" s="149"/>
      <c r="AG6" s="2"/>
      <c r="AH6" s="2"/>
      <c r="AI6" s="3"/>
      <c r="AJ6" s="2"/>
      <c r="AK6" s="2"/>
      <c r="AL6" s="2"/>
      <c r="AM6" s="2"/>
      <c r="AN6" s="3"/>
      <c r="AO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56" t="s">
        <v>42</v>
      </c>
      <c r="AI7" s="3"/>
      <c r="AJ7" s="54" t="s">
        <v>24</v>
      </c>
      <c r="AK7" s="102" t="s">
        <v>25</v>
      </c>
      <c r="AL7" s="104" t="s">
        <v>32</v>
      </c>
      <c r="AM7" s="104" t="s">
        <v>33</v>
      </c>
      <c r="AN7" s="3"/>
      <c r="AO7" s="64" t="s">
        <v>10</v>
      </c>
    </row>
    <row x14ac:dyDescent="0.25" r="8" customHeight="1" ht="18.75">
      <c r="A8" s="30" t="s">
        <v>43</v>
      </c>
      <c r="B8" s="31" t="s">
        <v>509</v>
      </c>
      <c r="C8" s="143" t="s">
        <v>358</v>
      </c>
      <c r="D8" s="143" t="s">
        <v>358</v>
      </c>
      <c r="E8" s="143" t="s">
        <v>358</v>
      </c>
      <c r="F8" s="143" t="s">
        <v>358</v>
      </c>
      <c r="G8" s="143" t="s">
        <v>358</v>
      </c>
      <c r="H8" s="143" t="s">
        <v>358</v>
      </c>
      <c r="I8" s="143" t="s">
        <v>358</v>
      </c>
      <c r="J8" s="31" t="s">
        <v>268</v>
      </c>
      <c r="K8" s="31" t="s">
        <v>268</v>
      </c>
      <c r="L8" s="31" t="s">
        <v>268</v>
      </c>
      <c r="M8" s="31" t="s">
        <v>268</v>
      </c>
      <c r="N8" s="31" t="s">
        <v>268</v>
      </c>
      <c r="O8" s="31" t="s">
        <v>268</v>
      </c>
      <c r="P8" s="31" t="s">
        <v>268</v>
      </c>
      <c r="Q8" s="31" t="s">
        <v>268</v>
      </c>
      <c r="R8" s="31" t="s">
        <v>268</v>
      </c>
      <c r="S8" s="31" t="s">
        <v>268</v>
      </c>
      <c r="T8" s="31" t="s">
        <v>735</v>
      </c>
      <c r="U8" s="31" t="s">
        <v>735</v>
      </c>
      <c r="V8" s="31" t="s">
        <v>268</v>
      </c>
      <c r="W8" s="31" t="s">
        <v>268</v>
      </c>
      <c r="X8" s="31" t="s">
        <v>268</v>
      </c>
      <c r="Y8" s="31" t="s">
        <v>735</v>
      </c>
      <c r="Z8" s="31" t="s">
        <v>803</v>
      </c>
      <c r="AA8" s="31" t="s">
        <v>1115</v>
      </c>
      <c r="AB8" s="143" t="s">
        <v>358</v>
      </c>
      <c r="AC8" s="143" t="s">
        <v>358</v>
      </c>
      <c r="AD8" s="31" t="s">
        <v>1115</v>
      </c>
      <c r="AE8" s="119" t="s">
        <v>1116</v>
      </c>
      <c r="AF8" s="31" t="s">
        <v>735</v>
      </c>
      <c r="AG8" s="31" t="s">
        <v>268</v>
      </c>
      <c r="AH8" s="31" t="s">
        <v>1115</v>
      </c>
      <c r="AI8" s="3"/>
      <c r="AJ8" s="143" t="s">
        <v>358</v>
      </c>
      <c r="AK8" s="143" t="s">
        <v>358</v>
      </c>
      <c r="AL8" s="143" t="s">
        <v>358</v>
      </c>
      <c r="AM8" s="143" t="s">
        <v>358</v>
      </c>
      <c r="AN8" s="3"/>
      <c r="AO8" s="31" t="s">
        <v>509</v>
      </c>
    </row>
    <row x14ac:dyDescent="0.25" r="9" customHeight="1" ht="18.75">
      <c r="A9" s="30" t="s">
        <v>45</v>
      </c>
      <c r="B9" s="31" t="s">
        <v>511</v>
      </c>
      <c r="C9" s="146" t="s">
        <v>358</v>
      </c>
      <c r="D9" s="146" t="s">
        <v>358</v>
      </c>
      <c r="E9" s="146" t="s">
        <v>358</v>
      </c>
      <c r="F9" s="146" t="s">
        <v>358</v>
      </c>
      <c r="G9" s="146" t="s">
        <v>358</v>
      </c>
      <c r="H9" s="146" t="s">
        <v>358</v>
      </c>
      <c r="I9" s="146" t="s">
        <v>358</v>
      </c>
      <c r="J9" s="31" t="s">
        <v>511</v>
      </c>
      <c r="K9" s="31" t="s">
        <v>511</v>
      </c>
      <c r="L9" s="31" t="s">
        <v>511</v>
      </c>
      <c r="M9" s="31" t="s">
        <v>511</v>
      </c>
      <c r="N9" s="31" t="s">
        <v>511</v>
      </c>
      <c r="O9" s="31" t="s">
        <v>511</v>
      </c>
      <c r="P9" s="31" t="s">
        <v>511</v>
      </c>
      <c r="Q9" s="31" t="s">
        <v>511</v>
      </c>
      <c r="R9" s="31" t="s">
        <v>511</v>
      </c>
      <c r="S9" s="31" t="s">
        <v>1117</v>
      </c>
      <c r="T9" s="33" t="s">
        <v>272</v>
      </c>
      <c r="U9" s="33" t="s">
        <v>272</v>
      </c>
      <c r="V9" s="31" t="s">
        <v>511</v>
      </c>
      <c r="W9" s="31" t="s">
        <v>511</v>
      </c>
      <c r="X9" s="31" t="s">
        <v>511</v>
      </c>
      <c r="Y9" s="33" t="s">
        <v>272</v>
      </c>
      <c r="Z9" s="33" t="s">
        <v>809</v>
      </c>
      <c r="AA9" s="31" t="s">
        <v>511</v>
      </c>
      <c r="AB9" s="146" t="s">
        <v>358</v>
      </c>
      <c r="AC9" s="146" t="s">
        <v>358</v>
      </c>
      <c r="AD9" s="33" t="s">
        <v>809</v>
      </c>
      <c r="AE9" s="33" t="s">
        <v>1118</v>
      </c>
      <c r="AF9" s="33" t="s">
        <v>272</v>
      </c>
      <c r="AG9" s="31" t="s">
        <v>511</v>
      </c>
      <c r="AH9" s="31" t="s">
        <v>1119</v>
      </c>
      <c r="AI9" s="3"/>
      <c r="AJ9" s="146" t="s">
        <v>358</v>
      </c>
      <c r="AK9" s="146" t="s">
        <v>358</v>
      </c>
      <c r="AL9" s="146" t="s">
        <v>358</v>
      </c>
      <c r="AM9" s="146" t="s">
        <v>358</v>
      </c>
      <c r="AN9" s="3"/>
      <c r="AO9" s="31" t="s">
        <v>511</v>
      </c>
    </row>
    <row x14ac:dyDescent="0.25" r="10" customHeight="1" ht="18.75">
      <c r="A10" s="35" t="s">
        <v>47</v>
      </c>
      <c r="B10" s="117">
        <v>20</v>
      </c>
      <c r="C10" s="144"/>
      <c r="D10" s="144"/>
      <c r="E10" s="144"/>
      <c r="F10" s="144"/>
      <c r="G10" s="144"/>
      <c r="H10" s="144"/>
      <c r="I10" s="144"/>
      <c r="J10" s="117">
        <v>20</v>
      </c>
      <c r="K10" s="117">
        <v>20</v>
      </c>
      <c r="L10" s="117">
        <v>20</v>
      </c>
      <c r="M10" s="117">
        <v>20</v>
      </c>
      <c r="N10" s="117">
        <v>20</v>
      </c>
      <c r="O10" s="117">
        <v>20</v>
      </c>
      <c r="P10" s="117">
        <v>20</v>
      </c>
      <c r="Q10" s="117">
        <v>20</v>
      </c>
      <c r="R10" s="117">
        <v>20</v>
      </c>
      <c r="S10" s="117">
        <v>136</v>
      </c>
      <c r="T10" s="117">
        <v>35</v>
      </c>
      <c r="U10" s="117">
        <v>35</v>
      </c>
      <c r="V10" s="117">
        <v>20</v>
      </c>
      <c r="W10" s="117">
        <v>20</v>
      </c>
      <c r="X10" s="117">
        <v>20</v>
      </c>
      <c r="Y10" s="117">
        <v>35</v>
      </c>
      <c r="Z10" s="117">
        <v>18</v>
      </c>
      <c r="AA10" s="117">
        <v>20</v>
      </c>
      <c r="AB10" s="144"/>
      <c r="AC10" s="144"/>
      <c r="AD10" s="117">
        <v>18</v>
      </c>
      <c r="AE10" s="117">
        <v>156</v>
      </c>
      <c r="AF10" s="117">
        <v>35</v>
      </c>
      <c r="AG10" s="117">
        <v>20</v>
      </c>
      <c r="AH10" s="117">
        <v>154</v>
      </c>
      <c r="AI10" s="3"/>
      <c r="AJ10" s="144"/>
      <c r="AK10" s="144"/>
      <c r="AL10" s="144"/>
      <c r="AM10" s="144"/>
      <c r="AN10" s="3"/>
      <c r="AO10" s="117">
        <v>20</v>
      </c>
    </row>
    <row x14ac:dyDescent="0.25" r="11" customHeight="1" ht="18.75">
      <c r="A11" s="30" t="s">
        <v>123</v>
      </c>
      <c r="B11" s="33" t="s">
        <v>52</v>
      </c>
      <c r="C11" s="143" t="s">
        <v>49</v>
      </c>
      <c r="D11" s="143" t="s">
        <v>49</v>
      </c>
      <c r="E11" s="143" t="s">
        <v>49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1" t="s">
        <v>162</v>
      </c>
      <c r="T11" s="31" t="s">
        <v>52</v>
      </c>
      <c r="U11" s="31" t="s">
        <v>52</v>
      </c>
      <c r="V11" s="33" t="s">
        <v>52</v>
      </c>
      <c r="W11" s="33" t="s">
        <v>52</v>
      </c>
      <c r="X11" s="33" t="s">
        <v>52</v>
      </c>
      <c r="Y11" s="31" t="s">
        <v>52</v>
      </c>
      <c r="Z11" s="33" t="s">
        <v>52</v>
      </c>
      <c r="AA11" s="33" t="s">
        <v>52</v>
      </c>
      <c r="AB11" s="143" t="s">
        <v>49</v>
      </c>
      <c r="AC11" s="143" t="s">
        <v>49</v>
      </c>
      <c r="AD11" s="33" t="s">
        <v>52</v>
      </c>
      <c r="AE11" s="31" t="s">
        <v>162</v>
      </c>
      <c r="AF11" s="31" t="s">
        <v>52</v>
      </c>
      <c r="AG11" s="33" t="s">
        <v>52</v>
      </c>
      <c r="AH11" s="33" t="s">
        <v>52</v>
      </c>
      <c r="AI11" s="3"/>
      <c r="AJ11" s="143" t="s">
        <v>49</v>
      </c>
      <c r="AK11" s="143" t="s">
        <v>49</v>
      </c>
      <c r="AL11" s="143" t="s">
        <v>49</v>
      </c>
      <c r="AM11" s="143" t="s">
        <v>49</v>
      </c>
      <c r="AN11" s="3"/>
      <c r="AO11" s="33" t="s">
        <v>52</v>
      </c>
    </row>
    <row x14ac:dyDescent="0.25" r="12" customHeight="1" ht="18.75">
      <c r="A12" s="30" t="s">
        <v>124</v>
      </c>
      <c r="B12" s="33" t="s">
        <v>52</v>
      </c>
      <c r="C12" s="143" t="s">
        <v>49</v>
      </c>
      <c r="D12" s="143" t="s">
        <v>49</v>
      </c>
      <c r="E12" s="143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1" t="s">
        <v>162</v>
      </c>
      <c r="T12" s="31" t="s">
        <v>52</v>
      </c>
      <c r="U12" s="31" t="s">
        <v>52</v>
      </c>
      <c r="V12" s="33" t="s">
        <v>52</v>
      </c>
      <c r="W12" s="33" t="s">
        <v>52</v>
      </c>
      <c r="X12" s="33" t="s">
        <v>52</v>
      </c>
      <c r="Y12" s="31" t="s">
        <v>52</v>
      </c>
      <c r="Z12" s="33" t="s">
        <v>52</v>
      </c>
      <c r="AA12" s="33" t="s">
        <v>52</v>
      </c>
      <c r="AB12" s="143" t="s">
        <v>49</v>
      </c>
      <c r="AC12" s="143" t="s">
        <v>49</v>
      </c>
      <c r="AD12" s="33" t="s">
        <v>52</v>
      </c>
      <c r="AE12" s="31" t="s">
        <v>162</v>
      </c>
      <c r="AF12" s="31" t="s">
        <v>52</v>
      </c>
      <c r="AG12" s="33" t="s">
        <v>52</v>
      </c>
      <c r="AH12" s="31" t="s">
        <v>52</v>
      </c>
      <c r="AI12" s="3"/>
      <c r="AJ12" s="143" t="s">
        <v>49</v>
      </c>
      <c r="AK12" s="143" t="s">
        <v>49</v>
      </c>
      <c r="AL12" s="143" t="s">
        <v>49</v>
      </c>
      <c r="AM12" s="143" t="s">
        <v>49</v>
      </c>
      <c r="AN12" s="3"/>
      <c r="AO12" s="33" t="s">
        <v>52</v>
      </c>
    </row>
    <row x14ac:dyDescent="0.25" r="13" customHeight="1" ht="18.75">
      <c r="A13" s="30" t="s">
        <v>125</v>
      </c>
      <c r="B13" s="31" t="s">
        <v>49</v>
      </c>
      <c r="C13" s="143" t="s">
        <v>49</v>
      </c>
      <c r="D13" s="143" t="s">
        <v>49</v>
      </c>
      <c r="E13" s="143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52</v>
      </c>
      <c r="U13" s="31" t="s">
        <v>52</v>
      </c>
      <c r="V13" s="31" t="s">
        <v>49</v>
      </c>
      <c r="W13" s="31" t="s">
        <v>49</v>
      </c>
      <c r="X13" s="31" t="s">
        <v>49</v>
      </c>
      <c r="Y13" s="31" t="s">
        <v>52</v>
      </c>
      <c r="Z13" s="31" t="s">
        <v>49</v>
      </c>
      <c r="AA13" s="31" t="s">
        <v>49</v>
      </c>
      <c r="AB13" s="143" t="s">
        <v>49</v>
      </c>
      <c r="AC13" s="143" t="s">
        <v>49</v>
      </c>
      <c r="AD13" s="31" t="s">
        <v>49</v>
      </c>
      <c r="AE13" s="31" t="s">
        <v>49</v>
      </c>
      <c r="AF13" s="31" t="s">
        <v>52</v>
      </c>
      <c r="AG13" s="31" t="s">
        <v>49</v>
      </c>
      <c r="AH13" s="31" t="s">
        <v>49</v>
      </c>
      <c r="AI13" s="3"/>
      <c r="AJ13" s="143" t="s">
        <v>49</v>
      </c>
      <c r="AK13" s="143" t="s">
        <v>49</v>
      </c>
      <c r="AL13" s="143" t="s">
        <v>49</v>
      </c>
      <c r="AM13" s="143" t="s">
        <v>49</v>
      </c>
      <c r="AN13" s="3"/>
      <c r="AO13" s="31" t="s">
        <v>49</v>
      </c>
    </row>
    <row x14ac:dyDescent="0.25" r="14" customHeight="1" ht="18.75">
      <c r="A14" s="30" t="s">
        <v>126</v>
      </c>
      <c r="B14" s="31" t="s">
        <v>49</v>
      </c>
      <c r="C14" s="143" t="s">
        <v>49</v>
      </c>
      <c r="D14" s="143" t="s">
        <v>49</v>
      </c>
      <c r="E14" s="143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143" t="s">
        <v>49</v>
      </c>
      <c r="AC14" s="143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143" t="s">
        <v>49</v>
      </c>
      <c r="AK14" s="143" t="s">
        <v>49</v>
      </c>
      <c r="AL14" s="143" t="s">
        <v>49</v>
      </c>
      <c r="AM14" s="143" t="s">
        <v>49</v>
      </c>
      <c r="AN14" s="3"/>
      <c r="AO14" s="31" t="s">
        <v>49</v>
      </c>
    </row>
    <row x14ac:dyDescent="0.25" r="15" customHeight="1" ht="18.75">
      <c r="A15" s="30" t="s">
        <v>127</v>
      </c>
      <c r="B15" s="31" t="s">
        <v>234</v>
      </c>
      <c r="C15" s="143" t="s">
        <v>234</v>
      </c>
      <c r="D15" s="143" t="s">
        <v>234</v>
      </c>
      <c r="E15" s="143" t="s">
        <v>234</v>
      </c>
      <c r="F15" s="143" t="s">
        <v>234</v>
      </c>
      <c r="G15" s="143" t="s">
        <v>234</v>
      </c>
      <c r="H15" s="143" t="s">
        <v>234</v>
      </c>
      <c r="I15" s="143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1" t="s">
        <v>234</v>
      </c>
      <c r="S15" s="31" t="s">
        <v>234</v>
      </c>
      <c r="T15" s="31" t="s">
        <v>133</v>
      </c>
      <c r="U15" s="31" t="s">
        <v>133</v>
      </c>
      <c r="V15" s="31" t="s">
        <v>234</v>
      </c>
      <c r="W15" s="31" t="s">
        <v>234</v>
      </c>
      <c r="X15" s="31" t="s">
        <v>234</v>
      </c>
      <c r="Y15" s="31" t="s">
        <v>133</v>
      </c>
      <c r="Z15" s="31" t="s">
        <v>133</v>
      </c>
      <c r="AA15" s="31" t="s">
        <v>234</v>
      </c>
      <c r="AB15" s="143" t="s">
        <v>234</v>
      </c>
      <c r="AC15" s="143" t="s">
        <v>234</v>
      </c>
      <c r="AD15" s="31" t="s">
        <v>133</v>
      </c>
      <c r="AE15" s="31" t="s">
        <v>133</v>
      </c>
      <c r="AF15" s="31" t="s">
        <v>133</v>
      </c>
      <c r="AG15" s="31" t="s">
        <v>234</v>
      </c>
      <c r="AH15" s="31" t="s">
        <v>304</v>
      </c>
      <c r="AI15" s="3"/>
      <c r="AJ15" s="143" t="s">
        <v>234</v>
      </c>
      <c r="AK15" s="143" t="s">
        <v>234</v>
      </c>
      <c r="AL15" s="143" t="s">
        <v>234</v>
      </c>
      <c r="AM15" s="143" t="s">
        <v>234</v>
      </c>
      <c r="AN15" s="3"/>
      <c r="AO15" s="31" t="s">
        <v>234</v>
      </c>
    </row>
    <row x14ac:dyDescent="0.25" r="16" customHeight="1" ht="18.75">
      <c r="A16" s="30" t="s">
        <v>128</v>
      </c>
      <c r="B16" s="31">
        <v>-3</v>
      </c>
      <c r="C16" s="143">
        <v>-3</v>
      </c>
      <c r="D16" s="143">
        <v>-3</v>
      </c>
      <c r="E16" s="143">
        <v>-3</v>
      </c>
      <c r="F16" s="143">
        <v>-3</v>
      </c>
      <c r="G16" s="143">
        <v>-3</v>
      </c>
      <c r="H16" s="143">
        <v>-3</v>
      </c>
      <c r="I16" s="143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>
        <v>-3</v>
      </c>
      <c r="S16" s="31">
        <v>-3</v>
      </c>
      <c r="T16" s="33">
        <v>-0.5</v>
      </c>
      <c r="U16" s="33">
        <v>-0.5</v>
      </c>
      <c r="V16" s="31">
        <v>-3</v>
      </c>
      <c r="W16" s="31">
        <v>-3</v>
      </c>
      <c r="X16" s="31">
        <v>-3</v>
      </c>
      <c r="Y16" s="33">
        <v>-0.5</v>
      </c>
      <c r="Z16" s="31">
        <v>-2</v>
      </c>
      <c r="AA16" s="31">
        <v>-3</v>
      </c>
      <c r="AB16" s="143">
        <v>-3</v>
      </c>
      <c r="AC16" s="143">
        <v>-3</v>
      </c>
      <c r="AD16" s="31">
        <v>-2</v>
      </c>
      <c r="AE16" s="31">
        <v>-2</v>
      </c>
      <c r="AF16" s="33">
        <v>-0.5</v>
      </c>
      <c r="AG16" s="31">
        <v>-3</v>
      </c>
      <c r="AH16" s="31">
        <v>-2.5</v>
      </c>
      <c r="AI16" s="3"/>
      <c r="AJ16" s="143">
        <v>-3</v>
      </c>
      <c r="AK16" s="143">
        <v>-3</v>
      </c>
      <c r="AL16" s="143">
        <v>-3</v>
      </c>
      <c r="AM16" s="143">
        <v>-3</v>
      </c>
      <c r="AN16" s="3"/>
      <c r="AO16" s="31">
        <v>-3</v>
      </c>
    </row>
    <row x14ac:dyDescent="0.25" r="17" customHeight="1" ht="18.75">
      <c r="A17" s="30" t="s">
        <v>129</v>
      </c>
      <c r="B17" s="31" t="s">
        <v>138</v>
      </c>
      <c r="C17" s="143" t="s">
        <v>358</v>
      </c>
      <c r="D17" s="143" t="s">
        <v>358</v>
      </c>
      <c r="E17" s="143" t="s">
        <v>358</v>
      </c>
      <c r="F17" s="143" t="s">
        <v>358</v>
      </c>
      <c r="G17" s="143" t="s">
        <v>358</v>
      </c>
      <c r="H17" s="143" t="s">
        <v>358</v>
      </c>
      <c r="I17" s="143" t="s">
        <v>358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1" t="s">
        <v>138</v>
      </c>
      <c r="S17" s="31" t="s">
        <v>1120</v>
      </c>
      <c r="T17" s="31" t="s">
        <v>274</v>
      </c>
      <c r="U17" s="31" t="s">
        <v>274</v>
      </c>
      <c r="V17" s="31" t="s">
        <v>138</v>
      </c>
      <c r="W17" s="31" t="s">
        <v>138</v>
      </c>
      <c r="X17" s="31" t="s">
        <v>138</v>
      </c>
      <c r="Y17" s="31" t="s">
        <v>274</v>
      </c>
      <c r="Z17" s="31" t="s">
        <v>138</v>
      </c>
      <c r="AA17" s="31" t="s">
        <v>138</v>
      </c>
      <c r="AB17" s="143" t="s">
        <v>358</v>
      </c>
      <c r="AC17" s="143" t="s">
        <v>358</v>
      </c>
      <c r="AD17" s="31" t="s">
        <v>138</v>
      </c>
      <c r="AE17" s="31" t="s">
        <v>1120</v>
      </c>
      <c r="AF17" s="31" t="s">
        <v>274</v>
      </c>
      <c r="AG17" s="31" t="s">
        <v>138</v>
      </c>
      <c r="AH17" s="31" t="s">
        <v>138</v>
      </c>
      <c r="AI17" s="3"/>
      <c r="AJ17" s="143" t="s">
        <v>358</v>
      </c>
      <c r="AK17" s="143" t="s">
        <v>358</v>
      </c>
      <c r="AL17" s="143" t="s">
        <v>358</v>
      </c>
      <c r="AM17" s="143" t="s">
        <v>358</v>
      </c>
      <c r="AN17" s="3"/>
      <c r="AO17" s="31" t="s">
        <v>138</v>
      </c>
    </row>
    <row x14ac:dyDescent="0.25" r="18" customHeight="1" ht="18.75">
      <c r="A18" s="30" t="s">
        <v>130</v>
      </c>
      <c r="B18" s="31">
        <v>4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3">
        <v>0</v>
      </c>
      <c r="I18" s="143">
        <v>0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>
        <v>4</v>
      </c>
      <c r="S18" s="31">
        <f>AVERAGE(4,0)</f>
      </c>
      <c r="T18" s="31">
        <v>3</v>
      </c>
      <c r="U18" s="31">
        <v>3</v>
      </c>
      <c r="V18" s="31">
        <v>4</v>
      </c>
      <c r="W18" s="31">
        <v>4</v>
      </c>
      <c r="X18" s="31">
        <v>4</v>
      </c>
      <c r="Y18" s="31">
        <v>3</v>
      </c>
      <c r="Z18" s="31">
        <v>4</v>
      </c>
      <c r="AA18" s="31">
        <v>4</v>
      </c>
      <c r="AB18" s="143">
        <v>0</v>
      </c>
      <c r="AC18" s="143">
        <v>0</v>
      </c>
      <c r="AD18" s="31">
        <v>4</v>
      </c>
      <c r="AE18" s="31">
        <f>AVERAGE(4,0)</f>
      </c>
      <c r="AF18" s="31">
        <v>3</v>
      </c>
      <c r="AG18" s="31">
        <v>4</v>
      </c>
      <c r="AH18" s="31">
        <v>4</v>
      </c>
      <c r="AI18" s="3"/>
      <c r="AJ18" s="143">
        <v>0</v>
      </c>
      <c r="AK18" s="143">
        <v>0</v>
      </c>
      <c r="AL18" s="143">
        <v>0</v>
      </c>
      <c r="AM18" s="143">
        <v>0</v>
      </c>
      <c r="AN18" s="3"/>
      <c r="AO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49"/>
      <c r="O19" s="2"/>
      <c r="P19" s="149"/>
      <c r="Q19" s="149"/>
      <c r="R19" s="149"/>
      <c r="S19" s="2"/>
      <c r="T19" s="2"/>
      <c r="U19" s="149"/>
      <c r="V19" s="2"/>
      <c r="W19" s="149"/>
      <c r="X19" s="2"/>
      <c r="Y19" s="2"/>
      <c r="Z19" s="2"/>
      <c r="AA19" s="149"/>
      <c r="AB19" s="2"/>
      <c r="AC19" s="149"/>
      <c r="AD19" s="2"/>
      <c r="AE19" s="2"/>
      <c r="AF19" s="149"/>
      <c r="AG19" s="2"/>
      <c r="AH19" s="2"/>
      <c r="AI19" s="3"/>
      <c r="AJ19" s="2"/>
      <c r="AK19" s="2"/>
      <c r="AL19" s="2"/>
      <c r="AM19" s="2"/>
      <c r="AN19" s="3"/>
      <c r="AO19" s="2"/>
    </row>
    <row x14ac:dyDescent="0.25" r="20" customHeight="1" ht="18.75">
      <c r="A20" s="30" t="s">
        <v>43</v>
      </c>
      <c r="B20" s="139" t="s">
        <v>198</v>
      </c>
      <c r="C20" s="31" t="s">
        <v>149</v>
      </c>
      <c r="D20" s="31" t="s">
        <v>149</v>
      </c>
      <c r="E20" s="31" t="s">
        <v>149</v>
      </c>
      <c r="F20" s="31" t="s">
        <v>1087</v>
      </c>
      <c r="G20" s="139" t="s">
        <v>149</v>
      </c>
      <c r="H20" s="31" t="s">
        <v>149</v>
      </c>
      <c r="I20" s="31" t="s">
        <v>149</v>
      </c>
      <c r="J20" s="31" t="s">
        <v>1088</v>
      </c>
      <c r="K20" s="31" t="s">
        <v>149</v>
      </c>
      <c r="L20" s="31" t="s">
        <v>149</v>
      </c>
      <c r="M20" s="31" t="s">
        <v>149</v>
      </c>
      <c r="N20" s="31" t="s">
        <v>149</v>
      </c>
      <c r="O20" s="31" t="s">
        <v>149</v>
      </c>
      <c r="P20" s="139" t="s">
        <v>149</v>
      </c>
      <c r="Q20" s="139" t="s">
        <v>149</v>
      </c>
      <c r="R20" s="139" t="s">
        <v>149</v>
      </c>
      <c r="S20" s="31" t="s">
        <v>150</v>
      </c>
      <c r="T20" s="143" t="s">
        <v>358</v>
      </c>
      <c r="U20" s="143" t="s">
        <v>358</v>
      </c>
      <c r="V20" s="31" t="s">
        <v>149</v>
      </c>
      <c r="W20" s="31" t="s">
        <v>149</v>
      </c>
      <c r="X20" s="31" t="s">
        <v>180</v>
      </c>
      <c r="Y20" s="143" t="s">
        <v>358</v>
      </c>
      <c r="Z20" s="143" t="s">
        <v>358</v>
      </c>
      <c r="AA20" s="31" t="s">
        <v>68</v>
      </c>
      <c r="AB20" s="31" t="s">
        <v>1121</v>
      </c>
      <c r="AC20" s="31" t="s">
        <v>1121</v>
      </c>
      <c r="AD20" s="143" t="s">
        <v>358</v>
      </c>
      <c r="AE20" s="31" t="s">
        <v>1122</v>
      </c>
      <c r="AF20" s="143" t="s">
        <v>358</v>
      </c>
      <c r="AG20" s="31" t="s">
        <v>360</v>
      </c>
      <c r="AH20" s="31" t="s">
        <v>68</v>
      </c>
      <c r="AI20" s="3"/>
      <c r="AJ20" s="31" t="s">
        <v>149</v>
      </c>
      <c r="AK20" s="31" t="s">
        <v>149</v>
      </c>
      <c r="AL20" s="31" t="s">
        <v>149</v>
      </c>
      <c r="AM20" s="31" t="s">
        <v>149</v>
      </c>
      <c r="AN20" s="3"/>
      <c r="AO20" s="31" t="s">
        <v>198</v>
      </c>
    </row>
    <row x14ac:dyDescent="0.25" r="21" customHeight="1" ht="18.75">
      <c r="A21" s="30" t="s">
        <v>45</v>
      </c>
      <c r="B21" s="31" t="s">
        <v>156</v>
      </c>
      <c r="C21" s="31" t="s">
        <v>156</v>
      </c>
      <c r="D21" s="31" t="s">
        <v>149</v>
      </c>
      <c r="E21" s="31" t="s">
        <v>149</v>
      </c>
      <c r="F21" s="31" t="s">
        <v>1090</v>
      </c>
      <c r="G21" s="33" t="s">
        <v>149</v>
      </c>
      <c r="H21" s="33" t="s">
        <v>149</v>
      </c>
      <c r="I21" s="33" t="s">
        <v>149</v>
      </c>
      <c r="J21" s="31" t="s">
        <v>1092</v>
      </c>
      <c r="K21" s="33" t="s">
        <v>149</v>
      </c>
      <c r="L21" s="31" t="s">
        <v>749</v>
      </c>
      <c r="M21" s="31" t="s">
        <v>750</v>
      </c>
      <c r="N21" s="33" t="s">
        <v>149</v>
      </c>
      <c r="O21" s="33" t="s">
        <v>149</v>
      </c>
      <c r="P21" s="33" t="s">
        <v>149</v>
      </c>
      <c r="Q21" s="33" t="s">
        <v>149</v>
      </c>
      <c r="R21" s="33" t="s">
        <v>149</v>
      </c>
      <c r="S21" s="33" t="s">
        <v>1123</v>
      </c>
      <c r="T21" s="146" t="s">
        <v>358</v>
      </c>
      <c r="U21" s="146" t="s">
        <v>358</v>
      </c>
      <c r="V21" s="33" t="s">
        <v>149</v>
      </c>
      <c r="W21" s="33" t="s">
        <v>149</v>
      </c>
      <c r="X21" s="33" t="s">
        <v>374</v>
      </c>
      <c r="Y21" s="146" t="s">
        <v>358</v>
      </c>
      <c r="Z21" s="146" t="s">
        <v>358</v>
      </c>
      <c r="AA21" s="31" t="s">
        <v>132</v>
      </c>
      <c r="AB21" s="186" t="s">
        <v>1124</v>
      </c>
      <c r="AC21" s="186" t="s">
        <v>1124</v>
      </c>
      <c r="AD21" s="146" t="s">
        <v>358</v>
      </c>
      <c r="AE21" s="186" t="s">
        <v>1124</v>
      </c>
      <c r="AF21" s="146" t="s">
        <v>358</v>
      </c>
      <c r="AG21" s="31" t="s">
        <v>732</v>
      </c>
      <c r="AH21" s="31" t="s">
        <v>368</v>
      </c>
      <c r="AI21" s="3"/>
      <c r="AJ21" s="33" t="s">
        <v>149</v>
      </c>
      <c r="AK21" s="33" t="s">
        <v>149</v>
      </c>
      <c r="AL21" s="31" t="s">
        <v>149</v>
      </c>
      <c r="AM21" s="31" t="s">
        <v>149</v>
      </c>
      <c r="AN21" s="3"/>
      <c r="AO21" s="31" t="s">
        <v>361</v>
      </c>
    </row>
    <row x14ac:dyDescent="0.25" r="22" customHeight="1" ht="18.75">
      <c r="A22" s="35" t="s">
        <v>47</v>
      </c>
      <c r="B22" s="117">
        <v>87</v>
      </c>
      <c r="C22" s="117">
        <v>87</v>
      </c>
      <c r="D22" s="117">
        <v>85</v>
      </c>
      <c r="E22" s="117">
        <v>85</v>
      </c>
      <c r="F22" s="117">
        <v>129</v>
      </c>
      <c r="G22" s="117">
        <v>85</v>
      </c>
      <c r="H22" s="117">
        <v>85</v>
      </c>
      <c r="I22" s="117">
        <v>85</v>
      </c>
      <c r="J22" s="117">
        <v>130</v>
      </c>
      <c r="K22" s="117">
        <v>85</v>
      </c>
      <c r="L22" s="117">
        <v>89</v>
      </c>
      <c r="M22" s="117">
        <v>140</v>
      </c>
      <c r="N22" s="117">
        <v>85</v>
      </c>
      <c r="O22" s="117">
        <v>85</v>
      </c>
      <c r="P22" s="117">
        <v>85</v>
      </c>
      <c r="Q22" s="117">
        <v>85</v>
      </c>
      <c r="R22" s="117">
        <v>85</v>
      </c>
      <c r="S22" s="117">
        <v>149</v>
      </c>
      <c r="T22" s="144"/>
      <c r="U22" s="144"/>
      <c r="V22" s="117">
        <v>85</v>
      </c>
      <c r="W22" s="117">
        <v>85</v>
      </c>
      <c r="X22" s="117">
        <v>83</v>
      </c>
      <c r="Y22" s="144"/>
      <c r="Z22" s="144"/>
      <c r="AA22" s="117">
        <v>98</v>
      </c>
      <c r="AB22" s="117">
        <v>155</v>
      </c>
      <c r="AC22" s="117">
        <v>155</v>
      </c>
      <c r="AD22" s="144"/>
      <c r="AE22" s="117">
        <v>155</v>
      </c>
      <c r="AF22" s="144"/>
      <c r="AG22" s="117">
        <v>90</v>
      </c>
      <c r="AH22" s="117">
        <v>151</v>
      </c>
      <c r="AI22" s="3"/>
      <c r="AJ22" s="117">
        <v>85</v>
      </c>
      <c r="AK22" s="117">
        <v>85</v>
      </c>
      <c r="AL22" s="117">
        <v>85</v>
      </c>
      <c r="AM22" s="117">
        <v>85</v>
      </c>
      <c r="AN22" s="3"/>
      <c r="AO22" s="117">
        <v>139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143" t="s">
        <v>49</v>
      </c>
      <c r="U23" s="143" t="s">
        <v>49</v>
      </c>
      <c r="V23" s="31" t="s">
        <v>52</v>
      </c>
      <c r="W23" s="31" t="s">
        <v>52</v>
      </c>
      <c r="X23" s="31" t="s">
        <v>52</v>
      </c>
      <c r="Y23" s="143" t="s">
        <v>49</v>
      </c>
      <c r="Z23" s="143" t="s">
        <v>49</v>
      </c>
      <c r="AA23" s="31" t="s">
        <v>52</v>
      </c>
      <c r="AB23" s="31" t="s">
        <v>52</v>
      </c>
      <c r="AC23" s="31" t="s">
        <v>52</v>
      </c>
      <c r="AD23" s="143" t="s">
        <v>49</v>
      </c>
      <c r="AE23" s="31" t="s">
        <v>52</v>
      </c>
      <c r="AF23" s="143" t="s">
        <v>49</v>
      </c>
      <c r="AG23" s="31" t="s">
        <v>52</v>
      </c>
      <c r="AH23" s="31" t="s">
        <v>52</v>
      </c>
      <c r="AI23" s="3"/>
      <c r="AJ23" s="33" t="s">
        <v>52</v>
      </c>
      <c r="AK23" s="33" t="s">
        <v>52</v>
      </c>
      <c r="AL23" s="31" t="s">
        <v>52</v>
      </c>
      <c r="AM23" s="31" t="s">
        <v>52</v>
      </c>
      <c r="AN23" s="3"/>
      <c r="AO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1025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142" t="s">
        <v>52</v>
      </c>
      <c r="T24" s="143" t="s">
        <v>49</v>
      </c>
      <c r="U24" s="143" t="s">
        <v>49</v>
      </c>
      <c r="V24" s="31" t="s">
        <v>52</v>
      </c>
      <c r="W24" s="31" t="s">
        <v>52</v>
      </c>
      <c r="X24" s="31" t="s">
        <v>52</v>
      </c>
      <c r="Y24" s="143" t="s">
        <v>49</v>
      </c>
      <c r="Z24" s="143" t="s">
        <v>49</v>
      </c>
      <c r="AA24" s="31" t="s">
        <v>52</v>
      </c>
      <c r="AB24" s="142" t="s">
        <v>52</v>
      </c>
      <c r="AC24" s="142" t="s">
        <v>52</v>
      </c>
      <c r="AD24" s="143" t="s">
        <v>49</v>
      </c>
      <c r="AE24" s="142" t="s">
        <v>52</v>
      </c>
      <c r="AF24" s="143" t="s">
        <v>49</v>
      </c>
      <c r="AG24" s="31" t="s">
        <v>52</v>
      </c>
      <c r="AH24" s="31" t="s">
        <v>162</v>
      </c>
      <c r="AI24" s="3"/>
      <c r="AJ24" s="31" t="s">
        <v>52</v>
      </c>
      <c r="AK24" s="31" t="s">
        <v>52</v>
      </c>
      <c r="AL24" s="31" t="s">
        <v>52</v>
      </c>
      <c r="AM24" s="31" t="s">
        <v>52</v>
      </c>
      <c r="AN24" s="3"/>
      <c r="AO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1094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143" t="s">
        <v>49</v>
      </c>
      <c r="U25" s="143" t="s">
        <v>49</v>
      </c>
      <c r="V25" s="31" t="s">
        <v>49</v>
      </c>
      <c r="W25" s="31" t="s">
        <v>49</v>
      </c>
      <c r="X25" s="31" t="s">
        <v>49</v>
      </c>
      <c r="Y25" s="143" t="s">
        <v>49</v>
      </c>
      <c r="Z25" s="143" t="s">
        <v>49</v>
      </c>
      <c r="AA25" s="31" t="s">
        <v>49</v>
      </c>
      <c r="AB25" s="31" t="s">
        <v>49</v>
      </c>
      <c r="AC25" s="31" t="s">
        <v>49</v>
      </c>
      <c r="AD25" s="143" t="s">
        <v>49</v>
      </c>
      <c r="AE25" s="31" t="s">
        <v>49</v>
      </c>
      <c r="AF25" s="143" t="s">
        <v>49</v>
      </c>
      <c r="AG25" s="31" t="s">
        <v>49</v>
      </c>
      <c r="AH25" s="31" t="s">
        <v>49</v>
      </c>
      <c r="AI25" s="3"/>
      <c r="AJ25" s="31" t="s">
        <v>49</v>
      </c>
      <c r="AK25" s="31" t="s">
        <v>49</v>
      </c>
      <c r="AL25" s="33" t="s">
        <v>49</v>
      </c>
      <c r="AM25" s="33" t="s">
        <v>49</v>
      </c>
      <c r="AN25" s="3"/>
      <c r="AO25" s="31" t="s">
        <v>49</v>
      </c>
    </row>
    <row x14ac:dyDescent="0.25" r="26" customHeight="1" ht="18.75">
      <c r="A26" s="30" t="s">
        <v>126</v>
      </c>
      <c r="B26" s="31" t="s">
        <v>52</v>
      </c>
      <c r="C26" s="31" t="s">
        <v>52</v>
      </c>
      <c r="D26" s="31" t="s">
        <v>52</v>
      </c>
      <c r="E26" s="31" t="s">
        <v>52</v>
      </c>
      <c r="F26" s="31" t="s">
        <v>1025</v>
      </c>
      <c r="G26" s="31" t="s">
        <v>52</v>
      </c>
      <c r="H26" s="31" t="s">
        <v>52</v>
      </c>
      <c r="I26" s="31" t="s">
        <v>52</v>
      </c>
      <c r="J26" s="31" t="s">
        <v>52</v>
      </c>
      <c r="K26" s="31" t="s">
        <v>52</v>
      </c>
      <c r="L26" s="31" t="s">
        <v>52</v>
      </c>
      <c r="M26" s="31" t="s">
        <v>52</v>
      </c>
      <c r="N26" s="31" t="s">
        <v>52</v>
      </c>
      <c r="O26" s="31" t="s">
        <v>52</v>
      </c>
      <c r="P26" s="31" t="s">
        <v>52</v>
      </c>
      <c r="Q26" s="31" t="s">
        <v>52</v>
      </c>
      <c r="R26" s="31" t="s">
        <v>52</v>
      </c>
      <c r="S26" s="31" t="s">
        <v>162</v>
      </c>
      <c r="T26" s="143" t="s">
        <v>49</v>
      </c>
      <c r="U26" s="143" t="s">
        <v>49</v>
      </c>
      <c r="V26" s="31" t="s">
        <v>52</v>
      </c>
      <c r="W26" s="31" t="s">
        <v>52</v>
      </c>
      <c r="X26" s="31" t="s">
        <v>49</v>
      </c>
      <c r="Y26" s="143" t="s">
        <v>49</v>
      </c>
      <c r="Z26" s="143" t="s">
        <v>49</v>
      </c>
      <c r="AA26" s="31" t="s">
        <v>49</v>
      </c>
      <c r="AB26" s="31" t="s">
        <v>162</v>
      </c>
      <c r="AC26" s="31" t="s">
        <v>162</v>
      </c>
      <c r="AD26" s="143" t="s">
        <v>49</v>
      </c>
      <c r="AE26" s="31" t="s">
        <v>162</v>
      </c>
      <c r="AF26" s="143" t="s">
        <v>49</v>
      </c>
      <c r="AG26" s="31" t="s">
        <v>52</v>
      </c>
      <c r="AH26" s="31" t="s">
        <v>49</v>
      </c>
      <c r="AI26" s="3"/>
      <c r="AJ26" s="31" t="s">
        <v>52</v>
      </c>
      <c r="AK26" s="31" t="s">
        <v>52</v>
      </c>
      <c r="AL26" s="31" t="s">
        <v>52</v>
      </c>
      <c r="AM26" s="31" t="s">
        <v>52</v>
      </c>
      <c r="AN26" s="3"/>
      <c r="AO26" s="31" t="s">
        <v>52</v>
      </c>
    </row>
    <row x14ac:dyDescent="0.25" r="27" customHeight="1" ht="18.75">
      <c r="A27" s="30" t="s">
        <v>127</v>
      </c>
      <c r="B27" s="31" t="s">
        <v>164</v>
      </c>
      <c r="C27" s="31" t="s">
        <v>164</v>
      </c>
      <c r="D27" s="31" t="s">
        <v>143</v>
      </c>
      <c r="E27" s="31" t="s">
        <v>143</v>
      </c>
      <c r="F27" s="31" t="s">
        <v>133</v>
      </c>
      <c r="G27" s="31" t="s">
        <v>143</v>
      </c>
      <c r="H27" s="31" t="s">
        <v>143</v>
      </c>
      <c r="I27" s="31" t="s">
        <v>143</v>
      </c>
      <c r="J27" s="33" t="s">
        <v>648</v>
      </c>
      <c r="K27" s="31" t="s">
        <v>143</v>
      </c>
      <c r="L27" s="31" t="s">
        <v>164</v>
      </c>
      <c r="M27" s="31" t="s">
        <v>133</v>
      </c>
      <c r="N27" s="31" t="s">
        <v>143</v>
      </c>
      <c r="O27" s="31" t="s">
        <v>143</v>
      </c>
      <c r="P27" s="31" t="s">
        <v>143</v>
      </c>
      <c r="Q27" s="31" t="s">
        <v>143</v>
      </c>
      <c r="R27" s="31" t="s">
        <v>143</v>
      </c>
      <c r="S27" s="33" t="s">
        <v>163</v>
      </c>
      <c r="T27" s="143" t="s">
        <v>133</v>
      </c>
      <c r="U27" s="143" t="s">
        <v>133</v>
      </c>
      <c r="V27" s="31" t="s">
        <v>143</v>
      </c>
      <c r="W27" s="31" t="s">
        <v>143</v>
      </c>
      <c r="X27" s="31" t="s">
        <v>143</v>
      </c>
      <c r="Y27" s="143" t="s">
        <v>133</v>
      </c>
      <c r="Z27" s="143" t="s">
        <v>133</v>
      </c>
      <c r="AA27" s="31" t="s">
        <v>133</v>
      </c>
      <c r="AB27" s="31" t="s">
        <v>133</v>
      </c>
      <c r="AC27" s="31" t="s">
        <v>133</v>
      </c>
      <c r="AD27" s="143" t="s">
        <v>133</v>
      </c>
      <c r="AE27" s="31" t="s">
        <v>133</v>
      </c>
      <c r="AF27" s="143" t="s">
        <v>133</v>
      </c>
      <c r="AG27" s="31" t="s">
        <v>133</v>
      </c>
      <c r="AH27" s="31" t="s">
        <v>133</v>
      </c>
      <c r="AI27" s="3"/>
      <c r="AJ27" s="31" t="s">
        <v>143</v>
      </c>
      <c r="AK27" s="31" t="s">
        <v>143</v>
      </c>
      <c r="AL27" s="31" t="s">
        <v>143</v>
      </c>
      <c r="AM27" s="31" t="s">
        <v>143</v>
      </c>
      <c r="AN27" s="3"/>
      <c r="AO27" s="31" t="s">
        <v>133</v>
      </c>
    </row>
    <row x14ac:dyDescent="0.25" r="28" customHeight="1" ht="18.75">
      <c r="A28" s="30" t="s">
        <v>128</v>
      </c>
      <c r="B28" s="31">
        <f>-7/6</f>
      </c>
      <c r="C28" s="31">
        <f>-7/6</f>
      </c>
      <c r="D28" s="31">
        <v>0.75</v>
      </c>
      <c r="E28" s="31">
        <v>0.75</v>
      </c>
      <c r="F28" s="33">
        <f>AVERAGE(0,0,-1.25)</f>
      </c>
      <c r="G28" s="31">
        <v>0.75</v>
      </c>
      <c r="H28" s="31">
        <v>0.75</v>
      </c>
      <c r="I28" s="31">
        <v>0.75</v>
      </c>
      <c r="J28" s="31">
        <f>AVERAGE(0.75,0.75,0.75,0)</f>
      </c>
      <c r="K28" s="31">
        <v>0.75</v>
      </c>
      <c r="L28" s="31">
        <v>-1.625</v>
      </c>
      <c r="M28" s="31">
        <v>-3</v>
      </c>
      <c r="N28" s="31">
        <v>0.75</v>
      </c>
      <c r="O28" s="31">
        <v>0.75</v>
      </c>
      <c r="P28" s="31">
        <v>0.75</v>
      </c>
      <c r="Q28" s="31">
        <v>0.75</v>
      </c>
      <c r="R28" s="31">
        <v>0.75</v>
      </c>
      <c r="S28" s="31">
        <f>AVERAGE(0.75,-2)</f>
      </c>
      <c r="T28" s="143">
        <v>-2</v>
      </c>
      <c r="U28" s="143">
        <v>-2</v>
      </c>
      <c r="V28" s="31">
        <v>0.75</v>
      </c>
      <c r="W28" s="31">
        <v>0.75</v>
      </c>
      <c r="X28" s="31">
        <v>0.75</v>
      </c>
      <c r="Y28" s="143">
        <v>-2</v>
      </c>
      <c r="Z28" s="143">
        <v>-2</v>
      </c>
      <c r="AA28" s="31">
        <v>-2</v>
      </c>
      <c r="AB28" s="31">
        <f>AVERAGE(0,-2)</f>
      </c>
      <c r="AC28" s="31">
        <f>AVERAGE(0,-2)</f>
      </c>
      <c r="AD28" s="143">
        <v>-2</v>
      </c>
      <c r="AE28" s="31">
        <f>AVERAGE(0,-2)</f>
      </c>
      <c r="AF28" s="143">
        <v>-2</v>
      </c>
      <c r="AG28" s="31">
        <v>-2</v>
      </c>
      <c r="AH28" s="31">
        <v>-2</v>
      </c>
      <c r="AI28" s="3"/>
      <c r="AJ28" s="31">
        <v>0.75</v>
      </c>
      <c r="AK28" s="31">
        <v>0.75</v>
      </c>
      <c r="AL28" s="31">
        <v>0.75</v>
      </c>
      <c r="AM28" s="31">
        <v>0.75</v>
      </c>
      <c r="AN28" s="3"/>
      <c r="AO28" s="31">
        <f>-1/6</f>
      </c>
    </row>
    <row x14ac:dyDescent="0.25" r="29" customHeight="1" ht="18.75">
      <c r="A29" s="30" t="s">
        <v>129</v>
      </c>
      <c r="B29" s="31" t="s">
        <v>167</v>
      </c>
      <c r="C29" s="33" t="s">
        <v>167</v>
      </c>
      <c r="D29" s="33" t="s">
        <v>167</v>
      </c>
      <c r="E29" s="33" t="s">
        <v>167</v>
      </c>
      <c r="F29" s="150" t="s">
        <v>1095</v>
      </c>
      <c r="G29" s="31" t="s">
        <v>167</v>
      </c>
      <c r="H29" s="31" t="s">
        <v>167</v>
      </c>
      <c r="I29" s="31" t="s">
        <v>167</v>
      </c>
      <c r="J29" s="31" t="s">
        <v>167</v>
      </c>
      <c r="K29" s="31" t="s">
        <v>167</v>
      </c>
      <c r="L29" s="31" t="s">
        <v>167</v>
      </c>
      <c r="M29" s="31" t="s">
        <v>167</v>
      </c>
      <c r="N29" s="31" t="s">
        <v>167</v>
      </c>
      <c r="O29" s="31" t="s">
        <v>167</v>
      </c>
      <c r="P29" s="31" t="s">
        <v>167</v>
      </c>
      <c r="Q29" s="31" t="s">
        <v>167</v>
      </c>
      <c r="R29" s="31" t="s">
        <v>167</v>
      </c>
      <c r="S29" s="118" t="s">
        <v>753</v>
      </c>
      <c r="T29" s="143" t="s">
        <v>358</v>
      </c>
      <c r="U29" s="143" t="s">
        <v>358</v>
      </c>
      <c r="V29" s="31" t="s">
        <v>167</v>
      </c>
      <c r="W29" s="31" t="s">
        <v>167</v>
      </c>
      <c r="X29" s="31" t="s">
        <v>198</v>
      </c>
      <c r="Y29" s="143" t="s">
        <v>358</v>
      </c>
      <c r="Z29" s="143" t="s">
        <v>358</v>
      </c>
      <c r="AA29" s="31" t="s">
        <v>134</v>
      </c>
      <c r="AB29" s="118" t="s">
        <v>753</v>
      </c>
      <c r="AC29" s="118" t="s">
        <v>753</v>
      </c>
      <c r="AD29" s="143" t="s">
        <v>358</v>
      </c>
      <c r="AE29" s="118" t="s">
        <v>753</v>
      </c>
      <c r="AF29" s="143" t="s">
        <v>358</v>
      </c>
      <c r="AG29" s="31" t="s">
        <v>198</v>
      </c>
      <c r="AH29" s="31" t="s">
        <v>369</v>
      </c>
      <c r="AI29" s="3"/>
      <c r="AJ29" s="31" t="s">
        <v>167</v>
      </c>
      <c r="AK29" s="31" t="s">
        <v>167</v>
      </c>
      <c r="AL29" s="31" t="s">
        <v>167</v>
      </c>
      <c r="AM29" s="31" t="s">
        <v>167</v>
      </c>
      <c r="AN29" s="3"/>
      <c r="AO29" s="31" t="s">
        <v>167</v>
      </c>
    </row>
    <row x14ac:dyDescent="0.25" r="30" customHeight="1" ht="18.75">
      <c r="A30" s="30" t="s">
        <v>130</v>
      </c>
      <c r="B30" s="31">
        <v>0.75</v>
      </c>
      <c r="C30" s="31">
        <v>0.75</v>
      </c>
      <c r="D30" s="31">
        <v>0.75</v>
      </c>
      <c r="E30" s="31">
        <v>0.75</v>
      </c>
      <c r="F30" s="31">
        <f>AVERAGE(0.75,0.75,3)</f>
      </c>
      <c r="G30" s="31">
        <v>0.75</v>
      </c>
      <c r="H30" s="31">
        <v>0.75</v>
      </c>
      <c r="I30" s="31">
        <v>0.75</v>
      </c>
      <c r="J30" s="31">
        <v>0.75</v>
      </c>
      <c r="K30" s="31">
        <v>0.75</v>
      </c>
      <c r="L30" s="31">
        <v>0.75</v>
      </c>
      <c r="M30" s="31">
        <v>0.75</v>
      </c>
      <c r="N30" s="31">
        <v>0.75</v>
      </c>
      <c r="O30" s="31">
        <v>0.75</v>
      </c>
      <c r="P30" s="31">
        <v>0.75</v>
      </c>
      <c r="Q30" s="31">
        <v>0.75</v>
      </c>
      <c r="R30" s="31">
        <v>0.75</v>
      </c>
      <c r="S30" s="31">
        <f>AVERAGE(0.75,1/3)</f>
      </c>
      <c r="T30" s="143">
        <v>0</v>
      </c>
      <c r="U30" s="143">
        <v>0</v>
      </c>
      <c r="V30" s="31">
        <v>0.75</v>
      </c>
      <c r="W30" s="31">
        <v>0.75</v>
      </c>
      <c r="X30" s="31">
        <v>1</v>
      </c>
      <c r="Y30" s="143">
        <v>0</v>
      </c>
      <c r="Z30" s="143">
        <v>0</v>
      </c>
      <c r="AA30" s="31">
        <f>1/3</f>
      </c>
      <c r="AB30" s="31">
        <f>AVERAGE(0.75,1/3)</f>
      </c>
      <c r="AC30" s="31">
        <f>AVERAGE(0.75,1/3)</f>
      </c>
      <c r="AD30" s="143">
        <v>0</v>
      </c>
      <c r="AE30" s="31">
        <f>AVERAGE(0.75,1/3)</f>
      </c>
      <c r="AF30" s="143">
        <v>0</v>
      </c>
      <c r="AG30" s="31">
        <v>0.75</v>
      </c>
      <c r="AH30" s="31">
        <f>AVERAGE(1/3,0)</f>
      </c>
      <c r="AI30" s="3"/>
      <c r="AJ30" s="31">
        <v>0.75</v>
      </c>
      <c r="AK30" s="31">
        <v>0.75</v>
      </c>
      <c r="AL30" s="31">
        <v>0.75</v>
      </c>
      <c r="AM30" s="31">
        <v>0.75</v>
      </c>
      <c r="AN30" s="3"/>
      <c r="AO30" s="31">
        <v>0.75</v>
      </c>
    </row>
    <row x14ac:dyDescent="0.25" r="31" customHeight="1" ht="18.75">
      <c r="A31" s="4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49"/>
      <c r="O31" s="2"/>
      <c r="P31" s="150" t="s">
        <v>1125</v>
      </c>
      <c r="Q31" s="149"/>
      <c r="R31" s="149"/>
      <c r="S31" s="2"/>
      <c r="T31" s="2"/>
      <c r="U31" s="149"/>
      <c r="V31" s="2"/>
      <c r="W31" s="149"/>
      <c r="X31" s="2"/>
      <c r="Y31" s="2"/>
      <c r="Z31" s="2"/>
      <c r="AA31" s="149"/>
      <c r="AB31" s="2"/>
      <c r="AC31" s="149"/>
      <c r="AD31" s="2"/>
      <c r="AE31" s="2"/>
      <c r="AF31" s="149"/>
      <c r="AG31" s="2"/>
      <c r="AH31" s="2"/>
      <c r="AI31" s="3"/>
      <c r="AJ31" s="150" t="s">
        <v>1126</v>
      </c>
      <c r="AK31" s="2"/>
      <c r="AL31" s="2"/>
      <c r="AM31" s="2"/>
      <c r="AN31" s="3"/>
      <c r="AO31" s="150" t="s">
        <v>1127</v>
      </c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49"/>
      <c r="O32" s="2"/>
      <c r="P32" s="149"/>
      <c r="Q32" s="149"/>
      <c r="R32" s="149"/>
      <c r="S32" s="2"/>
      <c r="T32" s="2"/>
      <c r="U32" s="149"/>
      <c r="V32" s="2"/>
      <c r="W32" s="149"/>
      <c r="X32" s="2"/>
      <c r="Y32" s="2"/>
      <c r="Z32" s="2"/>
      <c r="AA32" s="149"/>
      <c r="AB32" s="2"/>
      <c r="AC32" s="149"/>
      <c r="AD32" s="2"/>
      <c r="AE32" s="2"/>
      <c r="AF32" s="149"/>
      <c r="AG32" s="2"/>
      <c r="AH32" s="2"/>
      <c r="AI32" s="3"/>
      <c r="AJ32" s="2"/>
      <c r="AK32" s="2"/>
      <c r="AL32" s="2"/>
      <c r="AM32" s="2"/>
      <c r="AN32" s="3"/>
      <c r="AO32" s="2"/>
    </row>
    <row x14ac:dyDescent="0.25" r="33" customHeight="1" ht="18.75">
      <c r="A33" s="206" t="s">
        <v>1128</v>
      </c>
      <c r="B33" s="214" t="s">
        <v>1129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49"/>
      <c r="O33" s="2"/>
      <c r="P33" s="149"/>
      <c r="Q33" s="149"/>
      <c r="R33" s="149"/>
      <c r="S33" s="2"/>
      <c r="T33" s="2"/>
      <c r="U33" s="149"/>
      <c r="V33" s="2"/>
      <c r="W33" s="149"/>
      <c r="X33" s="2"/>
      <c r="Y33" s="2"/>
      <c r="Z33" s="2"/>
      <c r="AA33" s="149"/>
      <c r="AB33" s="2"/>
      <c r="AC33" s="149"/>
      <c r="AD33" s="2"/>
      <c r="AE33" s="2"/>
      <c r="AF33" s="149"/>
      <c r="AG33" s="2"/>
      <c r="AH33" s="2"/>
      <c r="AI33" s="3"/>
      <c r="AJ33" s="2"/>
      <c r="AK33" s="2"/>
      <c r="AL33" s="2"/>
      <c r="AM33" s="2"/>
      <c r="AN33" s="3"/>
      <c r="AO33" s="2"/>
    </row>
    <row x14ac:dyDescent="0.25" r="34" customHeight="1" ht="18.75">
      <c r="A34" s="30"/>
      <c r="B34" s="214" t="s">
        <v>1130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49"/>
      <c r="O34" s="2"/>
      <c r="P34" s="149"/>
      <c r="Q34" s="149"/>
      <c r="R34" s="149"/>
      <c r="S34" s="2"/>
      <c r="T34" s="2"/>
      <c r="U34" s="149"/>
      <c r="V34" s="2"/>
      <c r="W34" s="149"/>
      <c r="X34" s="2"/>
      <c r="Y34" s="2"/>
      <c r="Z34" s="2"/>
      <c r="AA34" s="149"/>
      <c r="AB34" s="2"/>
      <c r="AC34" s="149"/>
      <c r="AD34" s="2"/>
      <c r="AE34" s="2"/>
      <c r="AF34" s="149"/>
      <c r="AG34" s="2"/>
      <c r="AH34" s="2"/>
      <c r="AI34" s="3"/>
      <c r="AJ34" s="2"/>
      <c r="AK34" s="2"/>
      <c r="AL34" s="2"/>
      <c r="AM34" s="2"/>
      <c r="AN34" s="3"/>
      <c r="AO34" s="2"/>
    </row>
    <row x14ac:dyDescent="0.25" r="35" customHeight="1" ht="18.75">
      <c r="A35" s="30"/>
      <c r="B35" s="214" t="s">
        <v>884</v>
      </c>
      <c r="C35" s="2"/>
      <c r="D35" s="2"/>
      <c r="E35" s="2"/>
      <c r="F35" s="2"/>
      <c r="G35" s="2"/>
      <c r="H35" s="2"/>
      <c r="I35" s="2"/>
      <c r="J35" s="236"/>
      <c r="K35" s="2"/>
      <c r="L35" s="2"/>
      <c r="M35" s="2"/>
      <c r="N35" s="149"/>
      <c r="O35" s="2"/>
      <c r="P35" s="149"/>
      <c r="Q35" s="149"/>
      <c r="R35" s="149"/>
      <c r="S35" s="2"/>
      <c r="T35" s="2"/>
      <c r="U35" s="149"/>
      <c r="V35" s="2"/>
      <c r="W35" s="149"/>
      <c r="X35" s="2"/>
      <c r="Y35" s="2"/>
      <c r="Z35" s="2"/>
      <c r="AA35" s="149"/>
      <c r="AB35" s="2"/>
      <c r="AC35" s="149"/>
      <c r="AD35" s="2"/>
      <c r="AE35" s="2"/>
      <c r="AF35" s="149"/>
      <c r="AG35" s="2"/>
      <c r="AH35" s="2"/>
      <c r="AI35" s="3"/>
      <c r="AJ35" s="2"/>
      <c r="AK35" s="2"/>
      <c r="AL35" s="2"/>
      <c r="AM35" s="2"/>
      <c r="AN35" s="3"/>
      <c r="AO35" s="2"/>
    </row>
    <row x14ac:dyDescent="0.25" r="36" customHeight="1" ht="18.75">
      <c r="A36" s="206" t="s">
        <v>1131</v>
      </c>
      <c r="B36" s="237" t="s">
        <v>1132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49"/>
      <c r="O36" s="2"/>
      <c r="P36" s="149"/>
      <c r="Q36" s="149"/>
      <c r="R36" s="149"/>
      <c r="S36" s="2"/>
      <c r="T36" s="2"/>
      <c r="U36" s="149"/>
      <c r="V36" s="2"/>
      <c r="W36" s="149"/>
      <c r="X36" s="2"/>
      <c r="Y36" s="2"/>
      <c r="Z36" s="2"/>
      <c r="AA36" s="149"/>
      <c r="AB36" s="2"/>
      <c r="AC36" s="149"/>
      <c r="AD36" s="2"/>
      <c r="AE36" s="2"/>
      <c r="AF36" s="149"/>
      <c r="AG36" s="2"/>
      <c r="AH36" s="2"/>
      <c r="AI36" s="3"/>
      <c r="AJ36" s="2"/>
      <c r="AK36" s="2"/>
      <c r="AL36" s="2"/>
      <c r="AM36" s="2"/>
      <c r="AN36" s="3"/>
      <c r="AO36" s="2"/>
    </row>
    <row x14ac:dyDescent="0.25" r="37" customHeight="1" ht="18.75">
      <c r="A37" s="30"/>
      <c r="B37" s="214" t="s">
        <v>1133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9"/>
      <c r="O37" s="2"/>
      <c r="P37" s="150"/>
      <c r="Q37" s="149"/>
      <c r="R37" s="149"/>
      <c r="S37" s="2"/>
      <c r="T37" s="2"/>
      <c r="U37" s="149"/>
      <c r="V37" s="2"/>
      <c r="W37" s="149"/>
      <c r="X37" s="2"/>
      <c r="Y37" s="2"/>
      <c r="Z37" s="2"/>
      <c r="AA37" s="149"/>
      <c r="AB37" s="2"/>
      <c r="AC37" s="149"/>
      <c r="AD37" s="2"/>
      <c r="AE37" s="2"/>
      <c r="AF37" s="149"/>
      <c r="AG37" s="2"/>
      <c r="AH37" s="2"/>
      <c r="AI37" s="3"/>
      <c r="AJ37" s="2"/>
      <c r="AK37" s="2"/>
      <c r="AL37" s="2"/>
      <c r="AM37" s="2"/>
      <c r="AN37" s="3"/>
      <c r="AO37" s="2"/>
    </row>
    <row x14ac:dyDescent="0.25" r="38" customHeight="1" ht="18.75">
      <c r="A38" s="30"/>
      <c r="B38" s="214" t="s">
        <v>1130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49"/>
      <c r="O38" s="2"/>
      <c r="P38" s="149"/>
      <c r="Q38" s="149"/>
      <c r="R38" s="149"/>
      <c r="S38" s="2"/>
      <c r="T38" s="2"/>
      <c r="U38" s="149"/>
      <c r="V38" s="2"/>
      <c r="W38" s="149"/>
      <c r="X38" s="2"/>
      <c r="Y38" s="2"/>
      <c r="Z38" s="2"/>
      <c r="AA38" s="149"/>
      <c r="AB38" s="2"/>
      <c r="AC38" s="149"/>
      <c r="AD38" s="2"/>
      <c r="AE38" s="2"/>
      <c r="AF38" s="149"/>
      <c r="AG38" s="2"/>
      <c r="AH38" s="2"/>
      <c r="AI38" s="3"/>
      <c r="AJ38" s="2"/>
      <c r="AK38" s="2"/>
      <c r="AL38" s="2"/>
      <c r="AM38" s="2"/>
      <c r="AN38" s="3"/>
      <c r="AO38" s="2"/>
    </row>
    <row x14ac:dyDescent="0.25" r="39" customHeight="1" ht="18.75">
      <c r="A39" s="30" t="s">
        <v>1134</v>
      </c>
      <c r="B39" s="2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49"/>
      <c r="O39" s="2"/>
      <c r="P39" s="149"/>
      <c r="Q39" s="149"/>
      <c r="R39" s="149"/>
      <c r="S39" s="2"/>
      <c r="T39" s="2"/>
      <c r="U39" s="149"/>
      <c r="V39" s="2"/>
      <c r="W39" s="149"/>
      <c r="X39" s="2"/>
      <c r="Y39" s="2"/>
      <c r="Z39" s="2"/>
      <c r="AA39" s="149"/>
      <c r="AB39" s="2"/>
      <c r="AC39" s="149"/>
      <c r="AD39" s="2"/>
      <c r="AE39" s="2"/>
      <c r="AF39" s="149"/>
      <c r="AG39" s="2"/>
      <c r="AH39" s="2"/>
      <c r="AI39" s="3"/>
      <c r="AJ39" s="2"/>
      <c r="AK39" s="2"/>
      <c r="AL39" s="2"/>
      <c r="AM39" s="2"/>
      <c r="AN39" s="3"/>
      <c r="AO39" s="2"/>
    </row>
    <row x14ac:dyDescent="0.25" r="40" customHeight="1" ht="18.75">
      <c r="A40" s="4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49"/>
      <c r="O40" s="2"/>
      <c r="P40" s="150"/>
      <c r="Q40" s="149"/>
      <c r="R40" s="149"/>
      <c r="S40" s="2"/>
      <c r="T40" s="2"/>
      <c r="U40" s="149"/>
      <c r="V40" s="2"/>
      <c r="W40" s="149"/>
      <c r="X40" s="2"/>
      <c r="Y40" s="2"/>
      <c r="Z40" s="2"/>
      <c r="AA40" s="149"/>
      <c r="AB40" s="2"/>
      <c r="AC40" s="149"/>
      <c r="AD40" s="2"/>
      <c r="AE40" s="2"/>
      <c r="AF40" s="149"/>
      <c r="AG40" s="2"/>
      <c r="AH40" s="2"/>
      <c r="AI40" s="3"/>
      <c r="AJ40" s="2"/>
      <c r="AK40" s="2"/>
      <c r="AL40" s="2"/>
      <c r="AM40" s="2"/>
      <c r="AN40" s="3"/>
      <c r="AO40" s="2"/>
    </row>
    <row x14ac:dyDescent="0.25" r="41" customHeight="1" ht="18.75">
      <c r="A41" s="30" t="s">
        <v>416</v>
      </c>
      <c r="B41" s="238" t="s">
        <v>1135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49"/>
      <c r="O41" s="2"/>
      <c r="P41" s="149"/>
      <c r="Q41" s="149"/>
      <c r="R41" s="149"/>
      <c r="S41" s="2"/>
      <c r="T41" s="2"/>
      <c r="U41" s="149"/>
      <c r="V41" s="2"/>
      <c r="W41" s="149"/>
      <c r="X41" s="2"/>
      <c r="Y41" s="2"/>
      <c r="Z41" s="2"/>
      <c r="AA41" s="149"/>
      <c r="AB41" s="2"/>
      <c r="AC41" s="149"/>
      <c r="AD41" s="2"/>
      <c r="AE41" s="2"/>
      <c r="AF41" s="149"/>
      <c r="AG41" s="2"/>
      <c r="AH41" s="2"/>
      <c r="AI41" s="3"/>
      <c r="AJ41" s="2"/>
      <c r="AK41" s="2"/>
      <c r="AL41" s="2"/>
      <c r="AM41" s="2"/>
      <c r="AN41" s="3"/>
      <c r="AO41" s="2"/>
    </row>
    <row x14ac:dyDescent="0.25" r="42" customHeight="1" ht="18.75">
      <c r="A42" s="30" t="s">
        <v>1136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49"/>
      <c r="O42" s="2"/>
      <c r="P42" s="149"/>
      <c r="Q42" s="149"/>
      <c r="R42" s="149"/>
      <c r="S42" s="2"/>
      <c r="T42" s="2"/>
      <c r="U42" s="149"/>
      <c r="V42" s="2"/>
      <c r="W42" s="149"/>
      <c r="X42" s="2"/>
      <c r="Y42" s="2"/>
      <c r="Z42" s="2"/>
      <c r="AA42" s="150" t="s">
        <v>511</v>
      </c>
      <c r="AB42" s="2"/>
      <c r="AC42" s="149"/>
      <c r="AD42" s="2"/>
      <c r="AE42" s="2"/>
      <c r="AF42" s="149"/>
      <c r="AG42" s="2"/>
      <c r="AH42" s="150" t="s">
        <v>1137</v>
      </c>
      <c r="AI42" s="3"/>
      <c r="AJ42" s="2"/>
      <c r="AK42" s="2"/>
      <c r="AL42" s="2"/>
      <c r="AM42" s="2"/>
      <c r="AN42" s="3"/>
      <c r="AO42" s="2"/>
    </row>
    <row x14ac:dyDescent="0.25" r="43" customHeight="1" ht="18.75">
      <c r="A43" s="30" t="s">
        <v>1138</v>
      </c>
      <c r="B43" s="2"/>
      <c r="C43" s="2"/>
      <c r="D43" s="2"/>
      <c r="E43" s="150" t="s">
        <v>149</v>
      </c>
      <c r="F43" s="2"/>
      <c r="G43" s="2"/>
      <c r="H43" s="2"/>
      <c r="I43" s="2"/>
      <c r="J43" s="2"/>
      <c r="K43" s="2"/>
      <c r="L43" s="2"/>
      <c r="M43" s="2"/>
      <c r="N43" s="150" t="s">
        <v>1139</v>
      </c>
      <c r="O43" s="150" t="s">
        <v>1139</v>
      </c>
      <c r="P43" s="150" t="s">
        <v>1139</v>
      </c>
      <c r="Q43" s="150" t="s">
        <v>1139</v>
      </c>
      <c r="R43" s="150" t="s">
        <v>1139</v>
      </c>
      <c r="S43" s="150" t="s">
        <v>1140</v>
      </c>
      <c r="T43" s="2"/>
      <c r="U43" s="150" t="s">
        <v>272</v>
      </c>
      <c r="V43" s="150" t="s">
        <v>1139</v>
      </c>
      <c r="W43" s="150" t="s">
        <v>1139</v>
      </c>
      <c r="X43" s="2"/>
      <c r="Y43" s="2"/>
      <c r="Z43" s="2"/>
      <c r="AA43" s="170" t="s">
        <v>1141</v>
      </c>
      <c r="AB43" s="150" t="s">
        <v>132</v>
      </c>
      <c r="AC43" s="150" t="s">
        <v>132</v>
      </c>
      <c r="AD43" s="2"/>
      <c r="AE43" s="150" t="s">
        <v>132</v>
      </c>
      <c r="AF43" s="149"/>
      <c r="AG43" s="2"/>
      <c r="AH43" s="150" t="s">
        <v>1142</v>
      </c>
      <c r="AI43" s="3"/>
      <c r="AJ43" s="2"/>
      <c r="AK43" s="2"/>
      <c r="AL43" s="2"/>
      <c r="AM43" s="2"/>
      <c r="AN43" s="3"/>
      <c r="AO43" s="2"/>
    </row>
    <row x14ac:dyDescent="0.25" r="44" customHeight="1" ht="18.75">
      <c r="A44" s="30" t="s">
        <v>1143</v>
      </c>
      <c r="B44" s="2"/>
      <c r="C44" s="2"/>
      <c r="D44" s="2"/>
      <c r="E44" s="2"/>
      <c r="F44" s="2"/>
      <c r="G44" s="2"/>
      <c r="H44" s="2"/>
      <c r="I44" s="2"/>
      <c r="J44" s="2"/>
      <c r="K44" s="150" t="s">
        <v>1139</v>
      </c>
      <c r="L44" s="170" t="s">
        <v>1144</v>
      </c>
      <c r="M44" s="150" t="s">
        <v>1139</v>
      </c>
      <c r="N44" s="170" t="s">
        <v>1145</v>
      </c>
      <c r="O44" s="150" t="s">
        <v>1139</v>
      </c>
      <c r="P44" s="150" t="s">
        <v>1139</v>
      </c>
      <c r="Q44" s="150" t="s">
        <v>1139</v>
      </c>
      <c r="R44" s="149"/>
      <c r="S44" s="2"/>
      <c r="T44" s="2"/>
      <c r="U44" s="149"/>
      <c r="V44" s="2"/>
      <c r="W44" s="149"/>
      <c r="X44" s="2"/>
      <c r="Y44" s="2"/>
      <c r="Z44" s="2"/>
      <c r="AA44" s="170" t="s">
        <v>1146</v>
      </c>
      <c r="AB44" s="2"/>
      <c r="AC44" s="150" t="s">
        <v>132</v>
      </c>
      <c r="AD44" s="2"/>
      <c r="AE44" s="2"/>
      <c r="AF44" s="149"/>
      <c r="AG44" s="2"/>
      <c r="AH44" s="2"/>
      <c r="AI44" s="3"/>
      <c r="AJ44" s="2"/>
      <c r="AK44" s="2"/>
      <c r="AL44" s="2"/>
      <c r="AM44" s="2"/>
      <c r="AN44" s="3"/>
      <c r="AO44" s="2"/>
    </row>
    <row x14ac:dyDescent="0.25" r="45" customHeight="1" ht="18.75">
      <c r="A45" s="212" t="s">
        <v>1147</v>
      </c>
      <c r="B45" s="2"/>
      <c r="C45" s="150" t="s">
        <v>149</v>
      </c>
      <c r="D45" s="150" t="s">
        <v>149</v>
      </c>
      <c r="E45" s="2"/>
      <c r="F45" s="150" t="s">
        <v>149</v>
      </c>
      <c r="G45" s="150" t="s">
        <v>149</v>
      </c>
      <c r="H45" s="150" t="s">
        <v>149</v>
      </c>
      <c r="I45" s="150" t="s">
        <v>149</v>
      </c>
      <c r="J45" s="2"/>
      <c r="K45" s="150" t="s">
        <v>1139</v>
      </c>
      <c r="L45" s="170" t="s">
        <v>1144</v>
      </c>
      <c r="M45" s="150" t="s">
        <v>1139</v>
      </c>
      <c r="N45" s="150" t="s">
        <v>1139</v>
      </c>
      <c r="O45" s="150" t="s">
        <v>1139</v>
      </c>
      <c r="P45" s="150" t="s">
        <v>1139</v>
      </c>
      <c r="Q45" s="150" t="s">
        <v>1139</v>
      </c>
      <c r="R45" s="150" t="s">
        <v>1139</v>
      </c>
      <c r="S45" s="2"/>
      <c r="T45" s="2"/>
      <c r="U45" s="150" t="s">
        <v>511</v>
      </c>
      <c r="V45" s="2"/>
      <c r="W45" s="150" t="s">
        <v>1139</v>
      </c>
      <c r="X45" s="150" t="s">
        <v>1148</v>
      </c>
      <c r="Y45" s="150" t="s">
        <v>149</v>
      </c>
      <c r="Z45" s="2"/>
      <c r="AA45" s="150" t="s">
        <v>1149</v>
      </c>
      <c r="AB45" s="170" t="s">
        <v>1150</v>
      </c>
      <c r="AC45" s="150" t="s">
        <v>1151</v>
      </c>
      <c r="AD45" s="150" t="s">
        <v>809</v>
      </c>
      <c r="AE45" s="150" t="s">
        <v>1152</v>
      </c>
      <c r="AF45" s="149"/>
      <c r="AG45" s="2"/>
      <c r="AH45" s="150" t="s">
        <v>1142</v>
      </c>
      <c r="AI45" s="3"/>
      <c r="AJ45" s="2"/>
      <c r="AK45" s="2"/>
      <c r="AL45" s="2"/>
      <c r="AM45" s="2"/>
      <c r="AN45" s="3"/>
      <c r="AO45" s="2"/>
    </row>
    <row x14ac:dyDescent="0.25" r="46" customHeight="1" ht="18.75">
      <c r="A46" s="30" t="s">
        <v>1153</v>
      </c>
      <c r="B46" s="2"/>
      <c r="C46" s="150" t="s">
        <v>149</v>
      </c>
      <c r="D46" s="150" t="s">
        <v>149</v>
      </c>
      <c r="E46" s="2"/>
      <c r="F46" s="2"/>
      <c r="G46" s="2"/>
      <c r="H46" s="2"/>
      <c r="I46" s="2"/>
      <c r="J46" s="150" t="s">
        <v>1139</v>
      </c>
      <c r="K46" s="2"/>
      <c r="L46" s="2"/>
      <c r="M46" s="2"/>
      <c r="N46" s="150" t="s">
        <v>1139</v>
      </c>
      <c r="O46" s="2"/>
      <c r="P46" s="149"/>
      <c r="Q46" s="149"/>
      <c r="R46" s="149"/>
      <c r="S46" s="2"/>
      <c r="T46" s="150" t="s">
        <v>272</v>
      </c>
      <c r="U46" s="150" t="s">
        <v>1154</v>
      </c>
      <c r="V46" s="150" t="s">
        <v>511</v>
      </c>
      <c r="W46" s="150" t="s">
        <v>1139</v>
      </c>
      <c r="X46" s="170" t="s">
        <v>1155</v>
      </c>
      <c r="Y46" s="150" t="s">
        <v>272</v>
      </c>
      <c r="Z46" s="2"/>
      <c r="AA46" s="150" t="s">
        <v>1142</v>
      </c>
      <c r="AB46" s="2"/>
      <c r="AC46" s="149"/>
      <c r="AD46" s="2"/>
      <c r="AE46" s="150" t="s">
        <v>809</v>
      </c>
      <c r="AF46" s="150" t="s">
        <v>272</v>
      </c>
      <c r="AG46" s="2"/>
      <c r="AH46" s="2"/>
      <c r="AI46" s="3"/>
      <c r="AJ46" s="2"/>
      <c r="AK46" s="2"/>
      <c r="AL46" s="2"/>
      <c r="AM46" s="2"/>
      <c r="AN46" s="3"/>
      <c r="AO46" s="2"/>
    </row>
    <row x14ac:dyDescent="0.25" r="47" customHeight="1" ht="18.75">
      <c r="A47" s="30" t="s">
        <v>1156</v>
      </c>
      <c r="B47" s="2"/>
      <c r="C47" s="150" t="s">
        <v>149</v>
      </c>
      <c r="D47" s="150" t="s">
        <v>149</v>
      </c>
      <c r="E47" s="2"/>
      <c r="F47" s="2"/>
      <c r="G47" s="150" t="s">
        <v>149</v>
      </c>
      <c r="H47" s="150" t="s">
        <v>149</v>
      </c>
      <c r="I47" s="150" t="s">
        <v>149</v>
      </c>
      <c r="J47" s="2"/>
      <c r="K47" s="2"/>
      <c r="L47" s="2"/>
      <c r="M47" s="2"/>
      <c r="N47" s="149"/>
      <c r="O47" s="2"/>
      <c r="P47" s="150" t="s">
        <v>1139</v>
      </c>
      <c r="Q47" s="150" t="s">
        <v>1139</v>
      </c>
      <c r="R47" s="149"/>
      <c r="S47" s="2"/>
      <c r="T47" s="2"/>
      <c r="U47" s="149"/>
      <c r="V47" s="2"/>
      <c r="W47" s="149"/>
      <c r="X47" s="2"/>
      <c r="Y47" s="2"/>
      <c r="Z47" s="2"/>
      <c r="AA47" s="150" t="s">
        <v>1142</v>
      </c>
      <c r="AB47" s="2"/>
      <c r="AC47" s="149"/>
      <c r="AD47" s="2"/>
      <c r="AE47" s="2"/>
      <c r="AF47" s="149"/>
      <c r="AG47" s="2"/>
      <c r="AH47" s="2"/>
      <c r="AI47" s="3"/>
      <c r="AJ47" s="2"/>
      <c r="AK47" s="2"/>
      <c r="AL47" s="2"/>
      <c r="AM47" s="2"/>
      <c r="AN47" s="3"/>
      <c r="AO47" s="2"/>
    </row>
    <row x14ac:dyDescent="0.25" r="48" customHeight="1" ht="18.75">
      <c r="A48" s="30" t="s">
        <v>1157</v>
      </c>
      <c r="B48" s="2"/>
      <c r="C48" s="150" t="s">
        <v>1158</v>
      </c>
      <c r="D48" s="150" t="s">
        <v>1158</v>
      </c>
      <c r="E48" s="2"/>
      <c r="F48" s="2"/>
      <c r="G48" s="150" t="s">
        <v>1158</v>
      </c>
      <c r="H48" s="150" t="s">
        <v>1158</v>
      </c>
      <c r="I48" s="150" t="s">
        <v>1158</v>
      </c>
      <c r="J48" s="2"/>
      <c r="K48" s="2"/>
      <c r="L48" s="2"/>
      <c r="M48" s="2"/>
      <c r="N48" s="149"/>
      <c r="O48" s="2"/>
      <c r="P48" s="149"/>
      <c r="Q48" s="149"/>
      <c r="R48" s="149"/>
      <c r="S48" s="2"/>
      <c r="T48" s="2"/>
      <c r="U48" s="149"/>
      <c r="V48" s="2"/>
      <c r="W48" s="149"/>
      <c r="X48" s="2"/>
      <c r="Y48" s="2"/>
      <c r="Z48" s="2"/>
      <c r="AA48" s="149"/>
      <c r="AB48" s="2"/>
      <c r="AC48" s="149"/>
      <c r="AD48" s="2"/>
      <c r="AE48" s="150" t="s">
        <v>1158</v>
      </c>
      <c r="AF48" s="149"/>
      <c r="AG48" s="2"/>
      <c r="AH48" s="2"/>
      <c r="AI48" s="3"/>
      <c r="AJ48" s="2"/>
      <c r="AK48" s="2"/>
      <c r="AL48" s="2"/>
      <c r="AM48" s="2"/>
      <c r="AN48" s="3"/>
      <c r="AO48" s="2"/>
    </row>
    <row x14ac:dyDescent="0.25" r="49" customHeight="1" ht="18.75">
      <c r="A49" s="30" t="s">
        <v>1159</v>
      </c>
      <c r="B49" s="2"/>
      <c r="C49" s="150" t="s">
        <v>149</v>
      </c>
      <c r="D49" s="150" t="s">
        <v>149</v>
      </c>
      <c r="E49" s="150" t="s">
        <v>149</v>
      </c>
      <c r="F49" s="150"/>
      <c r="G49" s="150" t="s">
        <v>149</v>
      </c>
      <c r="H49" s="150" t="s">
        <v>149</v>
      </c>
      <c r="I49" s="150" t="s">
        <v>149</v>
      </c>
      <c r="J49" s="2"/>
      <c r="K49" s="150" t="s">
        <v>1139</v>
      </c>
      <c r="L49" s="150" t="s">
        <v>1139</v>
      </c>
      <c r="M49" s="150" t="s">
        <v>1139</v>
      </c>
      <c r="N49" s="150" t="s">
        <v>1139</v>
      </c>
      <c r="O49" s="150" t="s">
        <v>1139</v>
      </c>
      <c r="P49" s="149"/>
      <c r="Q49" s="149"/>
      <c r="R49" s="149"/>
      <c r="S49" s="2"/>
      <c r="T49" s="2"/>
      <c r="U49" s="149"/>
      <c r="V49" s="2"/>
      <c r="W49" s="149"/>
      <c r="X49" s="150" t="s">
        <v>1160</v>
      </c>
      <c r="Y49" s="150" t="s">
        <v>149</v>
      </c>
      <c r="Z49" s="150" t="s">
        <v>809</v>
      </c>
      <c r="AA49" s="150" t="s">
        <v>1142</v>
      </c>
      <c r="AB49" s="2"/>
      <c r="AC49" s="150" t="s">
        <v>1151</v>
      </c>
      <c r="AD49" s="150" t="s">
        <v>281</v>
      </c>
      <c r="AE49" s="2"/>
      <c r="AF49" s="149"/>
      <c r="AG49" s="2"/>
      <c r="AH49" s="2"/>
      <c r="AI49" s="3"/>
      <c r="AJ49" s="2"/>
      <c r="AK49" s="2"/>
      <c r="AL49" s="2"/>
      <c r="AM49" s="2"/>
      <c r="AN49" s="3"/>
      <c r="AO49" s="2"/>
    </row>
    <row x14ac:dyDescent="0.25" r="50" customHeight="1" ht="18.75">
      <c r="A50" s="30" t="s">
        <v>1161</v>
      </c>
      <c r="B50" s="2"/>
      <c r="C50" s="150" t="s">
        <v>149</v>
      </c>
      <c r="D50" s="150" t="s">
        <v>149</v>
      </c>
      <c r="E50" s="150" t="s">
        <v>149</v>
      </c>
      <c r="F50" s="169" t="s">
        <v>1162</v>
      </c>
      <c r="G50" s="150" t="s">
        <v>149</v>
      </c>
      <c r="H50" s="150" t="s">
        <v>149</v>
      </c>
      <c r="I50" s="150" t="s">
        <v>149</v>
      </c>
      <c r="J50" s="2"/>
      <c r="K50" s="2"/>
      <c r="L50" s="2"/>
      <c r="M50" s="2"/>
      <c r="N50" s="150" t="s">
        <v>1139</v>
      </c>
      <c r="O50" s="150" t="s">
        <v>1139</v>
      </c>
      <c r="P50" s="150" t="s">
        <v>149</v>
      </c>
      <c r="Q50" s="150" t="s">
        <v>149</v>
      </c>
      <c r="R50" s="149"/>
      <c r="S50" s="150" t="s">
        <v>1163</v>
      </c>
      <c r="T50" s="2"/>
      <c r="U50" s="150" t="s">
        <v>272</v>
      </c>
      <c r="V50" s="2"/>
      <c r="W50" s="149"/>
      <c r="X50" s="2"/>
      <c r="Y50" s="2"/>
      <c r="Z50" s="150" t="s">
        <v>809</v>
      </c>
      <c r="AA50" s="150" t="s">
        <v>1137</v>
      </c>
      <c r="AB50" s="150" t="s">
        <v>149</v>
      </c>
      <c r="AC50" s="150" t="s">
        <v>1164</v>
      </c>
      <c r="AD50" s="150" t="s">
        <v>809</v>
      </c>
      <c r="AE50" s="150" t="s">
        <v>1165</v>
      </c>
      <c r="AF50" s="149"/>
      <c r="AG50" s="2"/>
      <c r="AH50" s="2"/>
      <c r="AI50" s="3"/>
      <c r="AJ50" s="2"/>
      <c r="AK50" s="2"/>
      <c r="AL50" s="2"/>
      <c r="AM50" s="2"/>
      <c r="AN50" s="3"/>
      <c r="AO50" s="2"/>
    </row>
    <row x14ac:dyDescent="0.25" r="51" customHeight="1" ht="18.75">
      <c r="A51" s="30" t="s">
        <v>1166</v>
      </c>
      <c r="B51" s="2"/>
      <c r="C51" s="2"/>
      <c r="D51" s="2"/>
      <c r="E51" s="2"/>
      <c r="F51" s="169" t="s">
        <v>1162</v>
      </c>
      <c r="G51" s="150" t="s">
        <v>1167</v>
      </c>
      <c r="H51" s="150" t="s">
        <v>1167</v>
      </c>
      <c r="I51" s="150" t="s">
        <v>1167</v>
      </c>
      <c r="J51" s="2"/>
      <c r="K51" s="2"/>
      <c r="L51" s="2"/>
      <c r="M51" s="2"/>
      <c r="N51" s="150" t="s">
        <v>1168</v>
      </c>
      <c r="O51" s="2"/>
      <c r="P51" s="149"/>
      <c r="Q51" s="149"/>
      <c r="R51" s="149"/>
      <c r="S51" s="2"/>
      <c r="T51" s="2"/>
      <c r="U51" s="149"/>
      <c r="V51" s="2"/>
      <c r="W51" s="150" t="s">
        <v>1139</v>
      </c>
      <c r="X51" s="2"/>
      <c r="Y51" s="2"/>
      <c r="Z51" s="2"/>
      <c r="AA51" s="150" t="s">
        <v>1168</v>
      </c>
      <c r="AB51" s="2"/>
      <c r="AC51" s="149"/>
      <c r="AD51" s="2"/>
      <c r="AE51" s="2"/>
      <c r="AF51" s="149"/>
      <c r="AG51" s="2"/>
      <c r="AH51" s="2"/>
      <c r="AI51" s="3"/>
      <c r="AJ51" s="2"/>
      <c r="AK51" s="2"/>
      <c r="AL51" s="2"/>
      <c r="AM51" s="2"/>
      <c r="AN51" s="3"/>
      <c r="AO51" s="2"/>
    </row>
    <row x14ac:dyDescent="0.25" r="52" customHeight="1" ht="18.75">
      <c r="A52" s="30" t="s">
        <v>1169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50" t="s">
        <v>1139</v>
      </c>
      <c r="O52" s="150" t="s">
        <v>511</v>
      </c>
      <c r="P52" s="149"/>
      <c r="Q52" s="149"/>
      <c r="R52" s="149"/>
      <c r="S52" s="2"/>
      <c r="T52" s="150" t="s">
        <v>1170</v>
      </c>
      <c r="U52" s="150" t="s">
        <v>1171</v>
      </c>
      <c r="V52" s="2"/>
      <c r="W52" s="150" t="s">
        <v>1172</v>
      </c>
      <c r="X52" s="150" t="s">
        <v>1160</v>
      </c>
      <c r="Y52" s="150" t="s">
        <v>149</v>
      </c>
      <c r="Z52" s="2"/>
      <c r="AA52" s="150" t="s">
        <v>1142</v>
      </c>
      <c r="AB52" s="170" t="s">
        <v>1150</v>
      </c>
      <c r="AC52" s="150" t="s">
        <v>1151</v>
      </c>
      <c r="AD52" s="150" t="s">
        <v>809</v>
      </c>
      <c r="AE52" s="150" t="s">
        <v>1152</v>
      </c>
      <c r="AF52" s="150" t="s">
        <v>272</v>
      </c>
      <c r="AG52" s="2"/>
      <c r="AH52" s="150" t="s">
        <v>1137</v>
      </c>
      <c r="AI52" s="3"/>
      <c r="AJ52" s="2"/>
      <c r="AK52" s="2"/>
      <c r="AL52" s="2"/>
      <c r="AM52" s="2"/>
      <c r="AN52" s="3"/>
      <c r="AO52" s="2"/>
    </row>
    <row x14ac:dyDescent="0.25" r="53" customHeight="1" ht="18.75">
      <c r="A53" s="30" t="s">
        <v>1173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50" t="s">
        <v>1139</v>
      </c>
      <c r="O53" s="2"/>
      <c r="P53" s="150" t="s">
        <v>1139</v>
      </c>
      <c r="Q53" s="150" t="s">
        <v>1139</v>
      </c>
      <c r="R53" s="150" t="s">
        <v>1139</v>
      </c>
      <c r="S53" s="2"/>
      <c r="T53" s="2"/>
      <c r="U53" s="150" t="s">
        <v>272</v>
      </c>
      <c r="V53" s="2"/>
      <c r="W53" s="150" t="s">
        <v>1139</v>
      </c>
      <c r="X53" s="2"/>
      <c r="Y53" s="2"/>
      <c r="Z53" s="2"/>
      <c r="AA53" s="150" t="s">
        <v>1142</v>
      </c>
      <c r="AB53" s="2"/>
      <c r="AC53" s="150" t="s">
        <v>1151</v>
      </c>
      <c r="AD53" s="2"/>
      <c r="AE53" s="2"/>
      <c r="AF53" s="150" t="s">
        <v>272</v>
      </c>
      <c r="AG53" s="2"/>
      <c r="AH53" s="2"/>
      <c r="AI53" s="3"/>
      <c r="AJ53" s="2"/>
      <c r="AK53" s="2"/>
      <c r="AL53" s="2"/>
      <c r="AM53" s="2"/>
      <c r="AN53" s="3"/>
      <c r="AO53" s="2"/>
    </row>
  </sheetData>
  <mergeCells count="7">
    <mergeCell ref="B3:D3"/>
    <mergeCell ref="F3:O3"/>
    <mergeCell ref="B4:D4"/>
    <mergeCell ref="F4:O5"/>
    <mergeCell ref="B5:D5"/>
    <mergeCell ref="A33:A35"/>
    <mergeCell ref="A36:A38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44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1109</v>
      </c>
      <c r="C4" s="7"/>
      <c r="D4" s="7"/>
      <c r="E4" s="2"/>
      <c r="F4" s="124" t="s">
        <v>1110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139" t="s">
        <v>169</v>
      </c>
      <c r="C8" s="31" t="s">
        <v>243</v>
      </c>
      <c r="D8" s="31" t="s">
        <v>243</v>
      </c>
      <c r="E8" s="31" t="s">
        <v>243</v>
      </c>
      <c r="F8" s="31" t="s">
        <v>243</v>
      </c>
      <c r="G8" s="31" t="s">
        <v>243</v>
      </c>
      <c r="H8" s="31" t="s">
        <v>243</v>
      </c>
      <c r="I8" s="31" t="s">
        <v>243</v>
      </c>
      <c r="J8" s="31" t="s">
        <v>243</v>
      </c>
      <c r="K8" s="31" t="s">
        <v>243</v>
      </c>
      <c r="L8" s="31" t="s">
        <v>243</v>
      </c>
      <c r="M8" s="31" t="s">
        <v>243</v>
      </c>
      <c r="N8" s="31" t="s">
        <v>243</v>
      </c>
      <c r="O8" s="31" t="s">
        <v>243</v>
      </c>
      <c r="P8" s="31" t="s">
        <v>243</v>
      </c>
      <c r="Q8" s="31" t="s">
        <v>243</v>
      </c>
      <c r="R8" s="31" t="s">
        <v>243</v>
      </c>
      <c r="S8" s="31" t="s">
        <v>243</v>
      </c>
      <c r="T8" s="31" t="s">
        <v>243</v>
      </c>
      <c r="U8" s="31" t="s">
        <v>243</v>
      </c>
      <c r="V8" s="31" t="s">
        <v>243</v>
      </c>
      <c r="W8" s="31" t="s">
        <v>243</v>
      </c>
      <c r="X8" s="31" t="s">
        <v>243</v>
      </c>
      <c r="Y8" s="31" t="s">
        <v>243</v>
      </c>
      <c r="Z8" s="31" t="s">
        <v>243</v>
      </c>
      <c r="AA8" s="31" t="s">
        <v>243</v>
      </c>
      <c r="AB8" s="31" t="s">
        <v>243</v>
      </c>
      <c r="AC8" s="31" t="s">
        <v>243</v>
      </c>
      <c r="AD8" s="31" t="s">
        <v>243</v>
      </c>
      <c r="AE8" s="31" t="s">
        <v>243</v>
      </c>
      <c r="AF8" s="31" t="s">
        <v>243</v>
      </c>
      <c r="AG8" s="31" t="s">
        <v>243</v>
      </c>
      <c r="AH8" s="31" t="s">
        <v>243</v>
      </c>
    </row>
    <row x14ac:dyDescent="0.25" r="9" customHeight="1" ht="18.75">
      <c r="A9" s="30" t="s">
        <v>45</v>
      </c>
      <c r="B9" s="33" t="s">
        <v>468</v>
      </c>
      <c r="C9" s="33" t="s">
        <v>243</v>
      </c>
      <c r="D9" s="33" t="s">
        <v>243</v>
      </c>
      <c r="E9" s="33" t="s">
        <v>243</v>
      </c>
      <c r="F9" s="33" t="s">
        <v>243</v>
      </c>
      <c r="G9" s="33" t="s">
        <v>243</v>
      </c>
      <c r="H9" s="33" t="s">
        <v>243</v>
      </c>
      <c r="I9" s="33" t="s">
        <v>243</v>
      </c>
      <c r="J9" s="33" t="s">
        <v>243</v>
      </c>
      <c r="K9" s="33" t="s">
        <v>243</v>
      </c>
      <c r="L9" s="33" t="s">
        <v>243</v>
      </c>
      <c r="M9" s="33" t="s">
        <v>243</v>
      </c>
      <c r="N9" s="33" t="s">
        <v>243</v>
      </c>
      <c r="O9" s="33" t="s">
        <v>243</v>
      </c>
      <c r="P9" s="33" t="s">
        <v>243</v>
      </c>
      <c r="Q9" s="33" t="s">
        <v>243</v>
      </c>
      <c r="R9" s="33" t="s">
        <v>243</v>
      </c>
      <c r="S9" s="33" t="s">
        <v>243</v>
      </c>
      <c r="T9" s="33" t="s">
        <v>243</v>
      </c>
      <c r="U9" s="33" t="s">
        <v>243</v>
      </c>
      <c r="V9" s="33" t="s">
        <v>243</v>
      </c>
      <c r="W9" s="33" t="s">
        <v>243</v>
      </c>
      <c r="X9" s="33" t="s">
        <v>243</v>
      </c>
      <c r="Y9" s="33" t="s">
        <v>243</v>
      </c>
      <c r="Z9" s="33" t="s">
        <v>243</v>
      </c>
      <c r="AA9" s="33" t="s">
        <v>243</v>
      </c>
      <c r="AB9" s="33" t="s">
        <v>243</v>
      </c>
      <c r="AC9" s="33" t="s">
        <v>243</v>
      </c>
      <c r="AD9" s="33" t="s">
        <v>243</v>
      </c>
      <c r="AE9" s="33" t="s">
        <v>243</v>
      </c>
      <c r="AF9" s="33" t="s">
        <v>243</v>
      </c>
      <c r="AG9" s="33" t="s">
        <v>243</v>
      </c>
      <c r="AH9" s="33" t="s">
        <v>243</v>
      </c>
    </row>
    <row x14ac:dyDescent="0.25" r="10" customHeight="1" ht="18.75">
      <c r="A10" s="35" t="s">
        <v>47</v>
      </c>
      <c r="B10" s="117">
        <v>114</v>
      </c>
      <c r="C10" s="117">
        <v>42</v>
      </c>
      <c r="D10" s="117">
        <v>42</v>
      </c>
      <c r="E10" s="117">
        <v>42</v>
      </c>
      <c r="F10" s="117">
        <v>42</v>
      </c>
      <c r="G10" s="117">
        <v>42</v>
      </c>
      <c r="H10" s="117">
        <v>42</v>
      </c>
      <c r="I10" s="117">
        <v>42</v>
      </c>
      <c r="J10" s="117">
        <v>42</v>
      </c>
      <c r="K10" s="117">
        <v>42</v>
      </c>
      <c r="L10" s="117">
        <v>42</v>
      </c>
      <c r="M10" s="117">
        <v>42</v>
      </c>
      <c r="N10" s="117">
        <v>42</v>
      </c>
      <c r="O10" s="117">
        <v>42</v>
      </c>
      <c r="P10" s="117">
        <v>42</v>
      </c>
      <c r="Q10" s="117">
        <v>42</v>
      </c>
      <c r="R10" s="117">
        <v>42</v>
      </c>
      <c r="S10" s="117">
        <v>42</v>
      </c>
      <c r="T10" s="117">
        <v>42</v>
      </c>
      <c r="U10" s="117">
        <v>42</v>
      </c>
      <c r="V10" s="117">
        <v>42</v>
      </c>
      <c r="W10" s="117">
        <v>42</v>
      </c>
      <c r="X10" s="117">
        <v>42</v>
      </c>
      <c r="Y10" s="117">
        <v>42</v>
      </c>
      <c r="Z10" s="117">
        <v>42</v>
      </c>
      <c r="AA10" s="117">
        <v>42</v>
      </c>
      <c r="AB10" s="117">
        <v>42</v>
      </c>
      <c r="AC10" s="117">
        <v>42</v>
      </c>
      <c r="AD10" s="117">
        <v>42</v>
      </c>
      <c r="AE10" s="117">
        <v>42</v>
      </c>
      <c r="AF10" s="117">
        <v>42</v>
      </c>
      <c r="AG10" s="117">
        <v>42</v>
      </c>
      <c r="AH10" s="117">
        <v>42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2.75</v>
      </c>
      <c r="C16" s="31">
        <v>2.5</v>
      </c>
      <c r="D16" s="31">
        <v>2.5</v>
      </c>
      <c r="E16" s="31">
        <v>2.5</v>
      </c>
      <c r="F16" s="31">
        <v>2.5</v>
      </c>
      <c r="G16" s="31">
        <v>2.5</v>
      </c>
      <c r="H16" s="31">
        <v>2.5</v>
      </c>
      <c r="I16" s="31">
        <v>2.5</v>
      </c>
      <c r="J16" s="31">
        <v>2.5</v>
      </c>
      <c r="K16" s="31">
        <v>2.5</v>
      </c>
      <c r="L16" s="31">
        <v>2.5</v>
      </c>
      <c r="M16" s="31">
        <v>2.5</v>
      </c>
      <c r="N16" s="31">
        <v>2.5</v>
      </c>
      <c r="O16" s="31">
        <v>2.5</v>
      </c>
      <c r="P16" s="31">
        <v>2.5</v>
      </c>
      <c r="Q16" s="31">
        <v>2.5</v>
      </c>
      <c r="R16" s="31">
        <v>2.5</v>
      </c>
      <c r="S16" s="31">
        <v>2.5</v>
      </c>
      <c r="T16" s="31">
        <v>2.5</v>
      </c>
      <c r="U16" s="31">
        <v>2.5</v>
      </c>
      <c r="V16" s="31">
        <v>2.5</v>
      </c>
      <c r="W16" s="31">
        <v>2.5</v>
      </c>
      <c r="X16" s="31">
        <v>2.5</v>
      </c>
      <c r="Y16" s="31">
        <v>2.5</v>
      </c>
      <c r="Z16" s="31">
        <v>2.5</v>
      </c>
      <c r="AA16" s="31">
        <v>2.5</v>
      </c>
      <c r="AB16" s="31">
        <v>2.5</v>
      </c>
      <c r="AC16" s="31">
        <v>2.5</v>
      </c>
      <c r="AD16" s="31">
        <v>2.5</v>
      </c>
      <c r="AE16" s="31">
        <v>2.5</v>
      </c>
      <c r="AF16" s="31">
        <v>2.5</v>
      </c>
      <c r="AG16" s="31">
        <v>2.5</v>
      </c>
      <c r="AH16" s="31">
        <v>2.5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0" t="s">
        <v>43</v>
      </c>
      <c r="B20" s="31" t="s">
        <v>373</v>
      </c>
      <c r="C20" s="31" t="s">
        <v>180</v>
      </c>
      <c r="D20" s="31" t="s">
        <v>180</v>
      </c>
      <c r="E20" s="31" t="s">
        <v>180</v>
      </c>
      <c r="F20" s="31" t="s">
        <v>180</v>
      </c>
      <c r="G20" s="31" t="s">
        <v>180</v>
      </c>
      <c r="H20" s="31" t="s">
        <v>180</v>
      </c>
      <c r="I20" s="31" t="s">
        <v>180</v>
      </c>
      <c r="J20" s="31" t="s">
        <v>180</v>
      </c>
      <c r="K20" s="31" t="s">
        <v>180</v>
      </c>
      <c r="L20" s="31" t="s">
        <v>180</v>
      </c>
      <c r="M20" s="31" t="s">
        <v>180</v>
      </c>
      <c r="N20" s="31" t="s">
        <v>180</v>
      </c>
      <c r="O20" s="31" t="s">
        <v>180</v>
      </c>
      <c r="P20" s="31" t="s">
        <v>180</v>
      </c>
      <c r="Q20" s="31" t="s">
        <v>180</v>
      </c>
      <c r="R20" s="31" t="s">
        <v>180</v>
      </c>
      <c r="S20" s="31" t="s">
        <v>180</v>
      </c>
      <c r="T20" s="31" t="s">
        <v>180</v>
      </c>
      <c r="U20" s="31" t="s">
        <v>180</v>
      </c>
      <c r="V20" s="31" t="s">
        <v>180</v>
      </c>
      <c r="W20" s="31" t="s">
        <v>180</v>
      </c>
      <c r="X20" s="31" t="s">
        <v>180</v>
      </c>
      <c r="Y20" s="31" t="s">
        <v>180</v>
      </c>
      <c r="Z20" s="31" t="s">
        <v>180</v>
      </c>
      <c r="AA20" s="31" t="s">
        <v>180</v>
      </c>
      <c r="AB20" s="31" t="s">
        <v>180</v>
      </c>
      <c r="AC20" s="31" t="s">
        <v>180</v>
      </c>
      <c r="AD20" s="31" t="s">
        <v>180</v>
      </c>
      <c r="AE20" s="31" t="s">
        <v>180</v>
      </c>
      <c r="AF20" s="31" t="s">
        <v>180</v>
      </c>
      <c r="AG20" s="31" t="s">
        <v>180</v>
      </c>
      <c r="AH20" s="31" t="s">
        <v>180</v>
      </c>
    </row>
    <row x14ac:dyDescent="0.25" r="21" customHeight="1" ht="18.75">
      <c r="A21" s="30" t="s">
        <v>45</v>
      </c>
      <c r="B21" s="33" t="s">
        <v>374</v>
      </c>
      <c r="C21" s="33" t="s">
        <v>374</v>
      </c>
      <c r="D21" s="33" t="s">
        <v>374</v>
      </c>
      <c r="E21" s="33" t="s">
        <v>374</v>
      </c>
      <c r="F21" s="33" t="s">
        <v>374</v>
      </c>
      <c r="G21" s="33" t="s">
        <v>374</v>
      </c>
      <c r="H21" s="33" t="s">
        <v>374</v>
      </c>
      <c r="I21" s="33" t="s">
        <v>374</v>
      </c>
      <c r="J21" s="33" t="s">
        <v>374</v>
      </c>
      <c r="K21" s="33" t="s">
        <v>374</v>
      </c>
      <c r="L21" s="33" t="s">
        <v>374</v>
      </c>
      <c r="M21" s="33" t="s">
        <v>374</v>
      </c>
      <c r="N21" s="31" t="s">
        <v>947</v>
      </c>
      <c r="O21" s="33" t="s">
        <v>374</v>
      </c>
      <c r="P21" s="31" t="s">
        <v>186</v>
      </c>
      <c r="Q21" s="31" t="s">
        <v>186</v>
      </c>
      <c r="R21" s="33" t="s">
        <v>187</v>
      </c>
      <c r="S21" s="31" t="s">
        <v>947</v>
      </c>
      <c r="T21" s="33" t="s">
        <v>374</v>
      </c>
      <c r="U21" s="33" t="s">
        <v>374</v>
      </c>
      <c r="V21" s="33" t="s">
        <v>374</v>
      </c>
      <c r="W21" s="33" t="s">
        <v>374</v>
      </c>
      <c r="X21" s="33" t="s">
        <v>374</v>
      </c>
      <c r="Y21" s="33" t="s">
        <v>374</v>
      </c>
      <c r="Z21" s="33" t="s">
        <v>374</v>
      </c>
      <c r="AA21" s="33" t="s">
        <v>374</v>
      </c>
      <c r="AB21" s="33" t="s">
        <v>374</v>
      </c>
      <c r="AC21" s="33" t="s">
        <v>374</v>
      </c>
      <c r="AD21" s="33" t="s">
        <v>374</v>
      </c>
      <c r="AE21" s="33" t="s">
        <v>374</v>
      </c>
      <c r="AF21" s="33" t="s">
        <v>374</v>
      </c>
      <c r="AG21" s="31" t="s">
        <v>189</v>
      </c>
      <c r="AH21" s="31" t="s">
        <v>189</v>
      </c>
    </row>
    <row x14ac:dyDescent="0.25" r="22" customHeight="1" ht="18.75">
      <c r="A22" s="35" t="s">
        <v>47</v>
      </c>
      <c r="B22" s="117">
        <v>83</v>
      </c>
      <c r="C22" s="117">
        <v>83</v>
      </c>
      <c r="D22" s="117">
        <v>83</v>
      </c>
      <c r="E22" s="117">
        <v>83</v>
      </c>
      <c r="F22" s="117">
        <v>83</v>
      </c>
      <c r="G22" s="117">
        <v>83</v>
      </c>
      <c r="H22" s="117">
        <v>83</v>
      </c>
      <c r="I22" s="117">
        <v>83</v>
      </c>
      <c r="J22" s="117">
        <v>83</v>
      </c>
      <c r="K22" s="117">
        <v>83</v>
      </c>
      <c r="L22" s="117">
        <v>83</v>
      </c>
      <c r="M22" s="117">
        <v>83</v>
      </c>
      <c r="N22" s="117">
        <v>143</v>
      </c>
      <c r="O22" s="117">
        <v>83</v>
      </c>
      <c r="P22" s="117">
        <v>142</v>
      </c>
      <c r="Q22" s="117">
        <v>142</v>
      </c>
      <c r="R22" s="117">
        <v>81</v>
      </c>
      <c r="S22" s="117">
        <v>143</v>
      </c>
      <c r="T22" s="117">
        <v>83</v>
      </c>
      <c r="U22" s="117">
        <v>83</v>
      </c>
      <c r="V22" s="117">
        <v>83</v>
      </c>
      <c r="W22" s="117">
        <v>83</v>
      </c>
      <c r="X22" s="117">
        <v>83</v>
      </c>
      <c r="Y22" s="117">
        <v>83</v>
      </c>
      <c r="Z22" s="117">
        <v>83</v>
      </c>
      <c r="AA22" s="117">
        <v>83</v>
      </c>
      <c r="AB22" s="117">
        <v>83</v>
      </c>
      <c r="AC22" s="117">
        <v>83</v>
      </c>
      <c r="AD22" s="117">
        <v>83</v>
      </c>
      <c r="AE22" s="117">
        <v>83</v>
      </c>
      <c r="AF22" s="117">
        <v>83</v>
      </c>
      <c r="AG22" s="117">
        <v>82</v>
      </c>
      <c r="AH22" s="117">
        <v>82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31" t="s">
        <v>52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31" t="s">
        <v>52</v>
      </c>
      <c r="AD23" s="31" t="s">
        <v>52</v>
      </c>
      <c r="AE23" s="31" t="s">
        <v>52</v>
      </c>
      <c r="AF23" s="31" t="s">
        <v>52</v>
      </c>
      <c r="AG23" s="31" t="s">
        <v>52</v>
      </c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52</v>
      </c>
      <c r="S24" s="31" t="s">
        <v>52</v>
      </c>
      <c r="T24" s="31" t="s">
        <v>52</v>
      </c>
      <c r="U24" s="31" t="s">
        <v>52</v>
      </c>
      <c r="V24" s="31" t="s">
        <v>52</v>
      </c>
      <c r="W24" s="31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31" t="s">
        <v>52</v>
      </c>
      <c r="AD24" s="31" t="s">
        <v>52</v>
      </c>
      <c r="AE24" s="31" t="s">
        <v>52</v>
      </c>
      <c r="AF24" s="31" t="s">
        <v>52</v>
      </c>
      <c r="AG24" s="31" t="s">
        <v>52</v>
      </c>
      <c r="AH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1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31" t="s">
        <v>49</v>
      </c>
      <c r="AD25" s="31" t="s">
        <v>49</v>
      </c>
      <c r="AE25" s="31" t="s">
        <v>49</v>
      </c>
      <c r="AF25" s="31" t="s">
        <v>49</v>
      </c>
      <c r="AG25" s="31" t="s">
        <v>49</v>
      </c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1" t="s">
        <v>49</v>
      </c>
      <c r="S26" s="31" t="s">
        <v>49</v>
      </c>
      <c r="T26" s="31" t="s">
        <v>49</v>
      </c>
      <c r="U26" s="31" t="s">
        <v>49</v>
      </c>
      <c r="V26" s="31" t="s">
        <v>49</v>
      </c>
      <c r="W26" s="31" t="s">
        <v>49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31" t="s">
        <v>49</v>
      </c>
      <c r="AD26" s="31" t="s">
        <v>49</v>
      </c>
      <c r="AE26" s="31" t="s">
        <v>49</v>
      </c>
      <c r="AF26" s="31" t="s">
        <v>49</v>
      </c>
      <c r="AG26" s="31" t="s">
        <v>49</v>
      </c>
      <c r="AH26" s="31" t="s">
        <v>49</v>
      </c>
    </row>
    <row x14ac:dyDescent="0.25" r="27" customHeight="1" ht="18.75">
      <c r="A27" s="30" t="s">
        <v>127</v>
      </c>
      <c r="B27" s="31" t="s">
        <v>143</v>
      </c>
      <c r="C27" s="31" t="s">
        <v>143</v>
      </c>
      <c r="D27" s="31" t="s">
        <v>143</v>
      </c>
      <c r="E27" s="31" t="s">
        <v>143</v>
      </c>
      <c r="F27" s="31" t="s">
        <v>143</v>
      </c>
      <c r="G27" s="31" t="s">
        <v>143</v>
      </c>
      <c r="H27" s="31" t="s">
        <v>143</v>
      </c>
      <c r="I27" s="31" t="s">
        <v>143</v>
      </c>
      <c r="J27" s="31" t="s">
        <v>143</v>
      </c>
      <c r="K27" s="31" t="s">
        <v>143</v>
      </c>
      <c r="L27" s="31" t="s">
        <v>143</v>
      </c>
      <c r="M27" s="31" t="s">
        <v>143</v>
      </c>
      <c r="N27" s="31" t="s">
        <v>192</v>
      </c>
      <c r="O27" s="31" t="s">
        <v>143</v>
      </c>
      <c r="P27" s="31" t="s">
        <v>193</v>
      </c>
      <c r="Q27" s="31" t="s">
        <v>193</v>
      </c>
      <c r="R27" s="31" t="s">
        <v>193</v>
      </c>
      <c r="S27" s="31" t="s">
        <v>192</v>
      </c>
      <c r="T27" s="31" t="s">
        <v>143</v>
      </c>
      <c r="U27" s="31" t="s">
        <v>143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143</v>
      </c>
      <c r="AA27" s="31" t="s">
        <v>143</v>
      </c>
      <c r="AB27" s="31" t="s">
        <v>143</v>
      </c>
      <c r="AC27" s="31" t="s">
        <v>143</v>
      </c>
      <c r="AD27" s="31" t="s">
        <v>143</v>
      </c>
      <c r="AE27" s="31" t="s">
        <v>143</v>
      </c>
      <c r="AF27" s="31" t="s">
        <v>143</v>
      </c>
      <c r="AG27" s="31" t="s">
        <v>143</v>
      </c>
      <c r="AH27" s="31" t="s">
        <v>143</v>
      </c>
    </row>
    <row x14ac:dyDescent="0.25" r="28" customHeight="1" ht="18.75">
      <c r="A28" s="30" t="s">
        <v>128</v>
      </c>
      <c r="B28" s="31">
        <v>0.75</v>
      </c>
      <c r="C28" s="31">
        <v>0.75</v>
      </c>
      <c r="D28" s="31">
        <v>0.75</v>
      </c>
      <c r="E28" s="31">
        <v>0.75</v>
      </c>
      <c r="F28" s="31">
        <v>0.75</v>
      </c>
      <c r="G28" s="31">
        <v>0.75</v>
      </c>
      <c r="H28" s="31">
        <v>0.75</v>
      </c>
      <c r="I28" s="31">
        <v>0.75</v>
      </c>
      <c r="J28" s="31">
        <v>0.75</v>
      </c>
      <c r="K28" s="31">
        <v>0.75</v>
      </c>
      <c r="L28" s="31">
        <v>0.75</v>
      </c>
      <c r="M28" s="31">
        <v>0.75</v>
      </c>
      <c r="N28" s="31">
        <f>AVERAGE(0.75,0.75,-4)</f>
      </c>
      <c r="O28" s="31">
        <v>0.75</v>
      </c>
      <c r="P28" s="31">
        <v>-4</v>
      </c>
      <c r="Q28" s="31">
        <v>-4</v>
      </c>
      <c r="R28" s="31">
        <v>-4</v>
      </c>
      <c r="S28" s="31">
        <f>AVERAGE(0.75,0.75,-4)</f>
      </c>
      <c r="T28" s="31">
        <v>0.75</v>
      </c>
      <c r="U28" s="31">
        <v>0.75</v>
      </c>
      <c r="V28" s="31">
        <v>0.75</v>
      </c>
      <c r="W28" s="31">
        <v>0.75</v>
      </c>
      <c r="X28" s="31">
        <v>0.75</v>
      </c>
      <c r="Y28" s="31">
        <v>0.75</v>
      </c>
      <c r="Z28" s="31">
        <v>0.75</v>
      </c>
      <c r="AA28" s="31">
        <v>0.75</v>
      </c>
      <c r="AB28" s="31">
        <v>0.75</v>
      </c>
      <c r="AC28" s="31">
        <v>0.75</v>
      </c>
      <c r="AD28" s="31">
        <v>0.75</v>
      </c>
      <c r="AE28" s="31">
        <v>0.75</v>
      </c>
      <c r="AF28" s="31">
        <v>0.75</v>
      </c>
      <c r="AG28" s="31">
        <f>5/3</f>
      </c>
      <c r="AH28" s="31">
        <f>5/3</f>
      </c>
    </row>
    <row x14ac:dyDescent="0.25" r="29" customHeight="1" ht="18.75">
      <c r="A29" s="30" t="s">
        <v>129</v>
      </c>
      <c r="B29" s="31" t="s">
        <v>198</v>
      </c>
      <c r="C29" s="31" t="s">
        <v>198</v>
      </c>
      <c r="D29" s="31" t="s">
        <v>198</v>
      </c>
      <c r="E29" s="31" t="s">
        <v>198</v>
      </c>
      <c r="F29" s="31" t="s">
        <v>198</v>
      </c>
      <c r="G29" s="31" t="s">
        <v>198</v>
      </c>
      <c r="H29" s="31" t="s">
        <v>198</v>
      </c>
      <c r="I29" s="31" t="s">
        <v>198</v>
      </c>
      <c r="J29" s="31" t="s">
        <v>198</v>
      </c>
      <c r="K29" s="31" t="s">
        <v>198</v>
      </c>
      <c r="L29" s="31" t="s">
        <v>198</v>
      </c>
      <c r="M29" s="31" t="s">
        <v>198</v>
      </c>
      <c r="N29" s="31" t="s">
        <v>198</v>
      </c>
      <c r="O29" s="31" t="s">
        <v>198</v>
      </c>
      <c r="P29" s="31" t="s">
        <v>197</v>
      </c>
      <c r="Q29" s="31" t="s">
        <v>197</v>
      </c>
      <c r="R29" s="31" t="s">
        <v>198</v>
      </c>
      <c r="S29" s="31" t="s">
        <v>198</v>
      </c>
      <c r="T29" s="31" t="s">
        <v>198</v>
      </c>
      <c r="U29" s="31" t="s">
        <v>198</v>
      </c>
      <c r="V29" s="31" t="s">
        <v>198</v>
      </c>
      <c r="W29" s="31" t="s">
        <v>198</v>
      </c>
      <c r="X29" s="31" t="s">
        <v>198</v>
      </c>
      <c r="Y29" s="31" t="s">
        <v>198</v>
      </c>
      <c r="Z29" s="31" t="s">
        <v>198</v>
      </c>
      <c r="AA29" s="31" t="s">
        <v>198</v>
      </c>
      <c r="AB29" s="31" t="s">
        <v>198</v>
      </c>
      <c r="AC29" s="31" t="s">
        <v>198</v>
      </c>
      <c r="AD29" s="31" t="s">
        <v>198</v>
      </c>
      <c r="AE29" s="31" t="s">
        <v>198</v>
      </c>
      <c r="AF29" s="31" t="s">
        <v>198</v>
      </c>
      <c r="AG29" s="31" t="s">
        <v>198</v>
      </c>
      <c r="AH29" s="31" t="s">
        <v>198</v>
      </c>
    </row>
    <row x14ac:dyDescent="0.25" r="30" customHeight="1" ht="18.75">
      <c r="A30" s="30" t="s">
        <v>130</v>
      </c>
      <c r="B30" s="31">
        <v>1</v>
      </c>
      <c r="C30" s="31">
        <v>1</v>
      </c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1">
        <f>AVERAGE(1,1,1.25)</f>
      </c>
      <c r="O30" s="31">
        <v>1</v>
      </c>
      <c r="P30" s="31">
        <f>AVERAGE(2,2,1.25)</f>
      </c>
      <c r="Q30" s="31">
        <f>AVERAGE(2,2,1.25)</f>
      </c>
      <c r="R30" s="31">
        <v>1.25</v>
      </c>
      <c r="S30" s="31">
        <f>AVERAGE(1,1,1.25)</f>
      </c>
      <c r="T30" s="31">
        <v>1</v>
      </c>
      <c r="U30" s="31">
        <v>1</v>
      </c>
      <c r="V30" s="31">
        <v>1</v>
      </c>
      <c r="W30" s="31">
        <v>1</v>
      </c>
      <c r="X30" s="31">
        <v>1</v>
      </c>
      <c r="Y30" s="31">
        <v>1</v>
      </c>
      <c r="Z30" s="31">
        <v>1</v>
      </c>
      <c r="AA30" s="31">
        <v>1</v>
      </c>
      <c r="AB30" s="31">
        <v>1</v>
      </c>
      <c r="AC30" s="31">
        <v>1</v>
      </c>
      <c r="AD30" s="31">
        <v>1</v>
      </c>
      <c r="AE30" s="31">
        <v>1</v>
      </c>
      <c r="AF30" s="31">
        <v>1</v>
      </c>
      <c r="AG30" s="31">
        <v>1</v>
      </c>
      <c r="AH30" s="31">
        <v>1</v>
      </c>
    </row>
    <row x14ac:dyDescent="0.25" r="31" customHeight="1" ht="18.75">
      <c r="A31" s="46"/>
      <c r="B31" s="5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x14ac:dyDescent="0.25" r="32" customHeight="1" ht="18.75">
      <c r="A32" s="38" t="s">
        <v>64</v>
      </c>
      <c r="B32" s="5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x14ac:dyDescent="0.25" r="33" customHeight="1" ht="18.75">
      <c r="A33" s="30" t="s">
        <v>1111</v>
      </c>
      <c r="B33" s="40" t="s">
        <v>1112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40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4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3"/>
      <c r="AL1" s="2"/>
      <c r="AM1" s="2"/>
      <c r="AN1" s="2"/>
      <c r="AO1" s="2"/>
      <c r="AP1" s="2"/>
      <c r="AQ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3"/>
      <c r="AL2" s="2"/>
      <c r="AM2" s="2"/>
      <c r="AN2" s="2"/>
      <c r="AO2" s="2"/>
      <c r="AP2" s="2"/>
      <c r="AQ2" s="2"/>
    </row>
    <row x14ac:dyDescent="0.25" r="3" customHeight="1" ht="18.75">
      <c r="A3" s="1" t="s">
        <v>2</v>
      </c>
      <c r="B3" s="5">
        <v>45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3"/>
      <c r="AL3" s="2"/>
      <c r="AM3" s="2"/>
      <c r="AN3" s="2"/>
      <c r="AO3" s="2"/>
      <c r="AP3" s="2"/>
      <c r="AQ3" s="2"/>
    </row>
    <row x14ac:dyDescent="0.25" r="4" customHeight="1" ht="18.75">
      <c r="A4" s="1" t="s">
        <v>4</v>
      </c>
      <c r="B4" s="7" t="s">
        <v>1082</v>
      </c>
      <c r="C4" s="7"/>
      <c r="D4" s="7"/>
      <c r="E4" s="2"/>
      <c r="F4" s="124" t="s">
        <v>1083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3"/>
      <c r="AL4" s="2"/>
      <c r="AM4" s="2"/>
      <c r="AN4" s="2"/>
      <c r="AO4" s="2"/>
      <c r="AP4" s="2"/>
      <c r="AQ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3"/>
      <c r="AL5" s="2"/>
      <c r="AM5" s="2"/>
      <c r="AN5" s="2"/>
      <c r="AO5" s="2"/>
      <c r="AP5" s="2"/>
      <c r="AQ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3"/>
      <c r="AL6" s="2"/>
      <c r="AM6" s="2"/>
      <c r="AN6" s="2"/>
      <c r="AO6" s="2"/>
      <c r="AP6" s="2"/>
      <c r="AQ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11" t="s">
        <v>10</v>
      </c>
      <c r="AK7" s="3"/>
      <c r="AL7" s="49" t="s">
        <v>11</v>
      </c>
      <c r="AM7" s="49" t="s">
        <v>12</v>
      </c>
      <c r="AN7" s="128" t="s">
        <v>13</v>
      </c>
      <c r="AO7" s="52" t="s">
        <v>15</v>
      </c>
      <c r="AP7" s="52" t="s">
        <v>16</v>
      </c>
      <c r="AQ7" s="52" t="s">
        <v>17</v>
      </c>
    </row>
    <row x14ac:dyDescent="0.25" r="8" customHeight="1" ht="18.75">
      <c r="A8" s="30" t="s">
        <v>43</v>
      </c>
      <c r="B8" s="31" t="s">
        <v>169</v>
      </c>
      <c r="C8" s="31" t="s">
        <v>301</v>
      </c>
      <c r="D8" s="31" t="s">
        <v>301</v>
      </c>
      <c r="E8" s="31" t="s">
        <v>301</v>
      </c>
      <c r="F8" s="143" t="s">
        <v>358</v>
      </c>
      <c r="G8" s="143" t="s">
        <v>358</v>
      </c>
      <c r="H8" s="143" t="s">
        <v>358</v>
      </c>
      <c r="I8" s="143" t="s">
        <v>358</v>
      </c>
      <c r="J8" s="31" t="s">
        <v>243</v>
      </c>
      <c r="K8" s="31" t="s">
        <v>243</v>
      </c>
      <c r="L8" s="31" t="s">
        <v>243</v>
      </c>
      <c r="M8" s="31" t="s">
        <v>243</v>
      </c>
      <c r="N8" s="31" t="s">
        <v>243</v>
      </c>
      <c r="O8" s="31" t="s">
        <v>243</v>
      </c>
      <c r="P8" s="31" t="s">
        <v>243</v>
      </c>
      <c r="Q8" s="31" t="s">
        <v>243</v>
      </c>
      <c r="R8" s="31" t="s">
        <v>243</v>
      </c>
      <c r="S8" s="31" t="s">
        <v>243</v>
      </c>
      <c r="T8" s="31" t="s">
        <v>403</v>
      </c>
      <c r="U8" s="31" t="s">
        <v>243</v>
      </c>
      <c r="V8" s="31" t="s">
        <v>243</v>
      </c>
      <c r="W8" s="31" t="s">
        <v>243</v>
      </c>
      <c r="X8" s="31" t="s">
        <v>243</v>
      </c>
      <c r="Y8" s="31" t="s">
        <v>243</v>
      </c>
      <c r="Z8" s="31" t="s">
        <v>243</v>
      </c>
      <c r="AA8" s="31" t="s">
        <v>243</v>
      </c>
      <c r="AB8" s="31" t="s">
        <v>243</v>
      </c>
      <c r="AC8" s="31" t="s">
        <v>403</v>
      </c>
      <c r="AD8" s="31" t="s">
        <v>243</v>
      </c>
      <c r="AE8" s="133" t="s">
        <v>1084</v>
      </c>
      <c r="AF8" s="31" t="s">
        <v>243</v>
      </c>
      <c r="AG8" s="31" t="s">
        <v>243</v>
      </c>
      <c r="AH8" s="31" t="s">
        <v>243</v>
      </c>
      <c r="AI8" s="3"/>
      <c r="AJ8" s="31" t="s">
        <v>169</v>
      </c>
      <c r="AK8" s="3"/>
      <c r="AL8" s="31" t="s">
        <v>243</v>
      </c>
      <c r="AM8" s="31" t="s">
        <v>243</v>
      </c>
      <c r="AN8" s="31" t="s">
        <v>243</v>
      </c>
      <c r="AO8" s="31" t="s">
        <v>243</v>
      </c>
      <c r="AP8" s="31" t="s">
        <v>243</v>
      </c>
      <c r="AQ8" s="31" t="s">
        <v>243</v>
      </c>
    </row>
    <row x14ac:dyDescent="0.25" r="9" customHeight="1" ht="15.75">
      <c r="A9" s="30" t="s">
        <v>45</v>
      </c>
      <c r="B9" s="31" t="s">
        <v>468</v>
      </c>
      <c r="C9" s="31" t="s">
        <v>227</v>
      </c>
      <c r="D9" s="31" t="s">
        <v>227</v>
      </c>
      <c r="E9" s="31" t="s">
        <v>294</v>
      </c>
      <c r="F9" s="143" t="s">
        <v>358</v>
      </c>
      <c r="G9" s="143" t="s">
        <v>358</v>
      </c>
      <c r="H9" s="143" t="s">
        <v>358</v>
      </c>
      <c r="I9" s="143" t="s">
        <v>358</v>
      </c>
      <c r="J9" s="31" t="s">
        <v>243</v>
      </c>
      <c r="K9" s="31" t="s">
        <v>243</v>
      </c>
      <c r="L9" s="31" t="s">
        <v>243</v>
      </c>
      <c r="M9" s="31" t="s">
        <v>243</v>
      </c>
      <c r="N9" s="31" t="s">
        <v>243</v>
      </c>
      <c r="O9" s="31" t="s">
        <v>243</v>
      </c>
      <c r="P9" s="31" t="s">
        <v>243</v>
      </c>
      <c r="Q9" s="31" t="s">
        <v>243</v>
      </c>
      <c r="R9" s="31" t="s">
        <v>243</v>
      </c>
      <c r="S9" s="31" t="s">
        <v>1085</v>
      </c>
      <c r="T9" s="31" t="s">
        <v>227</v>
      </c>
      <c r="U9" s="31" t="s">
        <v>243</v>
      </c>
      <c r="V9" s="31" t="s">
        <v>243</v>
      </c>
      <c r="W9" s="31" t="s">
        <v>243</v>
      </c>
      <c r="X9" s="31" t="s">
        <v>243</v>
      </c>
      <c r="Y9" s="31" t="s">
        <v>243</v>
      </c>
      <c r="Z9" s="31" t="s">
        <v>243</v>
      </c>
      <c r="AA9" s="31" t="s">
        <v>243</v>
      </c>
      <c r="AB9" s="31" t="s">
        <v>243</v>
      </c>
      <c r="AC9" s="31" t="s">
        <v>227</v>
      </c>
      <c r="AD9" s="31" t="s">
        <v>243</v>
      </c>
      <c r="AE9" s="31" t="s">
        <v>1086</v>
      </c>
      <c r="AF9" s="31" t="s">
        <v>243</v>
      </c>
      <c r="AG9" s="31" t="s">
        <v>243</v>
      </c>
      <c r="AH9" s="31" t="s">
        <v>243</v>
      </c>
      <c r="AI9" s="3"/>
      <c r="AJ9" s="31" t="s">
        <v>468</v>
      </c>
      <c r="AK9" s="3"/>
      <c r="AL9" s="33" t="s">
        <v>243</v>
      </c>
      <c r="AM9" s="33" t="s">
        <v>243</v>
      </c>
      <c r="AN9" s="33" t="s">
        <v>243</v>
      </c>
      <c r="AO9" s="33" t="s">
        <v>243</v>
      </c>
      <c r="AP9" s="33" t="s">
        <v>243</v>
      </c>
      <c r="AQ9" s="33" t="s">
        <v>243</v>
      </c>
    </row>
    <row x14ac:dyDescent="0.25" r="10" customHeight="1" ht="18.75">
      <c r="A10" s="35" t="s">
        <v>47</v>
      </c>
      <c r="B10" s="117">
        <v>114</v>
      </c>
      <c r="C10" s="117">
        <v>56</v>
      </c>
      <c r="D10" s="117">
        <v>56</v>
      </c>
      <c r="E10" s="117">
        <v>34</v>
      </c>
      <c r="F10" s="144"/>
      <c r="G10" s="144"/>
      <c r="H10" s="144"/>
      <c r="I10" s="144"/>
      <c r="J10" s="117">
        <v>42</v>
      </c>
      <c r="K10" s="117">
        <v>42</v>
      </c>
      <c r="L10" s="117">
        <v>42</v>
      </c>
      <c r="M10" s="117">
        <v>42</v>
      </c>
      <c r="N10" s="117">
        <v>42</v>
      </c>
      <c r="O10" s="117">
        <v>42</v>
      </c>
      <c r="P10" s="117">
        <v>42</v>
      </c>
      <c r="Q10" s="117">
        <v>42</v>
      </c>
      <c r="R10" s="117">
        <v>42</v>
      </c>
      <c r="S10" s="117">
        <v>157</v>
      </c>
      <c r="T10" s="117">
        <v>56</v>
      </c>
      <c r="U10" s="117">
        <v>42</v>
      </c>
      <c r="V10" s="117">
        <v>42</v>
      </c>
      <c r="W10" s="117">
        <v>42</v>
      </c>
      <c r="X10" s="117">
        <v>42</v>
      </c>
      <c r="Y10" s="117">
        <v>42</v>
      </c>
      <c r="Z10" s="117">
        <v>42</v>
      </c>
      <c r="AA10" s="117">
        <v>42</v>
      </c>
      <c r="AB10" s="117">
        <v>42</v>
      </c>
      <c r="AC10" s="117">
        <v>56</v>
      </c>
      <c r="AD10" s="117">
        <v>42</v>
      </c>
      <c r="AE10" s="117">
        <v>158</v>
      </c>
      <c r="AF10" s="117">
        <v>42</v>
      </c>
      <c r="AG10" s="117">
        <v>42</v>
      </c>
      <c r="AH10" s="117">
        <v>42</v>
      </c>
      <c r="AI10" s="3"/>
      <c r="AJ10" s="117">
        <v>114</v>
      </c>
      <c r="AK10" s="3"/>
      <c r="AL10" s="117">
        <v>42</v>
      </c>
      <c r="AM10" s="117">
        <v>42</v>
      </c>
      <c r="AN10" s="117">
        <v>42</v>
      </c>
      <c r="AO10" s="117">
        <v>42</v>
      </c>
      <c r="AP10" s="117">
        <v>42</v>
      </c>
      <c r="AQ10" s="117">
        <v>42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52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  <c r="AK11" s="3"/>
      <c r="AL11" s="31" t="s">
        <v>52</v>
      </c>
      <c r="AM11" s="31" t="s">
        <v>52</v>
      </c>
      <c r="AN11" s="31" t="s">
        <v>52</v>
      </c>
      <c r="AO11" s="31" t="s">
        <v>52</v>
      </c>
      <c r="AP11" s="31" t="s">
        <v>52</v>
      </c>
      <c r="AQ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1" t="s">
        <v>49</v>
      </c>
      <c r="S12" s="31" t="s">
        <v>49</v>
      </c>
      <c r="T12" s="31" t="s">
        <v>49</v>
      </c>
      <c r="U12" s="31" t="s">
        <v>49</v>
      </c>
      <c r="V12" s="31" t="s">
        <v>49</v>
      </c>
      <c r="W12" s="31" t="s">
        <v>49</v>
      </c>
      <c r="X12" s="31" t="s">
        <v>49</v>
      </c>
      <c r="Y12" s="31" t="s">
        <v>49</v>
      </c>
      <c r="Z12" s="31" t="s">
        <v>49</v>
      </c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1" t="s">
        <v>49</v>
      </c>
      <c r="AG12" s="31" t="s">
        <v>49</v>
      </c>
      <c r="AH12" s="31" t="s">
        <v>49</v>
      </c>
      <c r="AI12" s="3"/>
      <c r="AJ12" s="33" t="s">
        <v>49</v>
      </c>
      <c r="AK12" s="3"/>
      <c r="AL12" s="31" t="s">
        <v>49</v>
      </c>
      <c r="AM12" s="31" t="s">
        <v>49</v>
      </c>
      <c r="AN12" s="31" t="s">
        <v>49</v>
      </c>
      <c r="AO12" s="31" t="s">
        <v>49</v>
      </c>
      <c r="AP12" s="31" t="s">
        <v>49</v>
      </c>
      <c r="AQ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1" t="s">
        <v>52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52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52</v>
      </c>
      <c r="AD13" s="31" t="s">
        <v>49</v>
      </c>
      <c r="AE13" s="31" t="s">
        <v>295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  <c r="AK13" s="3"/>
      <c r="AL13" s="31" t="s">
        <v>49</v>
      </c>
      <c r="AM13" s="31" t="s">
        <v>49</v>
      </c>
      <c r="AN13" s="31" t="s">
        <v>49</v>
      </c>
      <c r="AO13" s="31" t="s">
        <v>49</v>
      </c>
      <c r="AP13" s="31" t="s">
        <v>49</v>
      </c>
      <c r="AQ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"/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133</v>
      </c>
      <c r="D15" s="31" t="s">
        <v>133</v>
      </c>
      <c r="E15" s="31" t="s">
        <v>133</v>
      </c>
      <c r="F15" s="143" t="s">
        <v>140</v>
      </c>
      <c r="G15" s="143" t="s">
        <v>140</v>
      </c>
      <c r="H15" s="143" t="s">
        <v>140</v>
      </c>
      <c r="I15" s="143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662</v>
      </c>
      <c r="T15" s="31" t="s">
        <v>133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133</v>
      </c>
      <c r="AD15" s="31" t="s">
        <v>140</v>
      </c>
      <c r="AE15" s="31" t="s">
        <v>133</v>
      </c>
      <c r="AF15" s="31" t="s">
        <v>140</v>
      </c>
      <c r="AG15" s="31" t="s">
        <v>140</v>
      </c>
      <c r="AH15" s="31" t="s">
        <v>140</v>
      </c>
      <c r="AI15" s="3"/>
      <c r="AJ15" s="31" t="s">
        <v>140</v>
      </c>
      <c r="AK15" s="3"/>
      <c r="AL15" s="31" t="s">
        <v>140</v>
      </c>
      <c r="AM15" s="31" t="s">
        <v>140</v>
      </c>
      <c r="AN15" s="31" t="s">
        <v>140</v>
      </c>
      <c r="AO15" s="31" t="s">
        <v>140</v>
      </c>
      <c r="AP15" s="31" t="s">
        <v>140</v>
      </c>
      <c r="AQ15" s="31" t="s">
        <v>140</v>
      </c>
    </row>
    <row x14ac:dyDescent="0.25" r="16" customHeight="1" ht="18.75">
      <c r="A16" s="30" t="s">
        <v>128</v>
      </c>
      <c r="B16" s="33">
        <v>2.75</v>
      </c>
      <c r="C16" s="33">
        <v>-0.5</v>
      </c>
      <c r="D16" s="33">
        <v>-0.5</v>
      </c>
      <c r="E16" s="33">
        <v>-0.5</v>
      </c>
      <c r="F16" s="146">
        <v>2.5</v>
      </c>
      <c r="G16" s="146">
        <v>2.5</v>
      </c>
      <c r="H16" s="146">
        <v>2.5</v>
      </c>
      <c r="I16" s="146">
        <v>2.5</v>
      </c>
      <c r="J16" s="33">
        <v>2.5</v>
      </c>
      <c r="K16" s="33">
        <v>2.5</v>
      </c>
      <c r="L16" s="33">
        <v>2.5</v>
      </c>
      <c r="M16" s="33">
        <v>2.5</v>
      </c>
      <c r="N16" s="33">
        <v>2.5</v>
      </c>
      <c r="O16" s="33">
        <v>2.5</v>
      </c>
      <c r="P16" s="33">
        <v>2.5</v>
      </c>
      <c r="Q16" s="33">
        <v>2.5</v>
      </c>
      <c r="R16" s="33">
        <v>2.5</v>
      </c>
      <c r="S16" s="33">
        <f>AVERAGE(2.5,-2)</f>
      </c>
      <c r="T16" s="33">
        <v>-0.5</v>
      </c>
      <c r="U16" s="33">
        <v>2.5</v>
      </c>
      <c r="V16" s="33">
        <v>2.5</v>
      </c>
      <c r="W16" s="33">
        <v>2.5</v>
      </c>
      <c r="X16" s="33">
        <v>2.5</v>
      </c>
      <c r="Y16" s="33">
        <v>2.5</v>
      </c>
      <c r="Z16" s="33">
        <v>2.5</v>
      </c>
      <c r="AA16" s="33">
        <v>2.5</v>
      </c>
      <c r="AB16" s="33">
        <v>2.5</v>
      </c>
      <c r="AC16" s="33">
        <v>-0.5</v>
      </c>
      <c r="AD16" s="33">
        <v>2.5</v>
      </c>
      <c r="AE16" s="33">
        <f>AVERAGE(-2,0)</f>
      </c>
      <c r="AF16" s="33">
        <v>2.5</v>
      </c>
      <c r="AG16" s="33">
        <v>2.5</v>
      </c>
      <c r="AH16" s="33">
        <v>2.5</v>
      </c>
      <c r="AI16" s="3"/>
      <c r="AJ16" s="31">
        <v>2.75</v>
      </c>
      <c r="AK16" s="3"/>
      <c r="AL16" s="31">
        <v>2.5</v>
      </c>
      <c r="AM16" s="31">
        <v>2.5</v>
      </c>
      <c r="AN16" s="31">
        <v>2.5</v>
      </c>
      <c r="AO16" s="31">
        <v>2.5</v>
      </c>
      <c r="AP16" s="31">
        <v>2.5</v>
      </c>
      <c r="AQ16" s="31">
        <v>2.5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274</v>
      </c>
      <c r="F17" s="143" t="s">
        <v>358</v>
      </c>
      <c r="G17" s="143" t="s">
        <v>358</v>
      </c>
      <c r="H17" s="143" t="s">
        <v>358</v>
      </c>
      <c r="I17" s="143" t="s">
        <v>358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1" t="s">
        <v>169</v>
      </c>
      <c r="S17" s="31" t="s">
        <v>169</v>
      </c>
      <c r="T17" s="31" t="s">
        <v>169</v>
      </c>
      <c r="U17" s="31" t="s">
        <v>169</v>
      </c>
      <c r="V17" s="31" t="s">
        <v>169</v>
      </c>
      <c r="W17" s="31" t="s">
        <v>169</v>
      </c>
      <c r="X17" s="31" t="s">
        <v>169</v>
      </c>
      <c r="Y17" s="31" t="s">
        <v>169</v>
      </c>
      <c r="Z17" s="31" t="s">
        <v>169</v>
      </c>
      <c r="AA17" s="31" t="s">
        <v>169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1" t="s">
        <v>169</v>
      </c>
      <c r="AG17" s="31" t="s">
        <v>169</v>
      </c>
      <c r="AH17" s="31" t="s">
        <v>169</v>
      </c>
      <c r="AI17" s="3"/>
      <c r="AJ17" s="31" t="s">
        <v>169</v>
      </c>
      <c r="AK17" s="3"/>
      <c r="AL17" s="31" t="s">
        <v>169</v>
      </c>
      <c r="AM17" s="31" t="s">
        <v>169</v>
      </c>
      <c r="AN17" s="31" t="s">
        <v>169</v>
      </c>
      <c r="AO17" s="31" t="s">
        <v>169</v>
      </c>
      <c r="AP17" s="31" t="s">
        <v>169</v>
      </c>
      <c r="AQ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3</v>
      </c>
      <c r="F18" s="143">
        <v>0</v>
      </c>
      <c r="G18" s="143">
        <v>0</v>
      </c>
      <c r="H18" s="143">
        <v>0</v>
      </c>
      <c r="I18" s="143">
        <v>0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>
        <v>2</v>
      </c>
      <c r="S18" s="31">
        <v>2</v>
      </c>
      <c r="T18" s="31">
        <v>2</v>
      </c>
      <c r="U18" s="31">
        <v>2</v>
      </c>
      <c r="V18" s="31">
        <v>2</v>
      </c>
      <c r="W18" s="31">
        <v>2</v>
      </c>
      <c r="X18" s="31">
        <v>2</v>
      </c>
      <c r="Y18" s="31">
        <v>2</v>
      </c>
      <c r="Z18" s="31">
        <v>2</v>
      </c>
      <c r="AA18" s="31">
        <v>2</v>
      </c>
      <c r="AB18" s="31">
        <v>2</v>
      </c>
      <c r="AC18" s="31">
        <v>2</v>
      </c>
      <c r="AD18" s="31">
        <v>2</v>
      </c>
      <c r="AE18" s="31">
        <v>2</v>
      </c>
      <c r="AF18" s="31">
        <v>2</v>
      </c>
      <c r="AG18" s="31">
        <v>2</v>
      </c>
      <c r="AH18" s="31">
        <v>2</v>
      </c>
      <c r="AI18" s="3"/>
      <c r="AJ18" s="31">
        <v>2</v>
      </c>
      <c r="AK18" s="3"/>
      <c r="AL18" s="31">
        <v>2</v>
      </c>
      <c r="AM18" s="31">
        <v>2</v>
      </c>
      <c r="AN18" s="31">
        <v>2</v>
      </c>
      <c r="AO18" s="31">
        <v>2</v>
      </c>
      <c r="AP18" s="31">
        <v>2</v>
      </c>
      <c r="AQ18" s="31">
        <v>2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3"/>
      <c r="AL19" s="2"/>
      <c r="AM19" s="2"/>
      <c r="AN19" s="2"/>
      <c r="AO19" s="2"/>
      <c r="AP19" s="2"/>
      <c r="AQ19" s="2"/>
    </row>
    <row x14ac:dyDescent="0.25" r="20" customHeight="1" ht="18.75">
      <c r="A20" s="30" t="s">
        <v>43</v>
      </c>
      <c r="B20" s="139" t="s">
        <v>198</v>
      </c>
      <c r="C20" s="143" t="s">
        <v>358</v>
      </c>
      <c r="D20" s="143" t="s">
        <v>358</v>
      </c>
      <c r="E20" s="143" t="s">
        <v>358</v>
      </c>
      <c r="F20" s="31" t="s">
        <v>1087</v>
      </c>
      <c r="G20" s="31" t="s">
        <v>150</v>
      </c>
      <c r="H20" s="31" t="s">
        <v>150</v>
      </c>
      <c r="I20" s="31" t="s">
        <v>150</v>
      </c>
      <c r="J20" s="31" t="s">
        <v>1088</v>
      </c>
      <c r="K20" s="31" t="s">
        <v>149</v>
      </c>
      <c r="L20" s="31" t="s">
        <v>149</v>
      </c>
      <c r="M20" s="31" t="s">
        <v>149</v>
      </c>
      <c r="N20" s="31" t="s">
        <v>149</v>
      </c>
      <c r="O20" s="31" t="s">
        <v>149</v>
      </c>
      <c r="P20" s="31" t="s">
        <v>149</v>
      </c>
      <c r="Q20" s="31" t="s">
        <v>149</v>
      </c>
      <c r="R20" s="31" t="s">
        <v>149</v>
      </c>
      <c r="S20" s="31" t="s">
        <v>1089</v>
      </c>
      <c r="T20" s="143" t="s">
        <v>358</v>
      </c>
      <c r="U20" s="31" t="s">
        <v>68</v>
      </c>
      <c r="V20" s="31" t="s">
        <v>149</v>
      </c>
      <c r="W20" s="31" t="s">
        <v>149</v>
      </c>
      <c r="X20" s="31" t="s">
        <v>180</v>
      </c>
      <c r="Y20" s="31" t="s">
        <v>180</v>
      </c>
      <c r="Z20" s="31" t="s">
        <v>68</v>
      </c>
      <c r="AA20" s="31" t="s">
        <v>68</v>
      </c>
      <c r="AB20" s="31" t="s">
        <v>68</v>
      </c>
      <c r="AC20" s="143" t="s">
        <v>358</v>
      </c>
      <c r="AD20" s="31" t="s">
        <v>68</v>
      </c>
      <c r="AE20" s="143" t="s">
        <v>358</v>
      </c>
      <c r="AF20" s="31" t="s">
        <v>68</v>
      </c>
      <c r="AG20" s="31" t="s">
        <v>149</v>
      </c>
      <c r="AH20" s="31" t="s">
        <v>149</v>
      </c>
      <c r="AI20" s="3"/>
      <c r="AJ20" s="31" t="s">
        <v>198</v>
      </c>
      <c r="AK20" s="3"/>
      <c r="AL20" s="31" t="s">
        <v>180</v>
      </c>
      <c r="AM20" s="31" t="s">
        <v>180</v>
      </c>
      <c r="AN20" s="31" t="s">
        <v>180</v>
      </c>
      <c r="AO20" s="139" t="s">
        <v>149</v>
      </c>
      <c r="AP20" s="31" t="s">
        <v>149</v>
      </c>
      <c r="AQ20" s="31" t="s">
        <v>149</v>
      </c>
    </row>
    <row x14ac:dyDescent="0.25" r="21" customHeight="1" ht="15.75">
      <c r="A21" s="30" t="s">
        <v>45</v>
      </c>
      <c r="B21" s="31" t="s">
        <v>156</v>
      </c>
      <c r="C21" s="146" t="s">
        <v>358</v>
      </c>
      <c r="D21" s="146" t="s">
        <v>358</v>
      </c>
      <c r="E21" s="146" t="s">
        <v>358</v>
      </c>
      <c r="F21" s="31" t="s">
        <v>1090</v>
      </c>
      <c r="G21" s="31" t="s">
        <v>732</v>
      </c>
      <c r="H21" s="31" t="s">
        <v>1091</v>
      </c>
      <c r="I21" s="31" t="s">
        <v>1091</v>
      </c>
      <c r="J21" s="31" t="s">
        <v>1092</v>
      </c>
      <c r="K21" s="33" t="s">
        <v>149</v>
      </c>
      <c r="L21" s="31" t="s">
        <v>749</v>
      </c>
      <c r="M21" s="31" t="s">
        <v>750</v>
      </c>
      <c r="N21" s="33" t="s">
        <v>149</v>
      </c>
      <c r="O21" s="33" t="s">
        <v>149</v>
      </c>
      <c r="P21" s="33" t="s">
        <v>149</v>
      </c>
      <c r="Q21" s="33" t="s">
        <v>149</v>
      </c>
      <c r="R21" s="33" t="s">
        <v>149</v>
      </c>
      <c r="S21" s="33" t="s">
        <v>1093</v>
      </c>
      <c r="T21" s="146" t="s">
        <v>358</v>
      </c>
      <c r="U21" s="31" t="s">
        <v>132</v>
      </c>
      <c r="V21" s="33" t="s">
        <v>149</v>
      </c>
      <c r="W21" s="33" t="s">
        <v>149</v>
      </c>
      <c r="X21" s="31" t="s">
        <v>374</v>
      </c>
      <c r="Y21" s="31" t="s">
        <v>374</v>
      </c>
      <c r="Z21" s="31" t="s">
        <v>132</v>
      </c>
      <c r="AA21" s="31" t="s">
        <v>132</v>
      </c>
      <c r="AB21" s="31" t="s">
        <v>132</v>
      </c>
      <c r="AC21" s="146" t="s">
        <v>358</v>
      </c>
      <c r="AD21" s="31" t="s">
        <v>132</v>
      </c>
      <c r="AE21" s="146" t="s">
        <v>358</v>
      </c>
      <c r="AF21" s="31" t="s">
        <v>132</v>
      </c>
      <c r="AG21" s="33" t="s">
        <v>149</v>
      </c>
      <c r="AH21" s="33" t="s">
        <v>149</v>
      </c>
      <c r="AI21" s="3"/>
      <c r="AJ21" s="31" t="s">
        <v>361</v>
      </c>
      <c r="AK21" s="3"/>
      <c r="AL21" s="33" t="s">
        <v>374</v>
      </c>
      <c r="AM21" s="33" t="s">
        <v>374</v>
      </c>
      <c r="AN21" s="33" t="s">
        <v>374</v>
      </c>
      <c r="AO21" s="33" t="s">
        <v>149</v>
      </c>
      <c r="AP21" s="33" t="s">
        <v>149</v>
      </c>
      <c r="AQ21" s="33" t="s">
        <v>149</v>
      </c>
    </row>
    <row x14ac:dyDescent="0.25" r="22" customHeight="1" ht="18.75">
      <c r="A22" s="35" t="s">
        <v>47</v>
      </c>
      <c r="B22" s="117">
        <v>87</v>
      </c>
      <c r="C22" s="144"/>
      <c r="D22" s="144"/>
      <c r="E22" s="144"/>
      <c r="F22" s="117">
        <v>129</v>
      </c>
      <c r="G22" s="117">
        <v>90</v>
      </c>
      <c r="H22" s="117">
        <v>39</v>
      </c>
      <c r="I22" s="117">
        <v>39</v>
      </c>
      <c r="J22" s="117">
        <v>130</v>
      </c>
      <c r="K22" s="117">
        <v>85</v>
      </c>
      <c r="L22" s="117">
        <v>89</v>
      </c>
      <c r="M22" s="117">
        <v>140</v>
      </c>
      <c r="N22" s="117">
        <v>85</v>
      </c>
      <c r="O22" s="117">
        <v>85</v>
      </c>
      <c r="P22" s="117">
        <v>85</v>
      </c>
      <c r="Q22" s="117">
        <v>85</v>
      </c>
      <c r="R22" s="117">
        <v>85</v>
      </c>
      <c r="S22" s="117">
        <v>133</v>
      </c>
      <c r="T22" s="144"/>
      <c r="U22" s="117">
        <v>98</v>
      </c>
      <c r="V22" s="117">
        <v>85</v>
      </c>
      <c r="W22" s="117">
        <v>85</v>
      </c>
      <c r="X22" s="117">
        <v>83</v>
      </c>
      <c r="Y22" s="117">
        <v>83</v>
      </c>
      <c r="Z22" s="117">
        <v>98</v>
      </c>
      <c r="AA22" s="117">
        <v>98</v>
      </c>
      <c r="AB22" s="117">
        <v>98</v>
      </c>
      <c r="AC22" s="144"/>
      <c r="AD22" s="117">
        <v>98</v>
      </c>
      <c r="AE22" s="144"/>
      <c r="AF22" s="117">
        <v>98</v>
      </c>
      <c r="AG22" s="117">
        <v>85</v>
      </c>
      <c r="AH22" s="117">
        <v>85</v>
      </c>
      <c r="AI22" s="3"/>
      <c r="AJ22" s="117">
        <v>139</v>
      </c>
      <c r="AK22" s="3"/>
      <c r="AL22" s="117">
        <v>83</v>
      </c>
      <c r="AM22" s="117">
        <v>83</v>
      </c>
      <c r="AN22" s="117">
        <v>83</v>
      </c>
      <c r="AO22" s="117">
        <v>85</v>
      </c>
      <c r="AP22" s="117">
        <v>85</v>
      </c>
      <c r="AQ22" s="117">
        <v>85</v>
      </c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143" t="s">
        <v>49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1" t="s">
        <v>52</v>
      </c>
      <c r="Q23" s="31" t="s">
        <v>52</v>
      </c>
      <c r="R23" s="31" t="s">
        <v>52</v>
      </c>
      <c r="S23" s="31" t="s">
        <v>52</v>
      </c>
      <c r="T23" s="143" t="s">
        <v>49</v>
      </c>
      <c r="U23" s="31" t="s">
        <v>52</v>
      </c>
      <c r="V23" s="31" t="s">
        <v>52</v>
      </c>
      <c r="W23" s="31" t="s">
        <v>52</v>
      </c>
      <c r="X23" s="31" t="s">
        <v>52</v>
      </c>
      <c r="Y23" s="31" t="s">
        <v>52</v>
      </c>
      <c r="Z23" s="31" t="s">
        <v>52</v>
      </c>
      <c r="AA23" s="31" t="s">
        <v>52</v>
      </c>
      <c r="AB23" s="31" t="s">
        <v>52</v>
      </c>
      <c r="AC23" s="143" t="s">
        <v>49</v>
      </c>
      <c r="AD23" s="31" t="s">
        <v>52</v>
      </c>
      <c r="AE23" s="143" t="s">
        <v>49</v>
      </c>
      <c r="AF23" s="31" t="s">
        <v>52</v>
      </c>
      <c r="AG23" s="31" t="s">
        <v>52</v>
      </c>
      <c r="AH23" s="31" t="s">
        <v>52</v>
      </c>
      <c r="AI23" s="3"/>
      <c r="AJ23" s="31" t="s">
        <v>52</v>
      </c>
      <c r="AK23" s="3"/>
      <c r="AL23" s="31" t="s">
        <v>52</v>
      </c>
      <c r="AM23" s="31" t="s">
        <v>52</v>
      </c>
      <c r="AN23" s="31" t="s">
        <v>52</v>
      </c>
      <c r="AO23" s="31" t="s">
        <v>52</v>
      </c>
      <c r="AP23" s="31" t="s">
        <v>52</v>
      </c>
      <c r="AQ23" s="31" t="s">
        <v>52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143" t="s">
        <v>49</v>
      </c>
      <c r="F24" s="31" t="s">
        <v>1025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142" t="s">
        <v>52</v>
      </c>
      <c r="S24" s="142" t="s">
        <v>52</v>
      </c>
      <c r="T24" s="143" t="s">
        <v>49</v>
      </c>
      <c r="U24" s="31" t="s">
        <v>52</v>
      </c>
      <c r="V24" s="142" t="s">
        <v>52</v>
      </c>
      <c r="W24" s="142" t="s">
        <v>52</v>
      </c>
      <c r="X24" s="31" t="s">
        <v>52</v>
      </c>
      <c r="Y24" s="31" t="s">
        <v>52</v>
      </c>
      <c r="Z24" s="31" t="s">
        <v>52</v>
      </c>
      <c r="AA24" s="31" t="s">
        <v>52</v>
      </c>
      <c r="AB24" s="31" t="s">
        <v>52</v>
      </c>
      <c r="AC24" s="143" t="s">
        <v>49</v>
      </c>
      <c r="AD24" s="31" t="s">
        <v>52</v>
      </c>
      <c r="AE24" s="143" t="s">
        <v>49</v>
      </c>
      <c r="AF24" s="31" t="s">
        <v>52</v>
      </c>
      <c r="AG24" s="31" t="s">
        <v>52</v>
      </c>
      <c r="AH24" s="31" t="s">
        <v>52</v>
      </c>
      <c r="AI24" s="3"/>
      <c r="AJ24" s="31" t="s">
        <v>52</v>
      </c>
      <c r="AK24" s="3"/>
      <c r="AL24" s="31" t="s">
        <v>52</v>
      </c>
      <c r="AM24" s="31" t="s">
        <v>52</v>
      </c>
      <c r="AN24" s="31" t="s">
        <v>52</v>
      </c>
      <c r="AO24" s="31" t="s">
        <v>52</v>
      </c>
      <c r="AP24" s="31" t="s">
        <v>52</v>
      </c>
      <c r="AQ24" s="31" t="s">
        <v>52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143" t="s">
        <v>49</v>
      </c>
      <c r="F25" s="31" t="s">
        <v>1094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139" t="s">
        <v>49</v>
      </c>
      <c r="R25" s="31" t="s">
        <v>49</v>
      </c>
      <c r="S25" s="31" t="s">
        <v>49</v>
      </c>
      <c r="T25" s="143" t="s">
        <v>49</v>
      </c>
      <c r="U25" s="31" t="s">
        <v>49</v>
      </c>
      <c r="V25" s="31" t="s">
        <v>49</v>
      </c>
      <c r="W25" s="31" t="s">
        <v>49</v>
      </c>
      <c r="X25" s="31" t="s">
        <v>49</v>
      </c>
      <c r="Y25" s="31" t="s">
        <v>49</v>
      </c>
      <c r="Z25" s="31" t="s">
        <v>49</v>
      </c>
      <c r="AA25" s="31" t="s">
        <v>49</v>
      </c>
      <c r="AB25" s="31" t="s">
        <v>49</v>
      </c>
      <c r="AC25" s="143" t="s">
        <v>49</v>
      </c>
      <c r="AD25" s="31" t="s">
        <v>49</v>
      </c>
      <c r="AE25" s="143" t="s">
        <v>49</v>
      </c>
      <c r="AF25" s="31" t="s">
        <v>49</v>
      </c>
      <c r="AG25" s="31" t="s">
        <v>49</v>
      </c>
      <c r="AH25" s="31" t="s">
        <v>49</v>
      </c>
      <c r="AI25" s="3"/>
      <c r="AJ25" s="31" t="s">
        <v>49</v>
      </c>
      <c r="AK25" s="3"/>
      <c r="AL25" s="31" t="s">
        <v>49</v>
      </c>
      <c r="AM25" s="31" t="s">
        <v>49</v>
      </c>
      <c r="AN25" s="31" t="s">
        <v>49</v>
      </c>
      <c r="AO25" s="31" t="s">
        <v>49</v>
      </c>
      <c r="AP25" s="31" t="s">
        <v>49</v>
      </c>
      <c r="AQ25" s="31" t="s">
        <v>49</v>
      </c>
    </row>
    <row x14ac:dyDescent="0.25" r="26" customHeight="1" ht="18.75">
      <c r="A26" s="30" t="s">
        <v>126</v>
      </c>
      <c r="B26" s="31" t="s">
        <v>52</v>
      </c>
      <c r="C26" s="143" t="s">
        <v>49</v>
      </c>
      <c r="D26" s="143" t="s">
        <v>49</v>
      </c>
      <c r="E26" s="143" t="s">
        <v>49</v>
      </c>
      <c r="F26" s="31" t="s">
        <v>1025</v>
      </c>
      <c r="G26" s="31" t="s">
        <v>52</v>
      </c>
      <c r="H26" s="31" t="s">
        <v>49</v>
      </c>
      <c r="I26" s="31" t="s">
        <v>49</v>
      </c>
      <c r="J26" s="31" t="s">
        <v>52</v>
      </c>
      <c r="K26" s="31" t="s">
        <v>52</v>
      </c>
      <c r="L26" s="31" t="s">
        <v>52</v>
      </c>
      <c r="M26" s="31" t="s">
        <v>52</v>
      </c>
      <c r="N26" s="31" t="s">
        <v>52</v>
      </c>
      <c r="O26" s="31" t="s">
        <v>52</v>
      </c>
      <c r="P26" s="31" t="s">
        <v>52</v>
      </c>
      <c r="Q26" s="139" t="s">
        <v>52</v>
      </c>
      <c r="R26" s="31" t="s">
        <v>52</v>
      </c>
      <c r="S26" s="31" t="s">
        <v>1025</v>
      </c>
      <c r="T26" s="143" t="s">
        <v>49</v>
      </c>
      <c r="U26" s="31" t="s">
        <v>49</v>
      </c>
      <c r="V26" s="31" t="s">
        <v>52</v>
      </c>
      <c r="W26" s="31" t="s">
        <v>52</v>
      </c>
      <c r="X26" s="31" t="s">
        <v>49</v>
      </c>
      <c r="Y26" s="31" t="s">
        <v>49</v>
      </c>
      <c r="Z26" s="31" t="s">
        <v>49</v>
      </c>
      <c r="AA26" s="31" t="s">
        <v>49</v>
      </c>
      <c r="AB26" s="31" t="s">
        <v>49</v>
      </c>
      <c r="AC26" s="143" t="s">
        <v>49</v>
      </c>
      <c r="AD26" s="31" t="s">
        <v>49</v>
      </c>
      <c r="AE26" s="143" t="s">
        <v>49</v>
      </c>
      <c r="AF26" s="31" t="s">
        <v>49</v>
      </c>
      <c r="AG26" s="31" t="s">
        <v>52</v>
      </c>
      <c r="AH26" s="31" t="s">
        <v>52</v>
      </c>
      <c r="AI26" s="3"/>
      <c r="AJ26" s="31" t="s">
        <v>52</v>
      </c>
      <c r="AK26" s="3"/>
      <c r="AL26" s="31" t="s">
        <v>49</v>
      </c>
      <c r="AM26" s="31" t="s">
        <v>49</v>
      </c>
      <c r="AN26" s="31" t="s">
        <v>49</v>
      </c>
      <c r="AO26" s="31" t="s">
        <v>52</v>
      </c>
      <c r="AP26" s="31" t="s">
        <v>52</v>
      </c>
      <c r="AQ26" s="31" t="s">
        <v>52</v>
      </c>
    </row>
    <row x14ac:dyDescent="0.25" r="27" customHeight="1" ht="18.75">
      <c r="A27" s="30" t="s">
        <v>127</v>
      </c>
      <c r="B27" s="31" t="s">
        <v>164</v>
      </c>
      <c r="C27" s="143" t="s">
        <v>133</v>
      </c>
      <c r="D27" s="143" t="s">
        <v>133</v>
      </c>
      <c r="E27" s="143" t="s">
        <v>133</v>
      </c>
      <c r="F27" s="31" t="s">
        <v>133</v>
      </c>
      <c r="G27" s="31" t="s">
        <v>133</v>
      </c>
      <c r="H27" s="31" t="s">
        <v>133</v>
      </c>
      <c r="I27" s="31" t="s">
        <v>133</v>
      </c>
      <c r="J27" s="33" t="s">
        <v>648</v>
      </c>
      <c r="K27" s="31" t="s">
        <v>143</v>
      </c>
      <c r="L27" s="31" t="s">
        <v>164</v>
      </c>
      <c r="M27" s="31" t="s">
        <v>234</v>
      </c>
      <c r="N27" s="31" t="s">
        <v>143</v>
      </c>
      <c r="O27" s="31" t="s">
        <v>143</v>
      </c>
      <c r="P27" s="31" t="s">
        <v>143</v>
      </c>
      <c r="Q27" s="139" t="s">
        <v>143</v>
      </c>
      <c r="R27" s="31" t="s">
        <v>143</v>
      </c>
      <c r="S27" s="33" t="s">
        <v>648</v>
      </c>
      <c r="T27" s="143" t="s">
        <v>133</v>
      </c>
      <c r="U27" s="31" t="s">
        <v>133</v>
      </c>
      <c r="V27" s="31" t="s">
        <v>143</v>
      </c>
      <c r="W27" s="31" t="s">
        <v>143</v>
      </c>
      <c r="X27" s="31" t="s">
        <v>143</v>
      </c>
      <c r="Y27" s="31" t="s">
        <v>143</v>
      </c>
      <c r="Z27" s="31" t="s">
        <v>133</v>
      </c>
      <c r="AA27" s="31" t="s">
        <v>133</v>
      </c>
      <c r="AB27" s="31" t="s">
        <v>133</v>
      </c>
      <c r="AC27" s="143" t="s">
        <v>133</v>
      </c>
      <c r="AD27" s="31" t="s">
        <v>133</v>
      </c>
      <c r="AE27" s="143" t="s">
        <v>133</v>
      </c>
      <c r="AF27" s="31" t="s">
        <v>133</v>
      </c>
      <c r="AG27" s="31" t="s">
        <v>143</v>
      </c>
      <c r="AH27" s="31" t="s">
        <v>143</v>
      </c>
      <c r="AI27" s="3"/>
      <c r="AJ27" s="31" t="s">
        <v>133</v>
      </c>
      <c r="AK27" s="3"/>
      <c r="AL27" s="31" t="s">
        <v>143</v>
      </c>
      <c r="AM27" s="31" t="s">
        <v>143</v>
      </c>
      <c r="AN27" s="31" t="s">
        <v>143</v>
      </c>
      <c r="AO27" s="31" t="s">
        <v>143</v>
      </c>
      <c r="AP27" s="31" t="s">
        <v>143</v>
      </c>
      <c r="AQ27" s="31" t="s">
        <v>143</v>
      </c>
    </row>
    <row x14ac:dyDescent="0.25" r="28" customHeight="1" ht="18.75">
      <c r="A28" s="30" t="s">
        <v>128</v>
      </c>
      <c r="B28" s="31">
        <f>-7/6</f>
      </c>
      <c r="C28" s="143">
        <v>-2</v>
      </c>
      <c r="D28" s="143">
        <v>-2</v>
      </c>
      <c r="E28" s="143">
        <v>-2</v>
      </c>
      <c r="F28" s="33">
        <f>AVERAGE(0,0,-1.25)</f>
      </c>
      <c r="G28" s="31">
        <v>-2</v>
      </c>
      <c r="H28" s="31">
        <v>-2</v>
      </c>
      <c r="I28" s="31">
        <v>-2</v>
      </c>
      <c r="J28" s="31">
        <f>AVERAGE(0.75,0.75,0.75,0)</f>
      </c>
      <c r="K28" s="31">
        <v>0.75</v>
      </c>
      <c r="L28" s="31">
        <v>-1.625</v>
      </c>
      <c r="M28" s="31">
        <v>-3</v>
      </c>
      <c r="N28" s="31">
        <v>0.75</v>
      </c>
      <c r="O28" s="31">
        <v>0.75</v>
      </c>
      <c r="P28" s="31">
        <v>0.75</v>
      </c>
      <c r="Q28" s="31">
        <v>0.75</v>
      </c>
      <c r="R28" s="33">
        <v>0.75</v>
      </c>
      <c r="S28" s="31">
        <f>AVERAGE(0.75,0.75,(AVERAGE(0,-2)))</f>
      </c>
      <c r="T28" s="143">
        <v>-2</v>
      </c>
      <c r="U28" s="31">
        <v>-2</v>
      </c>
      <c r="V28" s="33">
        <v>0.75</v>
      </c>
      <c r="W28" s="33">
        <v>0.75</v>
      </c>
      <c r="X28" s="31">
        <v>0.75</v>
      </c>
      <c r="Y28" s="31">
        <v>0.75</v>
      </c>
      <c r="Z28" s="31">
        <v>-2</v>
      </c>
      <c r="AA28" s="31">
        <v>-2</v>
      </c>
      <c r="AB28" s="31">
        <v>-2</v>
      </c>
      <c r="AC28" s="143">
        <v>-2</v>
      </c>
      <c r="AD28" s="31">
        <v>-2</v>
      </c>
      <c r="AE28" s="143">
        <v>-2</v>
      </c>
      <c r="AF28" s="31">
        <v>-2</v>
      </c>
      <c r="AG28" s="31">
        <v>0.75</v>
      </c>
      <c r="AH28" s="31">
        <v>0.75</v>
      </c>
      <c r="AI28" s="3"/>
      <c r="AJ28" s="31">
        <f>-1/6</f>
      </c>
      <c r="AK28" s="3"/>
      <c r="AL28" s="31">
        <v>0.75</v>
      </c>
      <c r="AM28" s="31">
        <v>0.75</v>
      </c>
      <c r="AN28" s="31">
        <v>0.75</v>
      </c>
      <c r="AO28" s="31">
        <v>0.75</v>
      </c>
      <c r="AP28" s="31">
        <v>0.75</v>
      </c>
      <c r="AQ28" s="31">
        <v>0.75</v>
      </c>
    </row>
    <row x14ac:dyDescent="0.25" r="29" customHeight="1" ht="18.75">
      <c r="A29" s="30" t="s">
        <v>129</v>
      </c>
      <c r="B29" s="31" t="s">
        <v>167</v>
      </c>
      <c r="C29" s="143" t="s">
        <v>358</v>
      </c>
      <c r="D29" s="143" t="s">
        <v>358</v>
      </c>
      <c r="E29" s="143" t="s">
        <v>358</v>
      </c>
      <c r="F29" s="150" t="s">
        <v>1095</v>
      </c>
      <c r="G29" s="31" t="s">
        <v>198</v>
      </c>
      <c r="H29" s="31" t="s">
        <v>274</v>
      </c>
      <c r="I29" s="31" t="s">
        <v>274</v>
      </c>
      <c r="J29" s="31" t="s">
        <v>167</v>
      </c>
      <c r="K29" s="31" t="s">
        <v>167</v>
      </c>
      <c r="L29" s="31" t="s">
        <v>167</v>
      </c>
      <c r="M29" s="31" t="s">
        <v>167</v>
      </c>
      <c r="N29" s="31" t="s">
        <v>167</v>
      </c>
      <c r="O29" s="31" t="s">
        <v>167</v>
      </c>
      <c r="P29" s="31" t="s">
        <v>167</v>
      </c>
      <c r="Q29" s="31" t="s">
        <v>167</v>
      </c>
      <c r="R29" s="31" t="s">
        <v>167</v>
      </c>
      <c r="S29" s="31" t="s">
        <v>1096</v>
      </c>
      <c r="T29" s="143" t="s">
        <v>358</v>
      </c>
      <c r="U29" s="31" t="s">
        <v>134</v>
      </c>
      <c r="V29" s="31" t="s">
        <v>167</v>
      </c>
      <c r="W29" s="31" t="s">
        <v>167</v>
      </c>
      <c r="X29" s="31" t="s">
        <v>198</v>
      </c>
      <c r="Y29" s="31" t="s">
        <v>198</v>
      </c>
      <c r="Z29" s="31" t="s">
        <v>134</v>
      </c>
      <c r="AA29" s="31" t="s">
        <v>134</v>
      </c>
      <c r="AB29" s="31" t="s">
        <v>134</v>
      </c>
      <c r="AC29" s="143" t="s">
        <v>358</v>
      </c>
      <c r="AD29" s="31" t="s">
        <v>134</v>
      </c>
      <c r="AE29" s="143" t="s">
        <v>358</v>
      </c>
      <c r="AF29" s="31" t="s">
        <v>134</v>
      </c>
      <c r="AG29" s="31" t="s">
        <v>167</v>
      </c>
      <c r="AH29" s="31" t="s">
        <v>167</v>
      </c>
      <c r="AI29" s="3"/>
      <c r="AJ29" s="31" t="s">
        <v>167</v>
      </c>
      <c r="AK29" s="3"/>
      <c r="AL29" s="31" t="s">
        <v>198</v>
      </c>
      <c r="AM29" s="31" t="s">
        <v>198</v>
      </c>
      <c r="AN29" s="31" t="s">
        <v>198</v>
      </c>
      <c r="AO29" s="31" t="s">
        <v>167</v>
      </c>
      <c r="AP29" s="31" t="s">
        <v>167</v>
      </c>
      <c r="AQ29" s="31" t="s">
        <v>167</v>
      </c>
    </row>
    <row x14ac:dyDescent="0.25" r="30" customHeight="1" ht="18.75">
      <c r="A30" s="30" t="s">
        <v>130</v>
      </c>
      <c r="B30" s="31">
        <v>0.75</v>
      </c>
      <c r="C30" s="143">
        <v>0</v>
      </c>
      <c r="D30" s="143">
        <v>0</v>
      </c>
      <c r="E30" s="143">
        <v>0</v>
      </c>
      <c r="F30" s="31">
        <f>AVERAGE(0.75,0.75,3)</f>
      </c>
      <c r="G30" s="31">
        <v>0.75</v>
      </c>
      <c r="H30" s="31">
        <v>3</v>
      </c>
      <c r="I30" s="31">
        <v>3</v>
      </c>
      <c r="J30" s="31">
        <v>0.75</v>
      </c>
      <c r="K30" s="31">
        <v>0.75</v>
      </c>
      <c r="L30" s="31">
        <v>0.75</v>
      </c>
      <c r="M30" s="31">
        <v>0.75</v>
      </c>
      <c r="N30" s="31">
        <v>0.75</v>
      </c>
      <c r="O30" s="31">
        <v>0.75</v>
      </c>
      <c r="P30" s="31">
        <v>0.75</v>
      </c>
      <c r="Q30" s="31">
        <v>0.75</v>
      </c>
      <c r="R30" s="31">
        <v>0.75</v>
      </c>
      <c r="S30" s="31">
        <f>2/3</f>
      </c>
      <c r="T30" s="143">
        <v>0</v>
      </c>
      <c r="U30" s="31">
        <f>1/3</f>
      </c>
      <c r="V30" s="31">
        <v>0.75</v>
      </c>
      <c r="W30" s="31">
        <v>0.75</v>
      </c>
      <c r="X30" s="31">
        <v>1</v>
      </c>
      <c r="Y30" s="31">
        <v>1</v>
      </c>
      <c r="Z30" s="31">
        <f>1/3</f>
      </c>
      <c r="AA30" s="31">
        <f>1/3</f>
      </c>
      <c r="AB30" s="31">
        <f>1/3</f>
      </c>
      <c r="AC30" s="143">
        <v>0</v>
      </c>
      <c r="AD30" s="31">
        <f>1/3</f>
      </c>
      <c r="AE30" s="143">
        <v>0</v>
      </c>
      <c r="AF30" s="31">
        <f>1/3</f>
      </c>
      <c r="AG30" s="31">
        <v>0.75</v>
      </c>
      <c r="AH30" s="31">
        <v>0.75</v>
      </c>
      <c r="AI30" s="3"/>
      <c r="AJ30" s="31">
        <v>0.75</v>
      </c>
      <c r="AK30" s="3"/>
      <c r="AL30" s="31">
        <v>1</v>
      </c>
      <c r="AM30" s="31">
        <v>1</v>
      </c>
      <c r="AN30" s="31">
        <v>1</v>
      </c>
      <c r="AO30" s="31">
        <v>0.75</v>
      </c>
      <c r="AP30" s="31">
        <v>0.75</v>
      </c>
      <c r="AQ30" s="31">
        <v>0.75</v>
      </c>
    </row>
    <row x14ac:dyDescent="0.25" r="31" customHeight="1" ht="15.75">
      <c r="A31" s="46"/>
      <c r="B31" s="121" t="s">
        <v>1097</v>
      </c>
      <c r="C31" s="121"/>
      <c r="D31" s="121"/>
      <c r="E31" s="2"/>
      <c r="F31" s="2"/>
      <c r="G31" s="138" t="s">
        <v>1097</v>
      </c>
      <c r="H31" s="138"/>
      <c r="I31" s="13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138" t="s">
        <v>1098</v>
      </c>
      <c r="AK31" s="3"/>
      <c r="AL31" s="121" t="s">
        <v>1099</v>
      </c>
      <c r="AM31" s="121"/>
      <c r="AN31" s="2"/>
      <c r="AO31" s="121"/>
      <c r="AP31" s="121"/>
      <c r="AQ31" s="121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3"/>
      <c r="AL32" s="2"/>
      <c r="AM32" s="2"/>
      <c r="AN32" s="2"/>
      <c r="AO32" s="2"/>
      <c r="AP32" s="2"/>
      <c r="AQ32" s="2"/>
    </row>
    <row x14ac:dyDescent="0.25" r="33" customHeight="1" ht="18.75">
      <c r="A33" s="209" t="s">
        <v>1100</v>
      </c>
      <c r="B33" s="40" t="s">
        <v>1101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3"/>
      <c r="AL33" s="2"/>
      <c r="AM33" s="2"/>
      <c r="AN33" s="2"/>
      <c r="AO33" s="2"/>
      <c r="AP33" s="2"/>
      <c r="AQ33" s="2"/>
    </row>
    <row x14ac:dyDescent="0.25" r="34" customHeight="1" ht="18.75">
      <c r="A34" s="30"/>
      <c r="B34" s="40" t="s">
        <v>1102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3"/>
      <c r="AL34" s="2"/>
      <c r="AM34" s="2"/>
      <c r="AN34" s="2"/>
      <c r="AO34" s="2"/>
      <c r="AP34" s="2"/>
      <c r="AQ34" s="2"/>
    </row>
    <row x14ac:dyDescent="0.25" r="35" customHeight="1" ht="18.75">
      <c r="A35" s="30"/>
      <c r="B35" s="40" t="s">
        <v>1103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3"/>
      <c r="AL35" s="2"/>
      <c r="AM35" s="2"/>
      <c r="AN35" s="2"/>
      <c r="AO35" s="2"/>
      <c r="AP35" s="2"/>
      <c r="AQ35" s="2"/>
    </row>
    <row x14ac:dyDescent="0.25" r="36" customHeight="1" ht="18.75">
      <c r="A36" s="30"/>
      <c r="B36" s="40" t="s">
        <v>1104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3"/>
      <c r="AL36" s="2"/>
      <c r="AM36" s="2"/>
      <c r="AN36" s="2"/>
      <c r="AO36" s="2"/>
      <c r="AP36" s="2"/>
      <c r="AQ36" s="2"/>
    </row>
    <row x14ac:dyDescent="0.25" r="37" customHeight="1" ht="18.75">
      <c r="A37" s="30" t="s">
        <v>1105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3"/>
      <c r="AL37" s="2"/>
      <c r="AM37" s="2"/>
      <c r="AN37" s="2"/>
      <c r="AO37" s="2"/>
      <c r="AP37" s="2"/>
      <c r="AQ37" s="2"/>
    </row>
    <row x14ac:dyDescent="0.25" r="38" customHeight="1" ht="18.75">
      <c r="A38" s="206" t="s">
        <v>1106</v>
      </c>
      <c r="B38" s="40" t="s">
        <v>1107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"/>
      <c r="AJ38" s="2"/>
      <c r="AK38" s="3"/>
      <c r="AL38" s="2"/>
      <c r="AM38" s="2"/>
      <c r="AN38" s="2"/>
      <c r="AO38" s="2"/>
      <c r="AP38" s="2"/>
      <c r="AQ38" s="2"/>
    </row>
    <row x14ac:dyDescent="0.25" r="39" customHeight="1" ht="18.75">
      <c r="A39" s="164"/>
      <c r="B39" s="40" t="s">
        <v>1102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"/>
      <c r="AJ39" s="2"/>
      <c r="AK39" s="3"/>
      <c r="AL39" s="2"/>
      <c r="AM39" s="2"/>
      <c r="AN39" s="2"/>
      <c r="AO39" s="2"/>
      <c r="AP39" s="2"/>
      <c r="AQ39" s="2"/>
    </row>
    <row x14ac:dyDescent="0.25" r="40" customHeight="1" ht="18.75">
      <c r="A40" s="164"/>
      <c r="B40" s="40" t="s">
        <v>1108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"/>
      <c r="AJ40" s="2"/>
      <c r="AK40" s="3"/>
      <c r="AL40" s="2"/>
      <c r="AM40" s="2"/>
      <c r="AN40" s="2"/>
      <c r="AO40" s="2"/>
      <c r="AP40" s="2"/>
      <c r="AQ40" s="2"/>
    </row>
  </sheetData>
  <mergeCells count="9">
    <mergeCell ref="B3:D3"/>
    <mergeCell ref="F3:O3"/>
    <mergeCell ref="B4:D4"/>
    <mergeCell ref="F4:O5"/>
    <mergeCell ref="B5:D5"/>
    <mergeCell ref="B31:D31"/>
    <mergeCell ref="G31:I31"/>
    <mergeCell ref="A33:A36"/>
    <mergeCell ref="A38:A4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50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46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1076</v>
      </c>
      <c r="C4" s="7"/>
      <c r="D4" s="7"/>
      <c r="E4" s="2"/>
      <c r="F4" s="124" t="s">
        <v>1077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5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31" t="s">
        <v>932</v>
      </c>
      <c r="J8" s="31" t="s">
        <v>932</v>
      </c>
      <c r="K8" s="31" t="s">
        <v>932</v>
      </c>
      <c r="L8" s="31" t="s">
        <v>932</v>
      </c>
      <c r="M8" s="139" t="s">
        <v>932</v>
      </c>
      <c r="N8" s="31" t="s">
        <v>932</v>
      </c>
      <c r="O8" s="31" t="s">
        <v>932</v>
      </c>
      <c r="P8" s="31" t="s">
        <v>933</v>
      </c>
      <c r="Q8" s="31" t="s">
        <v>933</v>
      </c>
      <c r="R8" s="143" t="s">
        <v>358</v>
      </c>
      <c r="S8" s="31" t="s">
        <v>934</v>
      </c>
      <c r="T8" s="143" t="s">
        <v>358</v>
      </c>
      <c r="U8" s="143" t="s">
        <v>358</v>
      </c>
      <c r="V8" s="143" t="s">
        <v>358</v>
      </c>
      <c r="W8" s="143" t="s">
        <v>358</v>
      </c>
      <c r="X8" s="31" t="s">
        <v>68</v>
      </c>
      <c r="Y8" s="143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</row>
    <row x14ac:dyDescent="0.25" r="9" customHeight="1" ht="15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31" t="s">
        <v>937</v>
      </c>
      <c r="J9" s="31" t="s">
        <v>937</v>
      </c>
      <c r="K9" s="31" t="s">
        <v>939</v>
      </c>
      <c r="L9" s="31" t="s">
        <v>937</v>
      </c>
      <c r="M9" s="139" t="s">
        <v>940</v>
      </c>
      <c r="N9" s="31" t="s">
        <v>932</v>
      </c>
      <c r="O9" s="31" t="s">
        <v>932</v>
      </c>
      <c r="P9" s="31" t="s">
        <v>932</v>
      </c>
      <c r="Q9" s="31" t="s">
        <v>932</v>
      </c>
      <c r="R9" s="143" t="s">
        <v>358</v>
      </c>
      <c r="S9" s="31" t="s">
        <v>937</v>
      </c>
      <c r="T9" s="143" t="s">
        <v>358</v>
      </c>
      <c r="U9" s="143" t="s">
        <v>358</v>
      </c>
      <c r="V9" s="143" t="s">
        <v>358</v>
      </c>
      <c r="W9" s="143" t="s">
        <v>358</v>
      </c>
      <c r="X9" s="31" t="s">
        <v>68</v>
      </c>
      <c r="Y9" s="143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</row>
    <row x14ac:dyDescent="0.25" r="10" customHeight="1" ht="15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17">
        <v>504</v>
      </c>
      <c r="J10" s="117">
        <v>504</v>
      </c>
      <c r="K10" s="117">
        <v>515</v>
      </c>
      <c r="L10" s="117">
        <v>504</v>
      </c>
      <c r="M10" s="167">
        <v>514</v>
      </c>
      <c r="N10" s="117">
        <v>503</v>
      </c>
      <c r="O10" s="117">
        <v>503</v>
      </c>
      <c r="P10" s="117">
        <v>503</v>
      </c>
      <c r="Q10" s="117">
        <v>503</v>
      </c>
      <c r="R10" s="144"/>
      <c r="S10" s="117">
        <v>504</v>
      </c>
      <c r="T10" s="144"/>
      <c r="U10" s="144"/>
      <c r="V10" s="144"/>
      <c r="W10" s="144"/>
      <c r="X10" s="117">
        <v>501</v>
      </c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</row>
    <row x14ac:dyDescent="0.25" r="11" customHeight="1" ht="15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31" t="s">
        <v>49</v>
      </c>
      <c r="J11" s="31" t="s">
        <v>49</v>
      </c>
      <c r="K11" s="31" t="s">
        <v>49</v>
      </c>
      <c r="L11" s="31" t="s">
        <v>49</v>
      </c>
      <c r="M11" s="139" t="s">
        <v>49</v>
      </c>
      <c r="N11" s="31" t="s">
        <v>49</v>
      </c>
      <c r="O11" s="31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143" t="s">
        <v>49</v>
      </c>
      <c r="V11" s="143" t="s">
        <v>49</v>
      </c>
      <c r="W11" s="143" t="s">
        <v>49</v>
      </c>
      <c r="X11" s="31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</row>
    <row x14ac:dyDescent="0.25" r="12" customHeight="1" ht="15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139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31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</row>
    <row x14ac:dyDescent="0.25" r="13" customHeight="1" ht="15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139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143" t="s">
        <v>49</v>
      </c>
      <c r="V13" s="143" t="s">
        <v>49</v>
      </c>
      <c r="W13" s="143" t="s">
        <v>49</v>
      </c>
      <c r="X13" s="31" t="s">
        <v>52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</row>
    <row x14ac:dyDescent="0.25" r="14" customHeight="1" ht="15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139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143" t="s">
        <v>49</v>
      </c>
      <c r="V14" s="143" t="s">
        <v>49</v>
      </c>
      <c r="W14" s="143" t="s">
        <v>49</v>
      </c>
      <c r="X14" s="31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</row>
    <row x14ac:dyDescent="0.25" r="15" customHeight="1" ht="15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31" t="s">
        <v>49</v>
      </c>
      <c r="J15" s="31" t="s">
        <v>49</v>
      </c>
      <c r="K15" s="31" t="s">
        <v>49</v>
      </c>
      <c r="L15" s="31" t="s">
        <v>49</v>
      </c>
      <c r="M15" s="139" t="s">
        <v>49</v>
      </c>
      <c r="N15" s="31" t="s">
        <v>49</v>
      </c>
      <c r="O15" s="31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143" t="s">
        <v>49</v>
      </c>
      <c r="V15" s="143" t="s">
        <v>49</v>
      </c>
      <c r="W15" s="143" t="s">
        <v>49</v>
      </c>
      <c r="X15" s="31" t="s">
        <v>49</v>
      </c>
      <c r="Y15" s="143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143" t="s">
        <v>49</v>
      </c>
      <c r="AE15" s="143" t="s">
        <v>49</v>
      </c>
      <c r="AF15" s="143" t="s">
        <v>49</v>
      </c>
      <c r="AG15" s="143" t="s">
        <v>49</v>
      </c>
      <c r="AH15" s="143" t="s">
        <v>49</v>
      </c>
    </row>
    <row x14ac:dyDescent="0.25" r="16" customHeight="1" ht="15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31" t="s">
        <v>49</v>
      </c>
      <c r="J16" s="31" t="s">
        <v>49</v>
      </c>
      <c r="K16" s="31" t="s">
        <v>49</v>
      </c>
      <c r="L16" s="31" t="s">
        <v>49</v>
      </c>
      <c r="M16" s="139" t="s">
        <v>49</v>
      </c>
      <c r="N16" s="31" t="s">
        <v>49</v>
      </c>
      <c r="O16" s="31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143" t="s">
        <v>49</v>
      </c>
      <c r="V16" s="143" t="s">
        <v>49</v>
      </c>
      <c r="W16" s="143" t="s">
        <v>49</v>
      </c>
      <c r="X16" s="31" t="s">
        <v>49</v>
      </c>
      <c r="Y16" s="143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143" t="s">
        <v>49</v>
      </c>
      <c r="AE16" s="143" t="s">
        <v>49</v>
      </c>
      <c r="AF16" s="143" t="s">
        <v>49</v>
      </c>
      <c r="AG16" s="143" t="s">
        <v>49</v>
      </c>
      <c r="AH16" s="143" t="s">
        <v>49</v>
      </c>
    </row>
    <row x14ac:dyDescent="0.25" r="17" customHeight="1" ht="15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31" t="s">
        <v>941</v>
      </c>
      <c r="J17" s="31" t="s">
        <v>941</v>
      </c>
      <c r="K17" s="31" t="s">
        <v>941</v>
      </c>
      <c r="L17" s="31" t="s">
        <v>941</v>
      </c>
      <c r="M17" s="139" t="s">
        <v>941</v>
      </c>
      <c r="N17" s="31" t="s">
        <v>941</v>
      </c>
      <c r="O17" s="31" t="s">
        <v>941</v>
      </c>
      <c r="P17" s="31" t="s">
        <v>57</v>
      </c>
      <c r="Q17" s="31" t="s">
        <v>57</v>
      </c>
      <c r="R17" s="143" t="s">
        <v>358</v>
      </c>
      <c r="S17" s="31" t="s">
        <v>941</v>
      </c>
      <c r="T17" s="143" t="s">
        <v>358</v>
      </c>
      <c r="U17" s="143" t="s">
        <v>358</v>
      </c>
      <c r="V17" s="143" t="s">
        <v>358</v>
      </c>
      <c r="W17" s="143" t="s">
        <v>358</v>
      </c>
      <c r="X17" s="31" t="s">
        <v>941</v>
      </c>
      <c r="Y17" s="143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</row>
    <row x14ac:dyDescent="0.25" r="18" customHeight="1" ht="15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31" t="s">
        <v>942</v>
      </c>
      <c r="J18" s="31" t="s">
        <v>942</v>
      </c>
      <c r="K18" s="31" t="s">
        <v>942</v>
      </c>
      <c r="L18" s="31" t="s">
        <v>942</v>
      </c>
      <c r="M18" s="139" t="s">
        <v>942</v>
      </c>
      <c r="N18" s="31" t="s">
        <v>942</v>
      </c>
      <c r="O18" s="31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143" t="s">
        <v>942</v>
      </c>
      <c r="V18" s="143" t="s">
        <v>942</v>
      </c>
      <c r="W18" s="143" t="s">
        <v>942</v>
      </c>
      <c r="X18" s="31" t="s">
        <v>59</v>
      </c>
      <c r="Y18" s="143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143" t="s">
        <v>942</v>
      </c>
      <c r="AE18" s="143" t="s">
        <v>942</v>
      </c>
      <c r="AF18" s="143" t="s">
        <v>942</v>
      </c>
      <c r="AG18" s="143" t="s">
        <v>942</v>
      </c>
      <c r="AH18" s="143" t="s">
        <v>942</v>
      </c>
    </row>
    <row x14ac:dyDescent="0.25" r="19" customHeight="1" ht="15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33">
        <v>3</v>
      </c>
      <c r="J19" s="33">
        <v>3</v>
      </c>
      <c r="K19" s="33">
        <v>2</v>
      </c>
      <c r="L19" s="33">
        <v>3</v>
      </c>
      <c r="M19" s="140">
        <v>3</v>
      </c>
      <c r="N19" s="31">
        <v>4</v>
      </c>
      <c r="O19" s="31">
        <v>4</v>
      </c>
      <c r="P19" s="31">
        <v>4</v>
      </c>
      <c r="Q19" s="31">
        <v>4</v>
      </c>
      <c r="R19" s="224">
        <v>3</v>
      </c>
      <c r="S19" s="31">
        <v>3</v>
      </c>
      <c r="T19" s="224">
        <v>3</v>
      </c>
      <c r="U19" s="224">
        <v>3</v>
      </c>
      <c r="V19" s="224">
        <v>3</v>
      </c>
      <c r="W19" s="224">
        <v>3</v>
      </c>
      <c r="X19" s="31">
        <v>6</v>
      </c>
      <c r="Y19" s="224">
        <v>3</v>
      </c>
      <c r="Z19" s="224">
        <v>3</v>
      </c>
      <c r="AA19" s="224">
        <v>3</v>
      </c>
      <c r="AB19" s="224">
        <v>3</v>
      </c>
      <c r="AC19" s="224">
        <v>3</v>
      </c>
      <c r="AD19" s="224">
        <v>3</v>
      </c>
      <c r="AE19" s="224">
        <v>3</v>
      </c>
      <c r="AF19" s="224">
        <v>3</v>
      </c>
      <c r="AG19" s="224">
        <v>3</v>
      </c>
      <c r="AH19" s="224">
        <v>3</v>
      </c>
    </row>
    <row x14ac:dyDescent="0.25" r="20" customHeight="1" ht="15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943</v>
      </c>
      <c r="L20" s="31" t="s">
        <v>62</v>
      </c>
      <c r="M20" s="139" t="s">
        <v>943</v>
      </c>
      <c r="N20" s="31" t="s">
        <v>62</v>
      </c>
      <c r="O20" s="31" t="s">
        <v>62</v>
      </c>
      <c r="P20" s="31" t="s">
        <v>62</v>
      </c>
      <c r="Q20" s="31" t="s">
        <v>62</v>
      </c>
      <c r="R20" s="143" t="s">
        <v>943</v>
      </c>
      <c r="S20" s="31" t="s">
        <v>62</v>
      </c>
      <c r="T20" s="143" t="s">
        <v>943</v>
      </c>
      <c r="U20" s="143" t="s">
        <v>943</v>
      </c>
      <c r="V20" s="143" t="s">
        <v>943</v>
      </c>
      <c r="W20" s="143" t="s">
        <v>943</v>
      </c>
      <c r="X20" s="31" t="s">
        <v>62</v>
      </c>
      <c r="Y20" s="143" t="s">
        <v>943</v>
      </c>
      <c r="Z20" s="143" t="s">
        <v>943</v>
      </c>
      <c r="AA20" s="143" t="s">
        <v>943</v>
      </c>
      <c r="AB20" s="143" t="s">
        <v>943</v>
      </c>
      <c r="AC20" s="143" t="s">
        <v>943</v>
      </c>
      <c r="AD20" s="143" t="s">
        <v>943</v>
      </c>
      <c r="AE20" s="143" t="s">
        <v>943</v>
      </c>
      <c r="AF20" s="143" t="s">
        <v>943</v>
      </c>
      <c r="AG20" s="143" t="s">
        <v>943</v>
      </c>
      <c r="AH20" s="143" t="s">
        <v>943</v>
      </c>
    </row>
    <row x14ac:dyDescent="0.25" r="21" customHeight="1" ht="15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3">
        <v>1</v>
      </c>
      <c r="O21" s="33">
        <v>1</v>
      </c>
      <c r="P21" s="33">
        <v>1</v>
      </c>
      <c r="Q21" s="33">
        <v>1</v>
      </c>
      <c r="R21" s="146">
        <v>0</v>
      </c>
      <c r="S21" s="33">
        <v>1</v>
      </c>
      <c r="T21" s="146">
        <v>0</v>
      </c>
      <c r="U21" s="146">
        <v>0</v>
      </c>
      <c r="V21" s="146">
        <v>0</v>
      </c>
      <c r="W21" s="146">
        <v>0</v>
      </c>
      <c r="X21" s="33">
        <v>1</v>
      </c>
      <c r="Y21" s="146">
        <v>0</v>
      </c>
      <c r="Z21" s="146">
        <v>0</v>
      </c>
      <c r="AA21" s="146">
        <v>0</v>
      </c>
      <c r="AB21" s="146">
        <v>0</v>
      </c>
      <c r="AC21" s="146">
        <v>0</v>
      </c>
      <c r="AD21" s="146">
        <v>0</v>
      </c>
      <c r="AE21" s="146">
        <v>0</v>
      </c>
      <c r="AF21" s="146">
        <v>0</v>
      </c>
      <c r="AG21" s="146">
        <v>0</v>
      </c>
      <c r="AH21" s="146">
        <v>0</v>
      </c>
    </row>
    <row x14ac:dyDescent="0.25" r="22" customHeight="1" ht="15.75">
      <c r="A22" s="4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x14ac:dyDescent="0.25" r="23" customHeight="1" ht="15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139" t="s">
        <v>207</v>
      </c>
      <c r="N23" s="31" t="s">
        <v>207</v>
      </c>
      <c r="O23" s="31" t="s">
        <v>207</v>
      </c>
      <c r="P23" s="143" t="s">
        <v>358</v>
      </c>
      <c r="Q23" s="143" t="s">
        <v>358</v>
      </c>
      <c r="R23" s="31" t="s">
        <v>207</v>
      </c>
      <c r="S23" s="143" t="s">
        <v>358</v>
      </c>
      <c r="T23" s="31" t="s">
        <v>207</v>
      </c>
      <c r="U23" s="31" t="s">
        <v>207</v>
      </c>
      <c r="V23" s="114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31" t="s">
        <v>207</v>
      </c>
      <c r="AH23" s="114" t="s">
        <v>207</v>
      </c>
    </row>
    <row x14ac:dyDescent="0.25" r="24" customHeight="1" ht="15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139" t="s">
        <v>210</v>
      </c>
      <c r="N24" s="31" t="s">
        <v>210</v>
      </c>
      <c r="O24" s="31" t="s">
        <v>210</v>
      </c>
      <c r="P24" s="143" t="s">
        <v>358</v>
      </c>
      <c r="Q24" s="143" t="s">
        <v>358</v>
      </c>
      <c r="R24" s="31" t="s">
        <v>212</v>
      </c>
      <c r="S24" s="143" t="s">
        <v>358</v>
      </c>
      <c r="T24" s="31" t="s">
        <v>944</v>
      </c>
      <c r="U24" s="31" t="s">
        <v>210</v>
      </c>
      <c r="V24" s="114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31" t="s">
        <v>212</v>
      </c>
      <c r="AH24" s="116" t="s">
        <v>212</v>
      </c>
    </row>
    <row x14ac:dyDescent="0.25" r="25" customHeight="1" ht="15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67">
        <v>52</v>
      </c>
      <c r="N25" s="117">
        <v>52</v>
      </c>
      <c r="O25" s="117">
        <v>52</v>
      </c>
      <c r="P25" s="144"/>
      <c r="Q25" s="144"/>
      <c r="R25" s="117">
        <v>48</v>
      </c>
      <c r="S25" s="144"/>
      <c r="T25" s="117">
        <v>159</v>
      </c>
      <c r="U25" s="117">
        <v>52</v>
      </c>
      <c r="V25" s="13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17">
        <v>48</v>
      </c>
      <c r="AH25" s="137">
        <v>48</v>
      </c>
    </row>
    <row x14ac:dyDescent="0.25" r="26" customHeight="1" ht="15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140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1" t="s">
        <v>52</v>
      </c>
      <c r="S26" s="143" t="s">
        <v>49</v>
      </c>
      <c r="T26" s="31" t="s">
        <v>52</v>
      </c>
      <c r="U26" s="31" t="s">
        <v>52</v>
      </c>
      <c r="V26" s="114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31" t="s">
        <v>52</v>
      </c>
      <c r="AH26" s="116" t="s">
        <v>52</v>
      </c>
    </row>
    <row x14ac:dyDescent="0.25" r="27" customHeight="1" ht="15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139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31" t="s">
        <v>49</v>
      </c>
      <c r="S27" s="143" t="s">
        <v>49</v>
      </c>
      <c r="T27" s="31" t="s">
        <v>49</v>
      </c>
      <c r="U27" s="31" t="s">
        <v>49</v>
      </c>
      <c r="V27" s="114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31" t="s">
        <v>49</v>
      </c>
      <c r="AH27" s="114" t="s">
        <v>49</v>
      </c>
    </row>
    <row x14ac:dyDescent="0.25" r="28" customHeight="1" ht="15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139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31" t="s">
        <v>52</v>
      </c>
      <c r="S28" s="143" t="s">
        <v>49</v>
      </c>
      <c r="T28" s="31" t="s">
        <v>52</v>
      </c>
      <c r="U28" s="31" t="s">
        <v>52</v>
      </c>
      <c r="V28" s="114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31" t="s">
        <v>52</v>
      </c>
      <c r="AH28" s="114" t="s">
        <v>52</v>
      </c>
    </row>
    <row x14ac:dyDescent="0.25" r="29" customHeight="1" ht="15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139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114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31" t="s">
        <v>49</v>
      </c>
      <c r="AH29" s="114" t="s">
        <v>49</v>
      </c>
    </row>
    <row x14ac:dyDescent="0.25" r="30" customHeight="1" ht="15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139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31" t="s">
        <v>143</v>
      </c>
      <c r="S30" s="143" t="s">
        <v>143</v>
      </c>
      <c r="T30" s="31" t="s">
        <v>143</v>
      </c>
      <c r="U30" s="31" t="s">
        <v>143</v>
      </c>
      <c r="V30" s="114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31" t="s">
        <v>143</v>
      </c>
      <c r="AH30" s="114" t="s">
        <v>143</v>
      </c>
    </row>
    <row x14ac:dyDescent="0.25" r="31" customHeight="1" ht="15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139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4/3</f>
      </c>
      <c r="S31" s="143">
        <v>0</v>
      </c>
      <c r="T31" s="31">
        <f>AVERAGE(1,1,-0.5)</f>
      </c>
      <c r="U31" s="31">
        <v>0.5</v>
      </c>
      <c r="V31" s="114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31">
        <f>4/3</f>
      </c>
      <c r="AH31" s="114">
        <f>4/3</f>
      </c>
    </row>
    <row x14ac:dyDescent="0.25" r="32" customHeight="1" ht="15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139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114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31" t="s">
        <v>169</v>
      </c>
      <c r="AH32" s="114" t="s">
        <v>169</v>
      </c>
    </row>
    <row x14ac:dyDescent="0.25" r="33" customHeight="1" ht="15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3">
        <v>2</v>
      </c>
      <c r="O33" s="33">
        <v>2</v>
      </c>
      <c r="P33" s="146">
        <v>0</v>
      </c>
      <c r="Q33" s="146">
        <v>0</v>
      </c>
      <c r="R33" s="33">
        <v>2</v>
      </c>
      <c r="S33" s="146">
        <v>0</v>
      </c>
      <c r="T33" s="33">
        <v>2</v>
      </c>
      <c r="U33" s="33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31">
        <v>2</v>
      </c>
      <c r="AH33" s="114">
        <v>2</v>
      </c>
    </row>
    <row x14ac:dyDescent="0.25" r="34" customHeight="1" ht="15.75">
      <c r="A34" s="46"/>
      <c r="B34" s="4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x14ac:dyDescent="0.25" r="35" customHeight="1" ht="15.75">
      <c r="A35" s="30" t="s">
        <v>43</v>
      </c>
      <c r="B35" s="31" t="s">
        <v>138</v>
      </c>
      <c r="C35" s="31" t="s">
        <v>139</v>
      </c>
      <c r="D35" s="31" t="s">
        <v>139</v>
      </c>
      <c r="E35" s="31" t="s">
        <v>139</v>
      </c>
      <c r="F35" s="31" t="s">
        <v>139</v>
      </c>
      <c r="G35" s="31" t="s">
        <v>139</v>
      </c>
      <c r="H35" s="31" t="s">
        <v>139</v>
      </c>
      <c r="I35" s="31" t="s">
        <v>139</v>
      </c>
      <c r="J35" s="31" t="s">
        <v>139</v>
      </c>
      <c r="K35" s="31" t="s">
        <v>139</v>
      </c>
      <c r="L35" s="31" t="s">
        <v>139</v>
      </c>
      <c r="M35" s="31" t="s">
        <v>139</v>
      </c>
      <c r="N35" s="31" t="s">
        <v>139</v>
      </c>
      <c r="O35" s="31" t="s">
        <v>139</v>
      </c>
      <c r="P35" s="31" t="s">
        <v>139</v>
      </c>
      <c r="Q35" s="31" t="s">
        <v>139</v>
      </c>
      <c r="R35" s="31" t="s">
        <v>139</v>
      </c>
      <c r="S35" s="31" t="s">
        <v>139</v>
      </c>
      <c r="T35" s="31" t="s">
        <v>139</v>
      </c>
      <c r="U35" s="31" t="s">
        <v>139</v>
      </c>
      <c r="V35" s="31" t="s">
        <v>139</v>
      </c>
      <c r="W35" s="31" t="s">
        <v>139</v>
      </c>
      <c r="X35" s="31" t="s">
        <v>139</v>
      </c>
      <c r="Y35" s="31" t="s">
        <v>139</v>
      </c>
      <c r="Z35" s="31" t="s">
        <v>139</v>
      </c>
      <c r="AA35" s="31" t="s">
        <v>139</v>
      </c>
      <c r="AB35" s="31" t="s">
        <v>139</v>
      </c>
      <c r="AC35" s="31" t="s">
        <v>139</v>
      </c>
      <c r="AD35" s="31" t="s">
        <v>139</v>
      </c>
      <c r="AE35" s="31" t="s">
        <v>139</v>
      </c>
      <c r="AF35" s="31" t="s">
        <v>139</v>
      </c>
      <c r="AG35" s="31" t="s">
        <v>139</v>
      </c>
      <c r="AH35" s="31" t="s">
        <v>139</v>
      </c>
    </row>
    <row x14ac:dyDescent="0.25" r="36" customHeight="1" ht="15.75">
      <c r="A36" s="30" t="s">
        <v>45</v>
      </c>
      <c r="B36" s="31" t="s">
        <v>139</v>
      </c>
      <c r="C36" s="31" t="s">
        <v>139</v>
      </c>
      <c r="D36" s="31" t="s">
        <v>139</v>
      </c>
      <c r="E36" s="31" t="s">
        <v>139</v>
      </c>
      <c r="F36" s="31" t="s">
        <v>139</v>
      </c>
      <c r="G36" s="31" t="s">
        <v>139</v>
      </c>
      <c r="H36" s="31" t="s">
        <v>139</v>
      </c>
      <c r="I36" s="31" t="s">
        <v>139</v>
      </c>
      <c r="J36" s="31" t="s">
        <v>139</v>
      </c>
      <c r="K36" s="31" t="s">
        <v>139</v>
      </c>
      <c r="L36" s="31" t="s">
        <v>139</v>
      </c>
      <c r="M36" s="31" t="s">
        <v>139</v>
      </c>
      <c r="N36" s="31" t="s">
        <v>139</v>
      </c>
      <c r="O36" s="31" t="s">
        <v>139</v>
      </c>
      <c r="P36" s="31" t="s">
        <v>139</v>
      </c>
      <c r="Q36" s="31" t="s">
        <v>139</v>
      </c>
      <c r="R36" s="31" t="s">
        <v>139</v>
      </c>
      <c r="S36" s="31" t="s">
        <v>139</v>
      </c>
      <c r="T36" s="31" t="s">
        <v>139</v>
      </c>
      <c r="U36" s="31" t="s">
        <v>139</v>
      </c>
      <c r="V36" s="31" t="s">
        <v>139</v>
      </c>
      <c r="W36" s="31" t="s">
        <v>139</v>
      </c>
      <c r="X36" s="31" t="s">
        <v>139</v>
      </c>
      <c r="Y36" s="31" t="s">
        <v>139</v>
      </c>
      <c r="Z36" s="31" t="s">
        <v>139</v>
      </c>
      <c r="AA36" s="31" t="s">
        <v>139</v>
      </c>
      <c r="AB36" s="31" t="s">
        <v>139</v>
      </c>
      <c r="AC36" s="31" t="s">
        <v>139</v>
      </c>
      <c r="AD36" s="31" t="s">
        <v>139</v>
      </c>
      <c r="AE36" s="31" t="s">
        <v>139</v>
      </c>
      <c r="AF36" s="31" t="s">
        <v>139</v>
      </c>
      <c r="AG36" s="31" t="s">
        <v>139</v>
      </c>
      <c r="AH36" s="31" t="s">
        <v>139</v>
      </c>
    </row>
    <row x14ac:dyDescent="0.25" r="37" customHeight="1" ht="15.75">
      <c r="A37" s="35" t="s">
        <v>47</v>
      </c>
      <c r="B37" s="117">
        <v>1</v>
      </c>
      <c r="C37" s="117">
        <v>1</v>
      </c>
      <c r="D37" s="117">
        <v>1</v>
      </c>
      <c r="E37" s="117">
        <v>1</v>
      </c>
      <c r="F37" s="117">
        <v>1</v>
      </c>
      <c r="G37" s="117">
        <v>1</v>
      </c>
      <c r="H37" s="117">
        <v>1</v>
      </c>
      <c r="I37" s="117">
        <v>1</v>
      </c>
      <c r="J37" s="117">
        <v>1</v>
      </c>
      <c r="K37" s="117">
        <v>1</v>
      </c>
      <c r="L37" s="117">
        <v>1</v>
      </c>
      <c r="M37" s="117">
        <v>1</v>
      </c>
      <c r="N37" s="117">
        <v>1</v>
      </c>
      <c r="O37" s="117">
        <v>1</v>
      </c>
      <c r="P37" s="117">
        <v>1</v>
      </c>
      <c r="Q37" s="117">
        <v>1</v>
      </c>
      <c r="R37" s="117">
        <v>1</v>
      </c>
      <c r="S37" s="117">
        <v>1</v>
      </c>
      <c r="T37" s="117">
        <v>1</v>
      </c>
      <c r="U37" s="117">
        <v>1</v>
      </c>
      <c r="V37" s="117">
        <v>1</v>
      </c>
      <c r="W37" s="117">
        <v>1</v>
      </c>
      <c r="X37" s="117">
        <v>1</v>
      </c>
      <c r="Y37" s="117">
        <v>1</v>
      </c>
      <c r="Z37" s="117">
        <v>1</v>
      </c>
      <c r="AA37" s="117">
        <v>1</v>
      </c>
      <c r="AB37" s="117">
        <v>1</v>
      </c>
      <c r="AC37" s="117">
        <v>1</v>
      </c>
      <c r="AD37" s="117">
        <v>1</v>
      </c>
      <c r="AE37" s="117">
        <v>1</v>
      </c>
      <c r="AF37" s="117">
        <v>1</v>
      </c>
      <c r="AG37" s="117">
        <v>1</v>
      </c>
      <c r="AH37" s="117">
        <v>1</v>
      </c>
    </row>
    <row x14ac:dyDescent="0.25" r="38" customHeight="1" ht="15.75">
      <c r="A38" s="30" t="s">
        <v>123</v>
      </c>
      <c r="B38" s="33" t="s">
        <v>52</v>
      </c>
      <c r="C38" s="33" t="s">
        <v>52</v>
      </c>
      <c r="D38" s="33" t="s">
        <v>52</v>
      </c>
      <c r="E38" s="33" t="s">
        <v>52</v>
      </c>
      <c r="F38" s="33" t="s">
        <v>52</v>
      </c>
      <c r="G38" s="33" t="s">
        <v>52</v>
      </c>
      <c r="H38" s="33" t="s">
        <v>52</v>
      </c>
      <c r="I38" s="33" t="s">
        <v>52</v>
      </c>
      <c r="J38" s="33" t="s">
        <v>52</v>
      </c>
      <c r="K38" s="33" t="s">
        <v>52</v>
      </c>
      <c r="L38" s="33" t="s">
        <v>52</v>
      </c>
      <c r="M38" s="33" t="s">
        <v>52</v>
      </c>
      <c r="N38" s="33" t="s">
        <v>52</v>
      </c>
      <c r="O38" s="33" t="s">
        <v>52</v>
      </c>
      <c r="P38" s="33" t="s">
        <v>52</v>
      </c>
      <c r="Q38" s="33" t="s">
        <v>52</v>
      </c>
      <c r="R38" s="33" t="s">
        <v>52</v>
      </c>
      <c r="S38" s="33" t="s">
        <v>52</v>
      </c>
      <c r="T38" s="33" t="s">
        <v>52</v>
      </c>
      <c r="U38" s="33" t="s">
        <v>52</v>
      </c>
      <c r="V38" s="33" t="s">
        <v>52</v>
      </c>
      <c r="W38" s="33" t="s">
        <v>52</v>
      </c>
      <c r="X38" s="33" t="s">
        <v>52</v>
      </c>
      <c r="Y38" s="33" t="s">
        <v>52</v>
      </c>
      <c r="Z38" s="33" t="s">
        <v>52</v>
      </c>
      <c r="AA38" s="33" t="s">
        <v>52</v>
      </c>
      <c r="AB38" s="33" t="s">
        <v>52</v>
      </c>
      <c r="AC38" s="33" t="s">
        <v>52</v>
      </c>
      <c r="AD38" s="33" t="s">
        <v>52</v>
      </c>
      <c r="AE38" s="33" t="s">
        <v>52</v>
      </c>
      <c r="AF38" s="33" t="s">
        <v>52</v>
      </c>
      <c r="AG38" s="33" t="s">
        <v>52</v>
      </c>
      <c r="AH38" s="33" t="s">
        <v>52</v>
      </c>
    </row>
    <row x14ac:dyDescent="0.25" r="39" customHeight="1" ht="15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31" t="s">
        <v>49</v>
      </c>
      <c r="T39" s="31" t="s">
        <v>49</v>
      </c>
      <c r="U39" s="31" t="s">
        <v>49</v>
      </c>
      <c r="V39" s="31" t="s">
        <v>49</v>
      </c>
      <c r="W39" s="31" t="s">
        <v>49</v>
      </c>
      <c r="X39" s="31" t="s">
        <v>49</v>
      </c>
      <c r="Y39" s="31" t="s">
        <v>49</v>
      </c>
      <c r="Z39" s="31" t="s">
        <v>49</v>
      </c>
      <c r="AA39" s="31" t="s">
        <v>49</v>
      </c>
      <c r="AB39" s="31" t="s">
        <v>49</v>
      </c>
      <c r="AC39" s="31" t="s">
        <v>49</v>
      </c>
      <c r="AD39" s="31" t="s">
        <v>49</v>
      </c>
      <c r="AE39" s="31" t="s">
        <v>49</v>
      </c>
      <c r="AF39" s="31" t="s">
        <v>49</v>
      </c>
      <c r="AG39" s="31" t="s">
        <v>49</v>
      </c>
      <c r="AH39" s="31" t="s">
        <v>49</v>
      </c>
    </row>
    <row x14ac:dyDescent="0.25" r="40" customHeight="1" ht="15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49</v>
      </c>
      <c r="Q40" s="31" t="s">
        <v>49</v>
      </c>
      <c r="R40" s="31" t="s">
        <v>49</v>
      </c>
      <c r="S40" s="31" t="s">
        <v>49</v>
      </c>
      <c r="T40" s="31" t="s">
        <v>49</v>
      </c>
      <c r="U40" s="31" t="s">
        <v>49</v>
      </c>
      <c r="V40" s="31" t="s">
        <v>49</v>
      </c>
      <c r="W40" s="31" t="s">
        <v>49</v>
      </c>
      <c r="X40" s="31" t="s">
        <v>49</v>
      </c>
      <c r="Y40" s="31" t="s">
        <v>49</v>
      </c>
      <c r="Z40" s="31" t="s">
        <v>49</v>
      </c>
      <c r="AA40" s="31" t="s">
        <v>49</v>
      </c>
      <c r="AB40" s="31" t="s">
        <v>49</v>
      </c>
      <c r="AC40" s="31" t="s">
        <v>49</v>
      </c>
      <c r="AD40" s="31" t="s">
        <v>49</v>
      </c>
      <c r="AE40" s="31" t="s">
        <v>49</v>
      </c>
      <c r="AF40" s="31" t="s">
        <v>49</v>
      </c>
      <c r="AG40" s="31" t="s">
        <v>49</v>
      </c>
      <c r="AH40" s="31" t="s">
        <v>49</v>
      </c>
    </row>
    <row x14ac:dyDescent="0.25" r="41" customHeight="1" ht="15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  <c r="W41" s="31" t="s">
        <v>49</v>
      </c>
      <c r="X41" s="31" t="s">
        <v>49</v>
      </c>
      <c r="Y41" s="31" t="s">
        <v>49</v>
      </c>
      <c r="Z41" s="31" t="s">
        <v>49</v>
      </c>
      <c r="AA41" s="31" t="s">
        <v>49</v>
      </c>
      <c r="AB41" s="31" t="s">
        <v>49</v>
      </c>
      <c r="AC41" s="31" t="s">
        <v>49</v>
      </c>
      <c r="AD41" s="31" t="s">
        <v>49</v>
      </c>
      <c r="AE41" s="31" t="s">
        <v>49</v>
      </c>
      <c r="AF41" s="31" t="s">
        <v>49</v>
      </c>
      <c r="AG41" s="31" t="s">
        <v>49</v>
      </c>
      <c r="AH41" s="31" t="s">
        <v>49</v>
      </c>
    </row>
    <row x14ac:dyDescent="0.25" r="42" customHeight="1" ht="15.75">
      <c r="A42" s="30" t="s">
        <v>127</v>
      </c>
      <c r="B42" s="31" t="s">
        <v>140</v>
      </c>
      <c r="C42" s="31" t="s">
        <v>140</v>
      </c>
      <c r="D42" s="31" t="s">
        <v>140</v>
      </c>
      <c r="E42" s="31" t="s">
        <v>140</v>
      </c>
      <c r="F42" s="31" t="s">
        <v>140</v>
      </c>
      <c r="G42" s="31" t="s">
        <v>140</v>
      </c>
      <c r="H42" s="31" t="s">
        <v>140</v>
      </c>
      <c r="I42" s="31" t="s">
        <v>140</v>
      </c>
      <c r="J42" s="31" t="s">
        <v>140</v>
      </c>
      <c r="K42" s="31" t="s">
        <v>140</v>
      </c>
      <c r="L42" s="31" t="s">
        <v>140</v>
      </c>
      <c r="M42" s="31" t="s">
        <v>140</v>
      </c>
      <c r="N42" s="31" t="s">
        <v>140</v>
      </c>
      <c r="O42" s="31" t="s">
        <v>140</v>
      </c>
      <c r="P42" s="31" t="s">
        <v>140</v>
      </c>
      <c r="Q42" s="31" t="s">
        <v>140</v>
      </c>
      <c r="R42" s="31" t="s">
        <v>140</v>
      </c>
      <c r="S42" s="31" t="s">
        <v>140</v>
      </c>
      <c r="T42" s="31" t="s">
        <v>140</v>
      </c>
      <c r="U42" s="31" t="s">
        <v>140</v>
      </c>
      <c r="V42" s="31" t="s">
        <v>140</v>
      </c>
      <c r="W42" s="31" t="s">
        <v>140</v>
      </c>
      <c r="X42" s="31" t="s">
        <v>140</v>
      </c>
      <c r="Y42" s="31" t="s">
        <v>140</v>
      </c>
      <c r="Z42" s="31" t="s">
        <v>140</v>
      </c>
      <c r="AA42" s="31" t="s">
        <v>140</v>
      </c>
      <c r="AB42" s="31" t="s">
        <v>140</v>
      </c>
      <c r="AC42" s="31" t="s">
        <v>140</v>
      </c>
      <c r="AD42" s="31" t="s">
        <v>140</v>
      </c>
      <c r="AE42" s="31" t="s">
        <v>140</v>
      </c>
      <c r="AF42" s="31" t="s">
        <v>140</v>
      </c>
      <c r="AG42" s="31" t="s">
        <v>140</v>
      </c>
      <c r="AH42" s="31" t="s">
        <v>140</v>
      </c>
    </row>
    <row x14ac:dyDescent="0.25" r="43" customHeight="1" ht="15.75">
      <c r="A43" s="30" t="s">
        <v>128</v>
      </c>
      <c r="B43" s="31">
        <v>3</v>
      </c>
      <c r="C43" s="31">
        <v>3</v>
      </c>
      <c r="D43" s="31">
        <v>3</v>
      </c>
      <c r="E43" s="31">
        <v>3</v>
      </c>
      <c r="F43" s="31">
        <v>3</v>
      </c>
      <c r="G43" s="31">
        <v>3</v>
      </c>
      <c r="H43" s="31">
        <v>3</v>
      </c>
      <c r="I43" s="31">
        <v>3</v>
      </c>
      <c r="J43" s="31">
        <v>3</v>
      </c>
      <c r="K43" s="31">
        <v>3</v>
      </c>
      <c r="L43" s="31">
        <v>3</v>
      </c>
      <c r="M43" s="31">
        <v>3</v>
      </c>
      <c r="N43" s="31">
        <v>3</v>
      </c>
      <c r="O43" s="31">
        <v>3</v>
      </c>
      <c r="P43" s="31">
        <v>3</v>
      </c>
      <c r="Q43" s="31">
        <v>3</v>
      </c>
      <c r="R43" s="31">
        <v>3</v>
      </c>
      <c r="S43" s="31">
        <v>3</v>
      </c>
      <c r="T43" s="31">
        <v>3</v>
      </c>
      <c r="U43" s="31">
        <v>3</v>
      </c>
      <c r="V43" s="31">
        <v>3</v>
      </c>
      <c r="W43" s="31">
        <v>3</v>
      </c>
      <c r="X43" s="31">
        <v>3</v>
      </c>
      <c r="Y43" s="31">
        <v>3</v>
      </c>
      <c r="Z43" s="31">
        <v>3</v>
      </c>
      <c r="AA43" s="31">
        <v>3</v>
      </c>
      <c r="AB43" s="31">
        <v>3</v>
      </c>
      <c r="AC43" s="31">
        <v>3</v>
      </c>
      <c r="AD43" s="31">
        <v>3</v>
      </c>
      <c r="AE43" s="31">
        <v>3</v>
      </c>
      <c r="AF43" s="31">
        <v>3</v>
      </c>
      <c r="AG43" s="31">
        <v>3</v>
      </c>
      <c r="AH43" s="31">
        <v>3</v>
      </c>
    </row>
    <row x14ac:dyDescent="0.25" r="44" customHeight="1" ht="15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138</v>
      </c>
      <c r="Q44" s="31" t="s">
        <v>138</v>
      </c>
      <c r="R44" s="31" t="s">
        <v>138</v>
      </c>
      <c r="S44" s="31" t="s">
        <v>138</v>
      </c>
      <c r="T44" s="31" t="s">
        <v>138</v>
      </c>
      <c r="U44" s="31" t="s">
        <v>138</v>
      </c>
      <c r="V44" s="31" t="s">
        <v>138</v>
      </c>
      <c r="W44" s="31" t="s">
        <v>138</v>
      </c>
      <c r="X44" s="31" t="s">
        <v>138</v>
      </c>
      <c r="Y44" s="31" t="s">
        <v>138</v>
      </c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31" t="s">
        <v>138</v>
      </c>
      <c r="AF44" s="31" t="s">
        <v>138</v>
      </c>
      <c r="AG44" s="31" t="s">
        <v>138</v>
      </c>
      <c r="AH44" s="31" t="s">
        <v>138</v>
      </c>
    </row>
    <row x14ac:dyDescent="0.25" r="45" customHeight="1" ht="15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4</v>
      </c>
      <c r="W45" s="31">
        <v>4</v>
      </c>
      <c r="X45" s="31">
        <v>4</v>
      </c>
      <c r="Y45" s="31">
        <v>4</v>
      </c>
      <c r="Z45" s="31">
        <v>4</v>
      </c>
      <c r="AA45" s="31">
        <v>4</v>
      </c>
      <c r="AB45" s="31">
        <v>4</v>
      </c>
      <c r="AC45" s="31">
        <v>4</v>
      </c>
      <c r="AD45" s="31">
        <v>4</v>
      </c>
      <c r="AE45" s="31">
        <v>4</v>
      </c>
      <c r="AF45" s="31">
        <v>4</v>
      </c>
      <c r="AG45" s="31">
        <v>4</v>
      </c>
      <c r="AH45" s="31">
        <v>4</v>
      </c>
    </row>
    <row x14ac:dyDescent="0.25" r="46" customHeight="1" ht="18.7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x14ac:dyDescent="0.25" r="47" customHeight="1" ht="18.75">
      <c r="A47" s="38" t="s">
        <v>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x14ac:dyDescent="0.25" r="48" customHeight="1" ht="18.75">
      <c r="A48" s="209" t="s">
        <v>1078</v>
      </c>
      <c r="B48" s="40" t="s">
        <v>1079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x14ac:dyDescent="0.25" r="49" customHeight="1" ht="18.75">
      <c r="A49" s="30"/>
      <c r="B49" s="40" t="s">
        <v>1080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x14ac:dyDescent="0.25" r="50" customHeight="1" ht="18.75">
      <c r="A50" s="30"/>
      <c r="B50" s="40" t="s">
        <v>1081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</sheetData>
  <mergeCells count="6">
    <mergeCell ref="B3:D3"/>
    <mergeCell ref="F3:O3"/>
    <mergeCell ref="B4:D4"/>
    <mergeCell ref="F4:O5"/>
    <mergeCell ref="B5:D5"/>
    <mergeCell ref="A48:A5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54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</row>
    <row x14ac:dyDescent="0.25" r="3" customHeight="1" ht="18.75">
      <c r="A3" s="1" t="s">
        <v>2</v>
      </c>
      <c r="B3" s="5">
        <v>47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</row>
    <row x14ac:dyDescent="0.25" r="4" customHeight="1" ht="18.75">
      <c r="A4" s="1" t="s">
        <v>4</v>
      </c>
      <c r="B4" s="7" t="s">
        <v>1063</v>
      </c>
      <c r="C4" s="7"/>
      <c r="D4" s="7"/>
      <c r="E4" s="2"/>
      <c r="F4" s="124" t="s">
        <v>1070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56" t="s">
        <v>41</v>
      </c>
      <c r="AK7" s="56" t="s">
        <v>42</v>
      </c>
    </row>
    <row x14ac:dyDescent="0.25" r="8" customHeight="1" ht="18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31" t="s">
        <v>932</v>
      </c>
      <c r="J8" s="31" t="s">
        <v>932</v>
      </c>
      <c r="K8" s="31" t="s">
        <v>932</v>
      </c>
      <c r="L8" s="31" t="s">
        <v>932</v>
      </c>
      <c r="M8" s="31" t="s">
        <v>932</v>
      </c>
      <c r="N8" s="31" t="s">
        <v>932</v>
      </c>
      <c r="O8" s="31" t="s">
        <v>932</v>
      </c>
      <c r="P8" s="31" t="s">
        <v>933</v>
      </c>
      <c r="Q8" s="31" t="s">
        <v>933</v>
      </c>
      <c r="R8" s="218" t="s">
        <v>358</v>
      </c>
      <c r="S8" s="31" t="s">
        <v>934</v>
      </c>
      <c r="T8" s="218" t="s">
        <v>358</v>
      </c>
      <c r="U8" s="218" t="s">
        <v>358</v>
      </c>
      <c r="V8" s="143" t="s">
        <v>358</v>
      </c>
      <c r="W8" s="143" t="s">
        <v>358</v>
      </c>
      <c r="X8" s="31" t="s">
        <v>68</v>
      </c>
      <c r="Y8" s="143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  <c r="AI8" s="3"/>
      <c r="AJ8" s="143" t="s">
        <v>358</v>
      </c>
      <c r="AK8" s="143" t="s">
        <v>358</v>
      </c>
    </row>
    <row x14ac:dyDescent="0.25" r="9" customHeight="1" ht="15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31" t="s">
        <v>937</v>
      </c>
      <c r="J9" s="31" t="s">
        <v>937</v>
      </c>
      <c r="K9" s="31" t="s">
        <v>939</v>
      </c>
      <c r="L9" s="31" t="s">
        <v>937</v>
      </c>
      <c r="M9" s="31" t="s">
        <v>940</v>
      </c>
      <c r="N9" s="31" t="s">
        <v>932</v>
      </c>
      <c r="O9" s="31" t="s">
        <v>932</v>
      </c>
      <c r="P9" s="31" t="s">
        <v>932</v>
      </c>
      <c r="Q9" s="31" t="s">
        <v>932</v>
      </c>
      <c r="R9" s="220" t="s">
        <v>358</v>
      </c>
      <c r="S9" s="31" t="s">
        <v>937</v>
      </c>
      <c r="T9" s="220" t="s">
        <v>358</v>
      </c>
      <c r="U9" s="220" t="s">
        <v>358</v>
      </c>
      <c r="V9" s="143" t="s">
        <v>358</v>
      </c>
      <c r="W9" s="143" t="s">
        <v>358</v>
      </c>
      <c r="X9" s="31" t="s">
        <v>68</v>
      </c>
      <c r="Y9" s="143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  <c r="AI9" s="3"/>
      <c r="AJ9" s="143" t="s">
        <v>358</v>
      </c>
      <c r="AK9" s="143" t="s">
        <v>358</v>
      </c>
    </row>
    <row x14ac:dyDescent="0.25" r="10" customHeight="1" ht="18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17">
        <v>504</v>
      </c>
      <c r="J10" s="117">
        <v>504</v>
      </c>
      <c r="K10" s="117">
        <v>515</v>
      </c>
      <c r="L10" s="117">
        <v>504</v>
      </c>
      <c r="M10" s="117">
        <v>514</v>
      </c>
      <c r="N10" s="117">
        <v>503</v>
      </c>
      <c r="O10" s="117">
        <v>503</v>
      </c>
      <c r="P10" s="117">
        <v>503</v>
      </c>
      <c r="Q10" s="117">
        <v>503</v>
      </c>
      <c r="R10" s="144"/>
      <c r="S10" s="117">
        <v>504</v>
      </c>
      <c r="T10" s="144"/>
      <c r="U10" s="221"/>
      <c r="V10" s="144"/>
      <c r="W10" s="144"/>
      <c r="X10" s="117">
        <v>501</v>
      </c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3"/>
      <c r="AJ10" s="144"/>
      <c r="AK10" s="144"/>
    </row>
    <row x14ac:dyDescent="0.25" r="11" customHeight="1" ht="18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31" t="s">
        <v>49</v>
      </c>
      <c r="J11" s="31" t="s">
        <v>49</v>
      </c>
      <c r="K11" s="31" t="s">
        <v>49</v>
      </c>
      <c r="L11" s="31" t="s">
        <v>49</v>
      </c>
      <c r="M11" s="31" t="s">
        <v>49</v>
      </c>
      <c r="N11" s="31" t="s">
        <v>49</v>
      </c>
      <c r="O11" s="31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218" t="s">
        <v>49</v>
      </c>
      <c r="V11" s="143" t="s">
        <v>49</v>
      </c>
      <c r="W11" s="143" t="s">
        <v>49</v>
      </c>
      <c r="X11" s="31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  <c r="AI11" s="3"/>
      <c r="AJ11" s="143" t="s">
        <v>49</v>
      </c>
      <c r="AK11" s="143" t="s">
        <v>49</v>
      </c>
    </row>
    <row x14ac:dyDescent="0.25" r="12" customHeight="1" ht="18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218" t="s">
        <v>49</v>
      </c>
      <c r="V12" s="143" t="s">
        <v>49</v>
      </c>
      <c r="W12" s="143" t="s">
        <v>49</v>
      </c>
      <c r="X12" s="31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  <c r="AI12" s="3"/>
      <c r="AJ12" s="143" t="s">
        <v>49</v>
      </c>
      <c r="AK12" s="143" t="s">
        <v>49</v>
      </c>
    </row>
    <row x14ac:dyDescent="0.25" r="13" customHeight="1" ht="18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218" t="s">
        <v>49</v>
      </c>
      <c r="V13" s="143" t="s">
        <v>49</v>
      </c>
      <c r="W13" s="143" t="s">
        <v>49</v>
      </c>
      <c r="X13" s="31" t="s">
        <v>52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  <c r="AI13" s="3"/>
      <c r="AJ13" s="143" t="s">
        <v>49</v>
      </c>
      <c r="AK13" s="143" t="s">
        <v>49</v>
      </c>
    </row>
    <row x14ac:dyDescent="0.25" r="14" customHeight="1" ht="18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218" t="s">
        <v>49</v>
      </c>
      <c r="V14" s="143" t="s">
        <v>49</v>
      </c>
      <c r="W14" s="143" t="s">
        <v>49</v>
      </c>
      <c r="X14" s="31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  <c r="AI14" s="3"/>
      <c r="AJ14" s="143" t="s">
        <v>49</v>
      </c>
      <c r="AK14" s="143" t="s">
        <v>49</v>
      </c>
    </row>
    <row x14ac:dyDescent="0.25" r="15" customHeight="1" ht="18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31" t="s">
        <v>49</v>
      </c>
      <c r="J15" s="31" t="s">
        <v>49</v>
      </c>
      <c r="K15" s="31" t="s">
        <v>49</v>
      </c>
      <c r="L15" s="31" t="s">
        <v>49</v>
      </c>
      <c r="M15" s="31" t="s">
        <v>49</v>
      </c>
      <c r="N15" s="31" t="s">
        <v>49</v>
      </c>
      <c r="O15" s="31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218" t="s">
        <v>49</v>
      </c>
      <c r="V15" s="143" t="s">
        <v>49</v>
      </c>
      <c r="W15" s="143" t="s">
        <v>49</v>
      </c>
      <c r="X15" s="31" t="s">
        <v>49</v>
      </c>
      <c r="Y15" s="143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143" t="s">
        <v>49</v>
      </c>
      <c r="AE15" s="143" t="s">
        <v>49</v>
      </c>
      <c r="AF15" s="143" t="s">
        <v>49</v>
      </c>
      <c r="AG15" s="143" t="s">
        <v>49</v>
      </c>
      <c r="AH15" s="143" t="s">
        <v>49</v>
      </c>
      <c r="AI15" s="3"/>
      <c r="AJ15" s="143" t="s">
        <v>49</v>
      </c>
      <c r="AK15" s="143" t="s">
        <v>49</v>
      </c>
    </row>
    <row x14ac:dyDescent="0.25" r="16" customHeight="1" ht="18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31" t="s">
        <v>49</v>
      </c>
      <c r="J16" s="31" t="s">
        <v>49</v>
      </c>
      <c r="K16" s="31" t="s">
        <v>49</v>
      </c>
      <c r="L16" s="31" t="s">
        <v>49</v>
      </c>
      <c r="M16" s="31" t="s">
        <v>49</v>
      </c>
      <c r="N16" s="31" t="s">
        <v>49</v>
      </c>
      <c r="O16" s="31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218" t="s">
        <v>49</v>
      </c>
      <c r="V16" s="143" t="s">
        <v>49</v>
      </c>
      <c r="W16" s="143" t="s">
        <v>49</v>
      </c>
      <c r="X16" s="31" t="s">
        <v>49</v>
      </c>
      <c r="Y16" s="143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143" t="s">
        <v>49</v>
      </c>
      <c r="AE16" s="143" t="s">
        <v>49</v>
      </c>
      <c r="AF16" s="143" t="s">
        <v>49</v>
      </c>
      <c r="AG16" s="143" t="s">
        <v>49</v>
      </c>
      <c r="AH16" s="143" t="s">
        <v>49</v>
      </c>
      <c r="AI16" s="3"/>
      <c r="AJ16" s="143" t="s">
        <v>49</v>
      </c>
      <c r="AK16" s="143" t="s">
        <v>49</v>
      </c>
    </row>
    <row x14ac:dyDescent="0.25" r="17" customHeight="1" ht="15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31" t="s">
        <v>941</v>
      </c>
      <c r="J17" s="31" t="s">
        <v>941</v>
      </c>
      <c r="K17" s="31" t="s">
        <v>941</v>
      </c>
      <c r="L17" s="31" t="s">
        <v>941</v>
      </c>
      <c r="M17" s="31" t="s">
        <v>941</v>
      </c>
      <c r="N17" s="31" t="s">
        <v>941</v>
      </c>
      <c r="O17" s="31" t="s">
        <v>941</v>
      </c>
      <c r="P17" s="31" t="s">
        <v>57</v>
      </c>
      <c r="Q17" s="31" t="s">
        <v>57</v>
      </c>
      <c r="R17" s="220" t="s">
        <v>358</v>
      </c>
      <c r="S17" s="31" t="s">
        <v>941</v>
      </c>
      <c r="T17" s="220" t="s">
        <v>358</v>
      </c>
      <c r="U17" s="220" t="s">
        <v>358</v>
      </c>
      <c r="V17" s="143" t="s">
        <v>358</v>
      </c>
      <c r="W17" s="143" t="s">
        <v>358</v>
      </c>
      <c r="X17" s="31" t="s">
        <v>941</v>
      </c>
      <c r="Y17" s="143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  <c r="AI17" s="3"/>
      <c r="AJ17" s="143" t="s">
        <v>358</v>
      </c>
      <c r="AK17" s="143" t="s">
        <v>358</v>
      </c>
    </row>
    <row x14ac:dyDescent="0.25" r="18" customHeight="1" ht="18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31" t="s">
        <v>942</v>
      </c>
      <c r="J18" s="31" t="s">
        <v>942</v>
      </c>
      <c r="K18" s="31" t="s">
        <v>942</v>
      </c>
      <c r="L18" s="31" t="s">
        <v>942</v>
      </c>
      <c r="M18" s="31" t="s">
        <v>942</v>
      </c>
      <c r="N18" s="31" t="s">
        <v>942</v>
      </c>
      <c r="O18" s="31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218" t="s">
        <v>942</v>
      </c>
      <c r="V18" s="143" t="s">
        <v>942</v>
      </c>
      <c r="W18" s="143" t="s">
        <v>942</v>
      </c>
      <c r="X18" s="31" t="s">
        <v>59</v>
      </c>
      <c r="Y18" s="143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143" t="s">
        <v>942</v>
      </c>
      <c r="AE18" s="143" t="s">
        <v>942</v>
      </c>
      <c r="AF18" s="143" t="s">
        <v>942</v>
      </c>
      <c r="AG18" s="143" t="s">
        <v>942</v>
      </c>
      <c r="AH18" s="143" t="s">
        <v>942</v>
      </c>
      <c r="AI18" s="3"/>
      <c r="AJ18" s="143" t="s">
        <v>942</v>
      </c>
      <c r="AK18" s="143" t="s">
        <v>942</v>
      </c>
    </row>
    <row x14ac:dyDescent="0.25" r="19" customHeight="1" ht="18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33">
        <v>3</v>
      </c>
      <c r="J19" s="33">
        <v>3</v>
      </c>
      <c r="K19" s="33">
        <v>2</v>
      </c>
      <c r="L19" s="33">
        <v>3</v>
      </c>
      <c r="M19" s="33">
        <v>3</v>
      </c>
      <c r="N19" s="33">
        <v>4</v>
      </c>
      <c r="O19" s="33">
        <v>4</v>
      </c>
      <c r="P19" s="33">
        <v>4</v>
      </c>
      <c r="Q19" s="33">
        <v>4</v>
      </c>
      <c r="R19" s="222">
        <v>3</v>
      </c>
      <c r="S19" s="33">
        <v>3</v>
      </c>
      <c r="T19" s="222">
        <v>3</v>
      </c>
      <c r="U19" s="223">
        <v>3</v>
      </c>
      <c r="V19" s="224">
        <v>3</v>
      </c>
      <c r="W19" s="224">
        <v>3</v>
      </c>
      <c r="X19" s="31">
        <v>6</v>
      </c>
      <c r="Y19" s="224">
        <v>3</v>
      </c>
      <c r="Z19" s="224">
        <v>3</v>
      </c>
      <c r="AA19" s="224">
        <v>3</v>
      </c>
      <c r="AB19" s="224">
        <v>3</v>
      </c>
      <c r="AC19" s="224">
        <v>3</v>
      </c>
      <c r="AD19" s="224">
        <v>3</v>
      </c>
      <c r="AE19" s="224">
        <v>3</v>
      </c>
      <c r="AF19" s="224">
        <v>3</v>
      </c>
      <c r="AG19" s="224">
        <v>3</v>
      </c>
      <c r="AH19" s="224">
        <v>3</v>
      </c>
      <c r="AI19" s="3"/>
      <c r="AJ19" s="224">
        <v>3</v>
      </c>
      <c r="AK19" s="224">
        <v>3</v>
      </c>
    </row>
    <row x14ac:dyDescent="0.25" r="20" customHeight="1" ht="18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943</v>
      </c>
      <c r="L20" s="31" t="s">
        <v>62</v>
      </c>
      <c r="M20" s="31" t="s">
        <v>943</v>
      </c>
      <c r="N20" s="31" t="s">
        <v>62</v>
      </c>
      <c r="O20" s="31" t="s">
        <v>62</v>
      </c>
      <c r="P20" s="31" t="s">
        <v>62</v>
      </c>
      <c r="Q20" s="31" t="s">
        <v>62</v>
      </c>
      <c r="R20" s="143" t="s">
        <v>943</v>
      </c>
      <c r="S20" s="31" t="s">
        <v>62</v>
      </c>
      <c r="T20" s="143" t="s">
        <v>943</v>
      </c>
      <c r="U20" s="218" t="s">
        <v>943</v>
      </c>
      <c r="V20" s="143" t="s">
        <v>943</v>
      </c>
      <c r="W20" s="143" t="s">
        <v>943</v>
      </c>
      <c r="X20" s="31" t="s">
        <v>62</v>
      </c>
      <c r="Y20" s="143" t="s">
        <v>943</v>
      </c>
      <c r="Z20" s="143" t="s">
        <v>943</v>
      </c>
      <c r="AA20" s="143" t="s">
        <v>943</v>
      </c>
      <c r="AB20" s="143" t="s">
        <v>943</v>
      </c>
      <c r="AC20" s="143" t="s">
        <v>943</v>
      </c>
      <c r="AD20" s="143" t="s">
        <v>943</v>
      </c>
      <c r="AE20" s="143" t="s">
        <v>943</v>
      </c>
      <c r="AF20" s="143" t="s">
        <v>943</v>
      </c>
      <c r="AG20" s="143" t="s">
        <v>943</v>
      </c>
      <c r="AH20" s="143" t="s">
        <v>943</v>
      </c>
      <c r="AI20" s="3"/>
      <c r="AJ20" s="146" t="s">
        <v>943</v>
      </c>
      <c r="AK20" s="146" t="s">
        <v>943</v>
      </c>
    </row>
    <row x14ac:dyDescent="0.25" r="21" customHeight="1" ht="18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1">
        <v>1</v>
      </c>
      <c r="O21" s="31">
        <v>1</v>
      </c>
      <c r="P21" s="31">
        <v>1</v>
      </c>
      <c r="Q21" s="31">
        <v>1</v>
      </c>
      <c r="R21" s="143">
        <v>0</v>
      </c>
      <c r="S21" s="31">
        <v>1</v>
      </c>
      <c r="T21" s="143">
        <v>0</v>
      </c>
      <c r="U21" s="143">
        <v>0</v>
      </c>
      <c r="V21" s="146">
        <v>0</v>
      </c>
      <c r="W21" s="146">
        <v>0</v>
      </c>
      <c r="X21" s="33">
        <v>1</v>
      </c>
      <c r="Y21" s="146">
        <v>0</v>
      </c>
      <c r="Z21" s="146">
        <v>0</v>
      </c>
      <c r="AA21" s="146">
        <v>0</v>
      </c>
      <c r="AB21" s="146">
        <v>0</v>
      </c>
      <c r="AC21" s="146">
        <v>0</v>
      </c>
      <c r="AD21" s="146">
        <v>0</v>
      </c>
      <c r="AE21" s="146">
        <v>0</v>
      </c>
      <c r="AF21" s="146">
        <v>0</v>
      </c>
      <c r="AG21" s="146">
        <v>0</v>
      </c>
      <c r="AH21" s="146">
        <v>0</v>
      </c>
      <c r="AI21" s="3"/>
      <c r="AJ21" s="143">
        <v>0</v>
      </c>
      <c r="AK21" s="143">
        <v>0</v>
      </c>
    </row>
    <row x14ac:dyDescent="0.25" r="22" customHeight="1" ht="18.75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</row>
    <row x14ac:dyDescent="0.25" r="23" customHeight="1" ht="18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31" t="s">
        <v>207</v>
      </c>
      <c r="N23" s="31" t="s">
        <v>207</v>
      </c>
      <c r="O23" s="31" t="s">
        <v>207</v>
      </c>
      <c r="P23" s="218" t="s">
        <v>358</v>
      </c>
      <c r="Q23" s="218" t="s">
        <v>358</v>
      </c>
      <c r="R23" s="139" t="s">
        <v>207</v>
      </c>
      <c r="S23" s="218" t="s">
        <v>358</v>
      </c>
      <c r="T23" s="31" t="s">
        <v>207</v>
      </c>
      <c r="U23" s="31" t="s">
        <v>207</v>
      </c>
      <c r="V23" s="31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31" t="s">
        <v>207</v>
      </c>
      <c r="AH23" s="114" t="s">
        <v>207</v>
      </c>
      <c r="AI23" s="3"/>
      <c r="AJ23" s="31" t="s">
        <v>224</v>
      </c>
      <c r="AK23" s="31" t="s">
        <v>224</v>
      </c>
    </row>
    <row x14ac:dyDescent="0.25" r="24" customHeight="1" ht="15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31" t="s">
        <v>210</v>
      </c>
      <c r="N24" s="31" t="s">
        <v>210</v>
      </c>
      <c r="O24" s="31" t="s">
        <v>210</v>
      </c>
      <c r="P24" s="220" t="s">
        <v>358</v>
      </c>
      <c r="Q24" s="220" t="s">
        <v>358</v>
      </c>
      <c r="R24" s="139" t="s">
        <v>212</v>
      </c>
      <c r="S24" s="220" t="s">
        <v>358</v>
      </c>
      <c r="T24" s="31" t="s">
        <v>944</v>
      </c>
      <c r="U24" s="31" t="s">
        <v>210</v>
      </c>
      <c r="V24" s="31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31" t="s">
        <v>212</v>
      </c>
      <c r="AH24" s="116" t="s">
        <v>212</v>
      </c>
      <c r="AI24" s="3"/>
      <c r="AJ24" s="31" t="s">
        <v>227</v>
      </c>
      <c r="AK24" s="31" t="s">
        <v>227</v>
      </c>
    </row>
    <row x14ac:dyDescent="0.25" r="25" customHeight="1" ht="15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17">
        <v>52</v>
      </c>
      <c r="N25" s="117">
        <v>52</v>
      </c>
      <c r="O25" s="117">
        <v>52</v>
      </c>
      <c r="P25" s="144"/>
      <c r="Q25" s="144"/>
      <c r="R25" s="167">
        <v>48</v>
      </c>
      <c r="S25" s="144"/>
      <c r="T25" s="117">
        <v>159</v>
      </c>
      <c r="U25" s="117">
        <v>52</v>
      </c>
      <c r="V25" s="11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17">
        <v>48</v>
      </c>
      <c r="AH25" s="137">
        <v>48</v>
      </c>
      <c r="AI25" s="3"/>
      <c r="AJ25" s="117">
        <v>56</v>
      </c>
      <c r="AK25" s="117">
        <v>56</v>
      </c>
    </row>
    <row x14ac:dyDescent="0.25" r="26" customHeight="1" ht="18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33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3" t="s">
        <v>52</v>
      </c>
      <c r="S26" s="143" t="s">
        <v>49</v>
      </c>
      <c r="T26" s="33" t="s">
        <v>52</v>
      </c>
      <c r="U26" s="33" t="s">
        <v>52</v>
      </c>
      <c r="V26" s="31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31" t="s">
        <v>52</v>
      </c>
      <c r="AH26" s="116" t="s">
        <v>52</v>
      </c>
      <c r="AI26" s="3"/>
      <c r="AJ26" s="31" t="s">
        <v>52</v>
      </c>
      <c r="AK26" s="31" t="s">
        <v>52</v>
      </c>
    </row>
    <row x14ac:dyDescent="0.25" r="27" customHeight="1" ht="18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31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31" t="s">
        <v>49</v>
      </c>
      <c r="S27" s="143" t="s">
        <v>49</v>
      </c>
      <c r="T27" s="31" t="s">
        <v>49</v>
      </c>
      <c r="U27" s="31" t="s">
        <v>49</v>
      </c>
      <c r="V27" s="31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31" t="s">
        <v>49</v>
      </c>
      <c r="AH27" s="114" t="s">
        <v>49</v>
      </c>
      <c r="AI27" s="3"/>
      <c r="AJ27" s="31" t="s">
        <v>49</v>
      </c>
      <c r="AK27" s="31" t="s">
        <v>49</v>
      </c>
    </row>
    <row x14ac:dyDescent="0.25" r="28" customHeight="1" ht="18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31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31" t="s">
        <v>52</v>
      </c>
      <c r="S28" s="143" t="s">
        <v>49</v>
      </c>
      <c r="T28" s="31" t="s">
        <v>52</v>
      </c>
      <c r="U28" s="31" t="s">
        <v>52</v>
      </c>
      <c r="V28" s="31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31" t="s">
        <v>52</v>
      </c>
      <c r="AH28" s="114" t="s">
        <v>52</v>
      </c>
      <c r="AI28" s="3"/>
      <c r="AJ28" s="31" t="s">
        <v>52</v>
      </c>
      <c r="AK28" s="31" t="s">
        <v>52</v>
      </c>
    </row>
    <row x14ac:dyDescent="0.25" r="29" customHeight="1" ht="18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31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31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31" t="s">
        <v>49</v>
      </c>
      <c r="AH29" s="114" t="s">
        <v>49</v>
      </c>
      <c r="AI29" s="3"/>
      <c r="AJ29" s="31" t="s">
        <v>49</v>
      </c>
      <c r="AK29" s="31" t="s">
        <v>49</v>
      </c>
    </row>
    <row x14ac:dyDescent="0.25" r="30" customHeight="1" ht="18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31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31" t="s">
        <v>143</v>
      </c>
      <c r="S30" s="143" t="s">
        <v>143</v>
      </c>
      <c r="T30" s="31" t="s">
        <v>143</v>
      </c>
      <c r="U30" s="31" t="s">
        <v>143</v>
      </c>
      <c r="V30" s="31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31" t="s">
        <v>143</v>
      </c>
      <c r="AH30" s="114" t="s">
        <v>143</v>
      </c>
      <c r="AI30" s="3"/>
      <c r="AJ30" s="31" t="s">
        <v>133</v>
      </c>
      <c r="AK30" s="31" t="s">
        <v>133</v>
      </c>
    </row>
    <row x14ac:dyDescent="0.25" r="31" customHeight="1" ht="18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31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4/3</f>
      </c>
      <c r="S31" s="143">
        <v>0</v>
      </c>
      <c r="T31" s="31">
        <f>AVERAGE(1,1,-0.5)</f>
      </c>
      <c r="U31" s="31">
        <v>0.5</v>
      </c>
      <c r="V31" s="31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31">
        <f>4/3</f>
      </c>
      <c r="AH31" s="114">
        <f>4/3</f>
      </c>
      <c r="AI31" s="3"/>
      <c r="AJ31" s="31">
        <v>-0.5</v>
      </c>
      <c r="AK31" s="31">
        <v>-0.5</v>
      </c>
    </row>
    <row x14ac:dyDescent="0.25" r="32" customHeight="1" ht="18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31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31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31" t="s">
        <v>169</v>
      </c>
      <c r="AH32" s="114" t="s">
        <v>169</v>
      </c>
      <c r="AI32" s="3"/>
      <c r="AJ32" s="31" t="s">
        <v>169</v>
      </c>
      <c r="AK32" s="31" t="s">
        <v>169</v>
      </c>
    </row>
    <row x14ac:dyDescent="0.25" r="33" customHeight="1" ht="18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143">
        <v>0</v>
      </c>
      <c r="Q33" s="143">
        <v>0</v>
      </c>
      <c r="R33" s="31">
        <v>2</v>
      </c>
      <c r="S33" s="143">
        <v>0</v>
      </c>
      <c r="T33" s="31">
        <v>2</v>
      </c>
      <c r="U33" s="31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31">
        <v>2</v>
      </c>
      <c r="AH33" s="114">
        <v>2</v>
      </c>
      <c r="AI33" s="3"/>
      <c r="AJ33" s="31">
        <v>2</v>
      </c>
      <c r="AK33" s="31">
        <v>2</v>
      </c>
    </row>
    <row x14ac:dyDescent="0.25" r="34" customHeight="1" ht="18.7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</row>
    <row x14ac:dyDescent="0.25" r="35" customHeight="1" ht="18.75">
      <c r="A35" s="30" t="s">
        <v>43</v>
      </c>
      <c r="B35" s="31" t="s">
        <v>141</v>
      </c>
      <c r="C35" s="31" t="s">
        <v>327</v>
      </c>
      <c r="D35" s="31" t="s">
        <v>327</v>
      </c>
      <c r="E35" s="31" t="s">
        <v>327</v>
      </c>
      <c r="F35" s="31" t="s">
        <v>327</v>
      </c>
      <c r="G35" s="31" t="s">
        <v>327</v>
      </c>
      <c r="H35" s="31" t="s">
        <v>327</v>
      </c>
      <c r="I35" s="31" t="s">
        <v>327</v>
      </c>
      <c r="J35" s="31" t="s">
        <v>327</v>
      </c>
      <c r="K35" s="31" t="s">
        <v>327</v>
      </c>
      <c r="L35" s="31" t="s">
        <v>327</v>
      </c>
      <c r="M35" s="31" t="s">
        <v>327</v>
      </c>
      <c r="N35" s="31" t="s">
        <v>327</v>
      </c>
      <c r="O35" s="31" t="s">
        <v>327</v>
      </c>
      <c r="P35" s="31" t="s">
        <v>327</v>
      </c>
      <c r="Q35" s="31" t="s">
        <v>327</v>
      </c>
      <c r="R35" s="31" t="s">
        <v>327</v>
      </c>
      <c r="S35" s="31" t="s">
        <v>327</v>
      </c>
      <c r="T35" s="31" t="s">
        <v>327</v>
      </c>
      <c r="U35" s="31" t="s">
        <v>327</v>
      </c>
      <c r="V35" s="31" t="s">
        <v>327</v>
      </c>
      <c r="W35" s="31" t="s">
        <v>327</v>
      </c>
      <c r="X35" s="31" t="s">
        <v>327</v>
      </c>
      <c r="Y35" s="31" t="s">
        <v>327</v>
      </c>
      <c r="Z35" s="31" t="s">
        <v>327</v>
      </c>
      <c r="AA35" s="31" t="s">
        <v>327</v>
      </c>
      <c r="AB35" s="31" t="s">
        <v>327</v>
      </c>
      <c r="AC35" s="31" t="s">
        <v>327</v>
      </c>
      <c r="AD35" s="31" t="s">
        <v>327</v>
      </c>
      <c r="AE35" s="31" t="s">
        <v>327</v>
      </c>
      <c r="AF35" s="31" t="s">
        <v>327</v>
      </c>
      <c r="AG35" s="31" t="s">
        <v>327</v>
      </c>
      <c r="AH35" s="31" t="s">
        <v>327</v>
      </c>
      <c r="AI35" s="3"/>
      <c r="AJ35" s="31" t="s">
        <v>327</v>
      </c>
      <c r="AK35" s="31" t="s">
        <v>327</v>
      </c>
    </row>
    <row x14ac:dyDescent="0.25" r="36" customHeight="1" ht="15.75">
      <c r="A36" s="30" t="s">
        <v>45</v>
      </c>
      <c r="B36" s="33" t="s">
        <v>142</v>
      </c>
      <c r="C36" s="33" t="s">
        <v>142</v>
      </c>
      <c r="D36" s="33" t="s">
        <v>142</v>
      </c>
      <c r="E36" s="33" t="s">
        <v>142</v>
      </c>
      <c r="F36" s="33" t="s">
        <v>142</v>
      </c>
      <c r="G36" s="33" t="s">
        <v>142</v>
      </c>
      <c r="H36" s="33" t="s">
        <v>142</v>
      </c>
      <c r="I36" s="33" t="s">
        <v>142</v>
      </c>
      <c r="J36" s="33" t="s">
        <v>142</v>
      </c>
      <c r="K36" s="33" t="s">
        <v>142</v>
      </c>
      <c r="L36" s="33" t="s">
        <v>142</v>
      </c>
      <c r="M36" s="33" t="s">
        <v>142</v>
      </c>
      <c r="N36" s="33" t="s">
        <v>142</v>
      </c>
      <c r="O36" s="33" t="s">
        <v>142</v>
      </c>
      <c r="P36" s="33" t="s">
        <v>142</v>
      </c>
      <c r="Q36" s="33" t="s">
        <v>142</v>
      </c>
      <c r="R36" s="33" t="s">
        <v>142</v>
      </c>
      <c r="S36" s="33" t="s">
        <v>142</v>
      </c>
      <c r="T36" s="33" t="s">
        <v>142</v>
      </c>
      <c r="U36" s="33" t="s">
        <v>142</v>
      </c>
      <c r="V36" s="33" t="s">
        <v>142</v>
      </c>
      <c r="W36" s="33" t="s">
        <v>142</v>
      </c>
      <c r="X36" s="33" t="s">
        <v>142</v>
      </c>
      <c r="Y36" s="33" t="s">
        <v>142</v>
      </c>
      <c r="Z36" s="33" t="s">
        <v>142</v>
      </c>
      <c r="AA36" s="33" t="s">
        <v>142</v>
      </c>
      <c r="AB36" s="33" t="s">
        <v>142</v>
      </c>
      <c r="AC36" s="33" t="s">
        <v>142</v>
      </c>
      <c r="AD36" s="33" t="s">
        <v>142</v>
      </c>
      <c r="AE36" s="33" t="s">
        <v>142</v>
      </c>
      <c r="AF36" s="33" t="s">
        <v>142</v>
      </c>
      <c r="AG36" s="33" t="s">
        <v>142</v>
      </c>
      <c r="AH36" s="33" t="s">
        <v>142</v>
      </c>
      <c r="AI36" s="3"/>
      <c r="AJ36" s="33" t="s">
        <v>142</v>
      </c>
      <c r="AK36" s="33" t="s">
        <v>142</v>
      </c>
    </row>
    <row x14ac:dyDescent="0.25" r="37" customHeight="1" ht="18.75">
      <c r="A37" s="35" t="s">
        <v>47</v>
      </c>
      <c r="B37" s="196">
        <v>5</v>
      </c>
      <c r="C37" s="196">
        <v>5</v>
      </c>
      <c r="D37" s="196">
        <v>5</v>
      </c>
      <c r="E37" s="196">
        <v>5</v>
      </c>
      <c r="F37" s="196">
        <v>5</v>
      </c>
      <c r="G37" s="196">
        <v>5</v>
      </c>
      <c r="H37" s="196">
        <v>5</v>
      </c>
      <c r="I37" s="196">
        <v>5</v>
      </c>
      <c r="J37" s="196">
        <v>5</v>
      </c>
      <c r="K37" s="196">
        <v>5</v>
      </c>
      <c r="L37" s="196">
        <v>5</v>
      </c>
      <c r="M37" s="196">
        <v>5</v>
      </c>
      <c r="N37" s="196">
        <v>5</v>
      </c>
      <c r="O37" s="196">
        <v>5</v>
      </c>
      <c r="P37" s="196">
        <v>5</v>
      </c>
      <c r="Q37" s="196">
        <v>5</v>
      </c>
      <c r="R37" s="196">
        <v>5</v>
      </c>
      <c r="S37" s="196">
        <v>5</v>
      </c>
      <c r="T37" s="196">
        <v>5</v>
      </c>
      <c r="U37" s="196">
        <v>5</v>
      </c>
      <c r="V37" s="196">
        <v>5</v>
      </c>
      <c r="W37" s="196">
        <v>5</v>
      </c>
      <c r="X37" s="196">
        <v>5</v>
      </c>
      <c r="Y37" s="196">
        <v>5</v>
      </c>
      <c r="Z37" s="196">
        <v>5</v>
      </c>
      <c r="AA37" s="196">
        <v>5</v>
      </c>
      <c r="AB37" s="196">
        <v>5</v>
      </c>
      <c r="AC37" s="196">
        <v>5</v>
      </c>
      <c r="AD37" s="196">
        <v>5</v>
      </c>
      <c r="AE37" s="196">
        <v>5</v>
      </c>
      <c r="AF37" s="196">
        <v>5</v>
      </c>
      <c r="AG37" s="196">
        <v>5</v>
      </c>
      <c r="AH37" s="196">
        <v>5</v>
      </c>
      <c r="AI37" s="3"/>
      <c r="AJ37" s="196">
        <v>5</v>
      </c>
      <c r="AK37" s="196">
        <v>5</v>
      </c>
    </row>
    <row x14ac:dyDescent="0.25" r="38" customHeight="1" ht="18.75">
      <c r="A38" s="30" t="s">
        <v>123</v>
      </c>
      <c r="B38" s="31" t="s">
        <v>52</v>
      </c>
      <c r="C38" s="31" t="s">
        <v>52</v>
      </c>
      <c r="D38" s="31" t="s">
        <v>52</v>
      </c>
      <c r="E38" s="31" t="s">
        <v>52</v>
      </c>
      <c r="F38" s="31" t="s">
        <v>52</v>
      </c>
      <c r="G38" s="31" t="s">
        <v>52</v>
      </c>
      <c r="H38" s="31" t="s">
        <v>52</v>
      </c>
      <c r="I38" s="31" t="s">
        <v>52</v>
      </c>
      <c r="J38" s="31" t="s">
        <v>52</v>
      </c>
      <c r="K38" s="31" t="s">
        <v>52</v>
      </c>
      <c r="L38" s="31" t="s">
        <v>52</v>
      </c>
      <c r="M38" s="31" t="s">
        <v>52</v>
      </c>
      <c r="N38" s="31" t="s">
        <v>52</v>
      </c>
      <c r="O38" s="31" t="s">
        <v>52</v>
      </c>
      <c r="P38" s="31" t="s">
        <v>52</v>
      </c>
      <c r="Q38" s="31" t="s">
        <v>52</v>
      </c>
      <c r="R38" s="31" t="s">
        <v>52</v>
      </c>
      <c r="S38" s="31" t="s">
        <v>52</v>
      </c>
      <c r="T38" s="31" t="s">
        <v>52</v>
      </c>
      <c r="U38" s="31" t="s">
        <v>52</v>
      </c>
      <c r="V38" s="31" t="s">
        <v>52</v>
      </c>
      <c r="W38" s="31" t="s">
        <v>52</v>
      </c>
      <c r="X38" s="31" t="s">
        <v>52</v>
      </c>
      <c r="Y38" s="31" t="s">
        <v>52</v>
      </c>
      <c r="Z38" s="31" t="s">
        <v>52</v>
      </c>
      <c r="AA38" s="31" t="s">
        <v>52</v>
      </c>
      <c r="AB38" s="31" t="s">
        <v>52</v>
      </c>
      <c r="AC38" s="31" t="s">
        <v>52</v>
      </c>
      <c r="AD38" s="31" t="s">
        <v>52</v>
      </c>
      <c r="AE38" s="31" t="s">
        <v>52</v>
      </c>
      <c r="AF38" s="31" t="s">
        <v>52</v>
      </c>
      <c r="AG38" s="31" t="s">
        <v>52</v>
      </c>
      <c r="AH38" s="31" t="s">
        <v>52</v>
      </c>
      <c r="AI38" s="3"/>
      <c r="AJ38" s="31" t="s">
        <v>52</v>
      </c>
      <c r="AK38" s="31" t="s">
        <v>52</v>
      </c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31" t="s">
        <v>49</v>
      </c>
      <c r="T39" s="31" t="s">
        <v>49</v>
      </c>
      <c r="U39" s="31" t="s">
        <v>49</v>
      </c>
      <c r="V39" s="31" t="s">
        <v>49</v>
      </c>
      <c r="W39" s="31" t="s">
        <v>49</v>
      </c>
      <c r="X39" s="31" t="s">
        <v>49</v>
      </c>
      <c r="Y39" s="31" t="s">
        <v>49</v>
      </c>
      <c r="Z39" s="31" t="s">
        <v>49</v>
      </c>
      <c r="AA39" s="31" t="s">
        <v>49</v>
      </c>
      <c r="AB39" s="31" t="s">
        <v>49</v>
      </c>
      <c r="AC39" s="31" t="s">
        <v>49</v>
      </c>
      <c r="AD39" s="31" t="s">
        <v>49</v>
      </c>
      <c r="AE39" s="31" t="s">
        <v>49</v>
      </c>
      <c r="AF39" s="31" t="s">
        <v>49</v>
      </c>
      <c r="AG39" s="31" t="s">
        <v>49</v>
      </c>
      <c r="AH39" s="31" t="s">
        <v>49</v>
      </c>
      <c r="AI39" s="3"/>
      <c r="AJ39" s="31" t="s">
        <v>49</v>
      </c>
      <c r="AK39" s="31" t="s">
        <v>49</v>
      </c>
    </row>
    <row x14ac:dyDescent="0.25" r="40" customHeight="1" ht="18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49</v>
      </c>
      <c r="Q40" s="31" t="s">
        <v>49</v>
      </c>
      <c r="R40" s="31" t="s">
        <v>49</v>
      </c>
      <c r="S40" s="31" t="s">
        <v>49</v>
      </c>
      <c r="T40" s="31" t="s">
        <v>49</v>
      </c>
      <c r="U40" s="31" t="s">
        <v>49</v>
      </c>
      <c r="V40" s="31" t="s">
        <v>49</v>
      </c>
      <c r="W40" s="31" t="s">
        <v>49</v>
      </c>
      <c r="X40" s="31" t="s">
        <v>49</v>
      </c>
      <c r="Y40" s="31" t="s">
        <v>49</v>
      </c>
      <c r="Z40" s="31" t="s">
        <v>49</v>
      </c>
      <c r="AA40" s="31" t="s">
        <v>49</v>
      </c>
      <c r="AB40" s="31" t="s">
        <v>49</v>
      </c>
      <c r="AC40" s="31" t="s">
        <v>49</v>
      </c>
      <c r="AD40" s="31" t="s">
        <v>49</v>
      </c>
      <c r="AE40" s="31" t="s">
        <v>49</v>
      </c>
      <c r="AF40" s="31" t="s">
        <v>49</v>
      </c>
      <c r="AG40" s="31" t="s">
        <v>49</v>
      </c>
      <c r="AH40" s="31" t="s">
        <v>49</v>
      </c>
      <c r="AI40" s="3"/>
      <c r="AJ40" s="31" t="s">
        <v>49</v>
      </c>
      <c r="AK40" s="31" t="s">
        <v>49</v>
      </c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  <c r="W41" s="31" t="s">
        <v>49</v>
      </c>
      <c r="X41" s="31" t="s">
        <v>49</v>
      </c>
      <c r="Y41" s="31" t="s">
        <v>49</v>
      </c>
      <c r="Z41" s="31" t="s">
        <v>49</v>
      </c>
      <c r="AA41" s="31" t="s">
        <v>49</v>
      </c>
      <c r="AB41" s="31" t="s">
        <v>49</v>
      </c>
      <c r="AC41" s="31" t="s">
        <v>49</v>
      </c>
      <c r="AD41" s="31" t="s">
        <v>49</v>
      </c>
      <c r="AE41" s="31" t="s">
        <v>49</v>
      </c>
      <c r="AF41" s="31" t="s">
        <v>49</v>
      </c>
      <c r="AG41" s="31" t="s">
        <v>49</v>
      </c>
      <c r="AH41" s="31" t="s">
        <v>49</v>
      </c>
      <c r="AI41" s="3"/>
      <c r="AJ41" s="31" t="s">
        <v>49</v>
      </c>
      <c r="AK41" s="31" t="s">
        <v>49</v>
      </c>
    </row>
    <row x14ac:dyDescent="0.25" r="42" customHeight="1" ht="18.75">
      <c r="A42" s="30" t="s">
        <v>127</v>
      </c>
      <c r="B42" s="31" t="s">
        <v>143</v>
      </c>
      <c r="C42" s="31" t="s">
        <v>143</v>
      </c>
      <c r="D42" s="31" t="s">
        <v>143</v>
      </c>
      <c r="E42" s="31" t="s">
        <v>143</v>
      </c>
      <c r="F42" s="31" t="s">
        <v>143</v>
      </c>
      <c r="G42" s="31" t="s">
        <v>143</v>
      </c>
      <c r="H42" s="31" t="s">
        <v>143</v>
      </c>
      <c r="I42" s="31" t="s">
        <v>143</v>
      </c>
      <c r="J42" s="31" t="s">
        <v>143</v>
      </c>
      <c r="K42" s="31" t="s">
        <v>143</v>
      </c>
      <c r="L42" s="31" t="s">
        <v>143</v>
      </c>
      <c r="M42" s="31" t="s">
        <v>143</v>
      </c>
      <c r="N42" s="31" t="s">
        <v>143</v>
      </c>
      <c r="O42" s="31" t="s">
        <v>143</v>
      </c>
      <c r="P42" s="31" t="s">
        <v>143</v>
      </c>
      <c r="Q42" s="31" t="s">
        <v>143</v>
      </c>
      <c r="R42" s="31" t="s">
        <v>143</v>
      </c>
      <c r="S42" s="31" t="s">
        <v>143</v>
      </c>
      <c r="T42" s="31" t="s">
        <v>143</v>
      </c>
      <c r="U42" s="31" t="s">
        <v>143</v>
      </c>
      <c r="V42" s="31" t="s">
        <v>143</v>
      </c>
      <c r="W42" s="31" t="s">
        <v>143</v>
      </c>
      <c r="X42" s="31" t="s">
        <v>143</v>
      </c>
      <c r="Y42" s="31" t="s">
        <v>143</v>
      </c>
      <c r="Z42" s="31" t="s">
        <v>143</v>
      </c>
      <c r="AA42" s="31" t="s">
        <v>143</v>
      </c>
      <c r="AB42" s="31" t="s">
        <v>143</v>
      </c>
      <c r="AC42" s="31" t="s">
        <v>143</v>
      </c>
      <c r="AD42" s="31" t="s">
        <v>143</v>
      </c>
      <c r="AE42" s="31" t="s">
        <v>143</v>
      </c>
      <c r="AF42" s="31" t="s">
        <v>143</v>
      </c>
      <c r="AG42" s="31" t="s">
        <v>143</v>
      </c>
      <c r="AH42" s="31" t="s">
        <v>143</v>
      </c>
      <c r="AI42" s="3"/>
      <c r="AJ42" s="31" t="s">
        <v>143</v>
      </c>
      <c r="AK42" s="31" t="s">
        <v>143</v>
      </c>
    </row>
    <row x14ac:dyDescent="0.25" r="43" customHeight="1" ht="18.75">
      <c r="A43" s="30" t="s">
        <v>128</v>
      </c>
      <c r="B43" s="31">
        <f>5/3</f>
      </c>
      <c r="C43" s="31">
        <f>5/3</f>
      </c>
      <c r="D43" s="31">
        <f>5/3</f>
      </c>
      <c r="E43" s="31">
        <f>5/3</f>
      </c>
      <c r="F43" s="31">
        <f>5/3</f>
      </c>
      <c r="G43" s="31">
        <f>5/3</f>
      </c>
      <c r="H43" s="31">
        <f>5/3</f>
      </c>
      <c r="I43" s="31">
        <f>5/3</f>
      </c>
      <c r="J43" s="31">
        <f>5/3</f>
      </c>
      <c r="K43" s="31">
        <f>5/3</f>
      </c>
      <c r="L43" s="31">
        <f>5/3</f>
      </c>
      <c r="M43" s="31">
        <f>5/3</f>
      </c>
      <c r="N43" s="31">
        <f>5/3</f>
      </c>
      <c r="O43" s="31">
        <f>5/3</f>
      </c>
      <c r="P43" s="31">
        <f>5/3</f>
      </c>
      <c r="Q43" s="31">
        <f>5/3</f>
      </c>
      <c r="R43" s="31">
        <f>5/3</f>
      </c>
      <c r="S43" s="31">
        <f>5/3</f>
      </c>
      <c r="T43" s="31">
        <f>5/3</f>
      </c>
      <c r="U43" s="31">
        <f>5/3</f>
      </c>
      <c r="V43" s="31">
        <f>5/3</f>
      </c>
      <c r="W43" s="31">
        <f>5/3</f>
      </c>
      <c r="X43" s="31">
        <f>5/3</f>
      </c>
      <c r="Y43" s="31">
        <f>5/3</f>
      </c>
      <c r="Z43" s="31">
        <f>5/3</f>
      </c>
      <c r="AA43" s="31">
        <f>5/3</f>
      </c>
      <c r="AB43" s="31">
        <f>5/3</f>
      </c>
      <c r="AC43" s="31">
        <f>5/3</f>
      </c>
      <c r="AD43" s="31">
        <f>5/3</f>
      </c>
      <c r="AE43" s="31">
        <f>5/3</f>
      </c>
      <c r="AF43" s="31">
        <f>5/3</f>
      </c>
      <c r="AG43" s="31">
        <f>5/3</f>
      </c>
      <c r="AH43" s="31">
        <f>5/3</f>
      </c>
      <c r="AI43" s="3"/>
      <c r="AJ43" s="31">
        <f>5/3</f>
      </c>
      <c r="AK43" s="31">
        <f>5/3</f>
      </c>
    </row>
    <row x14ac:dyDescent="0.25" r="44" customHeight="1" ht="18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138</v>
      </c>
      <c r="Q44" s="31" t="s">
        <v>138</v>
      </c>
      <c r="R44" s="31" t="s">
        <v>138</v>
      </c>
      <c r="S44" s="31" t="s">
        <v>138</v>
      </c>
      <c r="T44" s="31" t="s">
        <v>138</v>
      </c>
      <c r="U44" s="31" t="s">
        <v>138</v>
      </c>
      <c r="V44" s="31" t="s">
        <v>138</v>
      </c>
      <c r="W44" s="31" t="s">
        <v>138</v>
      </c>
      <c r="X44" s="31" t="s">
        <v>138</v>
      </c>
      <c r="Y44" s="31" t="s">
        <v>138</v>
      </c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31" t="s">
        <v>138</v>
      </c>
      <c r="AF44" s="31" t="s">
        <v>138</v>
      </c>
      <c r="AG44" s="31" t="s">
        <v>138</v>
      </c>
      <c r="AH44" s="31" t="s">
        <v>138</v>
      </c>
      <c r="AI44" s="3"/>
      <c r="AJ44" s="31" t="s">
        <v>138</v>
      </c>
      <c r="AK44" s="31" t="s">
        <v>138</v>
      </c>
    </row>
    <row x14ac:dyDescent="0.25" r="45" customHeight="1" ht="18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4</v>
      </c>
      <c r="W45" s="31">
        <v>4</v>
      </c>
      <c r="X45" s="31">
        <v>4</v>
      </c>
      <c r="Y45" s="31">
        <v>4</v>
      </c>
      <c r="Z45" s="31">
        <v>4</v>
      </c>
      <c r="AA45" s="31">
        <v>4</v>
      </c>
      <c r="AB45" s="31">
        <v>4</v>
      </c>
      <c r="AC45" s="31">
        <v>4</v>
      </c>
      <c r="AD45" s="31">
        <v>4</v>
      </c>
      <c r="AE45" s="31">
        <v>4</v>
      </c>
      <c r="AF45" s="31">
        <v>4</v>
      </c>
      <c r="AG45" s="31">
        <v>4</v>
      </c>
      <c r="AH45" s="31">
        <v>4</v>
      </c>
      <c r="AI45" s="3"/>
      <c r="AJ45" s="31">
        <v>4</v>
      </c>
      <c r="AK45" s="31">
        <v>4</v>
      </c>
    </row>
    <row x14ac:dyDescent="0.25" r="46" customHeight="1" ht="15.7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121" t="s">
        <v>1071</v>
      </c>
      <c r="AH46" s="121"/>
      <c r="AI46" s="3"/>
      <c r="AJ46" s="121" t="s">
        <v>1072</v>
      </c>
      <c r="AK46" s="121"/>
    </row>
    <row x14ac:dyDescent="0.25" r="47" customHeight="1" ht="18.75">
      <c r="A47" s="38" t="s">
        <v>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/>
      <c r="AJ47" s="2"/>
      <c r="AK47" s="2"/>
    </row>
    <row x14ac:dyDescent="0.25" r="48" customHeight="1" ht="18.75">
      <c r="A48" s="209" t="s">
        <v>1073</v>
      </c>
      <c r="B48" s="40" t="s">
        <v>1067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3"/>
      <c r="AJ48" s="2"/>
      <c r="AK48" s="2"/>
    </row>
    <row x14ac:dyDescent="0.25" r="49" customHeight="1" ht="18.75">
      <c r="A49" s="30"/>
      <c r="B49" s="40" t="s">
        <v>1068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3"/>
      <c r="AJ49" s="2"/>
      <c r="AK49" s="2"/>
    </row>
    <row x14ac:dyDescent="0.25" r="50" customHeight="1" ht="18.75">
      <c r="A50" s="30"/>
      <c r="B50" s="40" t="s">
        <v>1069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3"/>
      <c r="AJ50" s="2"/>
      <c r="AK50" s="2"/>
    </row>
    <row x14ac:dyDescent="0.25" r="51" customHeight="1" ht="18.75">
      <c r="A51" s="209" t="s">
        <v>1074</v>
      </c>
      <c r="B51" s="40" t="s">
        <v>1067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3"/>
      <c r="AJ51" s="2"/>
      <c r="AK51" s="2"/>
    </row>
    <row x14ac:dyDescent="0.25" r="52" customHeight="1" ht="18.75">
      <c r="A52" s="30"/>
      <c r="B52" s="40" t="s">
        <v>1068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3"/>
      <c r="AJ52" s="2"/>
      <c r="AK52" s="2"/>
    </row>
    <row x14ac:dyDescent="0.25" r="53" customHeight="1" ht="18.75">
      <c r="A53" s="30"/>
      <c r="B53" s="40" t="s">
        <v>1075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3"/>
      <c r="AJ53" s="2"/>
      <c r="AK53" s="2"/>
    </row>
    <row x14ac:dyDescent="0.25" r="54" customHeight="1" ht="18.75">
      <c r="A54" s="30"/>
      <c r="B54" s="40" t="s">
        <v>1055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  <c r="AJ54" s="2"/>
      <c r="AK54" s="2"/>
    </row>
  </sheetData>
  <mergeCells count="9">
    <mergeCell ref="B3:D3"/>
    <mergeCell ref="F3:O3"/>
    <mergeCell ref="B4:D4"/>
    <mergeCell ref="F4:O5"/>
    <mergeCell ref="B5:D5"/>
    <mergeCell ref="AG46:AH46"/>
    <mergeCell ref="AJ46:AK46"/>
    <mergeCell ref="A48:A50"/>
    <mergeCell ref="A51:A5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50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48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1063</v>
      </c>
      <c r="C4" s="7"/>
      <c r="D4" s="7"/>
      <c r="E4" s="2"/>
      <c r="F4" s="124" t="s">
        <v>1064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1065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31" t="s">
        <v>932</v>
      </c>
      <c r="J8" s="31" t="s">
        <v>932</v>
      </c>
      <c r="K8" s="31" t="s">
        <v>932</v>
      </c>
      <c r="L8" s="31" t="s">
        <v>932</v>
      </c>
      <c r="M8" s="31" t="s">
        <v>932</v>
      </c>
      <c r="N8" s="31" t="s">
        <v>932</v>
      </c>
      <c r="O8" s="139" t="s">
        <v>932</v>
      </c>
      <c r="P8" s="31" t="s">
        <v>933</v>
      </c>
      <c r="Q8" s="31" t="s">
        <v>933</v>
      </c>
      <c r="R8" s="143" t="s">
        <v>358</v>
      </c>
      <c r="S8" s="31" t="s">
        <v>934</v>
      </c>
      <c r="T8" s="143" t="s">
        <v>358</v>
      </c>
      <c r="U8" s="143" t="s">
        <v>358</v>
      </c>
      <c r="V8" s="143" t="s">
        <v>358</v>
      </c>
      <c r="W8" s="143" t="s">
        <v>358</v>
      </c>
      <c r="X8" s="31" t="s">
        <v>68</v>
      </c>
      <c r="Y8" s="143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</row>
    <row x14ac:dyDescent="0.25" r="9" customHeight="1" ht="15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31" t="s">
        <v>937</v>
      </c>
      <c r="J9" s="31" t="s">
        <v>937</v>
      </c>
      <c r="K9" s="31" t="s">
        <v>939</v>
      </c>
      <c r="L9" s="31" t="s">
        <v>937</v>
      </c>
      <c r="M9" s="31" t="s">
        <v>940</v>
      </c>
      <c r="N9" s="31" t="s">
        <v>932</v>
      </c>
      <c r="O9" s="139" t="s">
        <v>932</v>
      </c>
      <c r="P9" s="31" t="s">
        <v>932</v>
      </c>
      <c r="Q9" s="31" t="s">
        <v>932</v>
      </c>
      <c r="R9" s="143" t="s">
        <v>358</v>
      </c>
      <c r="S9" s="31" t="s">
        <v>937</v>
      </c>
      <c r="T9" s="143" t="s">
        <v>358</v>
      </c>
      <c r="U9" s="143" t="s">
        <v>358</v>
      </c>
      <c r="V9" s="143" t="s">
        <v>358</v>
      </c>
      <c r="W9" s="143" t="s">
        <v>358</v>
      </c>
      <c r="X9" s="31" t="s">
        <v>68</v>
      </c>
      <c r="Y9" s="143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</row>
    <row x14ac:dyDescent="0.25" r="10" customHeight="1" ht="18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17">
        <v>504</v>
      </c>
      <c r="J10" s="117">
        <v>504</v>
      </c>
      <c r="K10" s="117">
        <v>515</v>
      </c>
      <c r="L10" s="117">
        <v>504</v>
      </c>
      <c r="M10" s="117">
        <v>514</v>
      </c>
      <c r="N10" s="117">
        <v>503</v>
      </c>
      <c r="O10" s="167">
        <v>503</v>
      </c>
      <c r="P10" s="117">
        <v>503</v>
      </c>
      <c r="Q10" s="117">
        <v>503</v>
      </c>
      <c r="R10" s="144"/>
      <c r="S10" s="117">
        <v>504</v>
      </c>
      <c r="T10" s="144"/>
      <c r="U10" s="144"/>
      <c r="V10" s="144"/>
      <c r="W10" s="144"/>
      <c r="X10" s="117">
        <v>501</v>
      </c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</row>
    <row x14ac:dyDescent="0.25" r="11" customHeight="1" ht="18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31" t="s">
        <v>49</v>
      </c>
      <c r="J11" s="31" t="s">
        <v>49</v>
      </c>
      <c r="K11" s="31" t="s">
        <v>49</v>
      </c>
      <c r="L11" s="31" t="s">
        <v>49</v>
      </c>
      <c r="M11" s="31" t="s">
        <v>49</v>
      </c>
      <c r="N11" s="31" t="s">
        <v>49</v>
      </c>
      <c r="O11" s="139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143" t="s">
        <v>49</v>
      </c>
      <c r="V11" s="143" t="s">
        <v>49</v>
      </c>
      <c r="W11" s="143" t="s">
        <v>49</v>
      </c>
      <c r="X11" s="31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</row>
    <row x14ac:dyDescent="0.25" r="12" customHeight="1" ht="18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139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31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</row>
    <row x14ac:dyDescent="0.25" r="13" customHeight="1" ht="18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139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143" t="s">
        <v>49</v>
      </c>
      <c r="V13" s="143" t="s">
        <v>49</v>
      </c>
      <c r="W13" s="143" t="s">
        <v>49</v>
      </c>
      <c r="X13" s="31" t="s">
        <v>52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</row>
    <row x14ac:dyDescent="0.25" r="14" customHeight="1" ht="18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139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143" t="s">
        <v>49</v>
      </c>
      <c r="V14" s="143" t="s">
        <v>49</v>
      </c>
      <c r="W14" s="143" t="s">
        <v>49</v>
      </c>
      <c r="X14" s="31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</row>
    <row x14ac:dyDescent="0.25" r="15" customHeight="1" ht="18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31" t="s">
        <v>49</v>
      </c>
      <c r="J15" s="31" t="s">
        <v>49</v>
      </c>
      <c r="K15" s="31" t="s">
        <v>49</v>
      </c>
      <c r="L15" s="31" t="s">
        <v>49</v>
      </c>
      <c r="M15" s="31" t="s">
        <v>49</v>
      </c>
      <c r="N15" s="31" t="s">
        <v>49</v>
      </c>
      <c r="O15" s="139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143" t="s">
        <v>49</v>
      </c>
      <c r="V15" s="143" t="s">
        <v>49</v>
      </c>
      <c r="W15" s="143" t="s">
        <v>49</v>
      </c>
      <c r="X15" s="31" t="s">
        <v>49</v>
      </c>
      <c r="Y15" s="143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143" t="s">
        <v>49</v>
      </c>
      <c r="AE15" s="143" t="s">
        <v>49</v>
      </c>
      <c r="AF15" s="143" t="s">
        <v>49</v>
      </c>
      <c r="AG15" s="143" t="s">
        <v>49</v>
      </c>
      <c r="AH15" s="143" t="s">
        <v>49</v>
      </c>
    </row>
    <row x14ac:dyDescent="0.25" r="16" customHeight="1" ht="18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31" t="s">
        <v>49</v>
      </c>
      <c r="J16" s="31" t="s">
        <v>49</v>
      </c>
      <c r="K16" s="31" t="s">
        <v>49</v>
      </c>
      <c r="L16" s="31" t="s">
        <v>49</v>
      </c>
      <c r="M16" s="31" t="s">
        <v>49</v>
      </c>
      <c r="N16" s="31" t="s">
        <v>49</v>
      </c>
      <c r="O16" s="139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143" t="s">
        <v>49</v>
      </c>
      <c r="V16" s="143" t="s">
        <v>49</v>
      </c>
      <c r="W16" s="143" t="s">
        <v>49</v>
      </c>
      <c r="X16" s="31" t="s">
        <v>49</v>
      </c>
      <c r="Y16" s="143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143" t="s">
        <v>49</v>
      </c>
      <c r="AE16" s="143" t="s">
        <v>49</v>
      </c>
      <c r="AF16" s="143" t="s">
        <v>49</v>
      </c>
      <c r="AG16" s="143" t="s">
        <v>49</v>
      </c>
      <c r="AH16" s="143" t="s">
        <v>49</v>
      </c>
    </row>
    <row x14ac:dyDescent="0.25" r="17" customHeight="1" ht="15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31" t="s">
        <v>941</v>
      </c>
      <c r="J17" s="31" t="s">
        <v>941</v>
      </c>
      <c r="K17" s="31" t="s">
        <v>941</v>
      </c>
      <c r="L17" s="31" t="s">
        <v>941</v>
      </c>
      <c r="M17" s="31" t="s">
        <v>941</v>
      </c>
      <c r="N17" s="31" t="s">
        <v>941</v>
      </c>
      <c r="O17" s="139" t="s">
        <v>941</v>
      </c>
      <c r="P17" s="31" t="s">
        <v>57</v>
      </c>
      <c r="Q17" s="31" t="s">
        <v>57</v>
      </c>
      <c r="R17" s="143" t="s">
        <v>358</v>
      </c>
      <c r="S17" s="31" t="s">
        <v>941</v>
      </c>
      <c r="T17" s="143" t="s">
        <v>358</v>
      </c>
      <c r="U17" s="143" t="s">
        <v>358</v>
      </c>
      <c r="V17" s="143" t="s">
        <v>358</v>
      </c>
      <c r="W17" s="143" t="s">
        <v>358</v>
      </c>
      <c r="X17" s="31" t="s">
        <v>941</v>
      </c>
      <c r="Y17" s="143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</row>
    <row x14ac:dyDescent="0.25" r="18" customHeight="1" ht="18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31" t="s">
        <v>942</v>
      </c>
      <c r="J18" s="31" t="s">
        <v>942</v>
      </c>
      <c r="K18" s="31" t="s">
        <v>942</v>
      </c>
      <c r="L18" s="31" t="s">
        <v>942</v>
      </c>
      <c r="M18" s="31" t="s">
        <v>942</v>
      </c>
      <c r="N18" s="31" t="s">
        <v>942</v>
      </c>
      <c r="O18" s="139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143" t="s">
        <v>942</v>
      </c>
      <c r="V18" s="143" t="s">
        <v>942</v>
      </c>
      <c r="W18" s="143" t="s">
        <v>942</v>
      </c>
      <c r="X18" s="31" t="s">
        <v>59</v>
      </c>
      <c r="Y18" s="143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143" t="s">
        <v>942</v>
      </c>
      <c r="AE18" s="143" t="s">
        <v>942</v>
      </c>
      <c r="AF18" s="143" t="s">
        <v>942</v>
      </c>
      <c r="AG18" s="143" t="s">
        <v>942</v>
      </c>
      <c r="AH18" s="143" t="s">
        <v>942</v>
      </c>
    </row>
    <row x14ac:dyDescent="0.25" r="19" customHeight="1" ht="18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33">
        <v>3</v>
      </c>
      <c r="J19" s="33">
        <v>3</v>
      </c>
      <c r="K19" s="33">
        <v>2</v>
      </c>
      <c r="L19" s="33">
        <v>3</v>
      </c>
      <c r="M19" s="33">
        <v>3</v>
      </c>
      <c r="N19" s="33">
        <v>4</v>
      </c>
      <c r="O19" s="140">
        <v>4</v>
      </c>
      <c r="P19" s="31">
        <v>4</v>
      </c>
      <c r="Q19" s="31">
        <v>4</v>
      </c>
      <c r="R19" s="224">
        <v>3</v>
      </c>
      <c r="S19" s="31">
        <v>3</v>
      </c>
      <c r="T19" s="224">
        <v>3</v>
      </c>
      <c r="U19" s="224">
        <v>3</v>
      </c>
      <c r="V19" s="224">
        <v>3</v>
      </c>
      <c r="W19" s="224">
        <v>3</v>
      </c>
      <c r="X19" s="31">
        <v>6</v>
      </c>
      <c r="Y19" s="224">
        <v>3</v>
      </c>
      <c r="Z19" s="224">
        <v>3</v>
      </c>
      <c r="AA19" s="224">
        <v>3</v>
      </c>
      <c r="AB19" s="224">
        <v>3</v>
      </c>
      <c r="AC19" s="224">
        <v>3</v>
      </c>
      <c r="AD19" s="224">
        <v>3</v>
      </c>
      <c r="AE19" s="224">
        <v>3</v>
      </c>
      <c r="AF19" s="224">
        <v>3</v>
      </c>
      <c r="AG19" s="224">
        <v>3</v>
      </c>
      <c r="AH19" s="224">
        <v>3</v>
      </c>
    </row>
    <row x14ac:dyDescent="0.25" r="20" customHeight="1" ht="18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943</v>
      </c>
      <c r="L20" s="31" t="s">
        <v>62</v>
      </c>
      <c r="M20" s="31" t="s">
        <v>943</v>
      </c>
      <c r="N20" s="31" t="s">
        <v>62</v>
      </c>
      <c r="O20" s="31" t="s">
        <v>62</v>
      </c>
      <c r="P20" s="33" t="s">
        <v>62</v>
      </c>
      <c r="Q20" s="33" t="s">
        <v>62</v>
      </c>
      <c r="R20" s="146" t="s">
        <v>943</v>
      </c>
      <c r="S20" s="33" t="s">
        <v>62</v>
      </c>
      <c r="T20" s="146" t="s">
        <v>943</v>
      </c>
      <c r="U20" s="146" t="s">
        <v>943</v>
      </c>
      <c r="V20" s="146" t="s">
        <v>943</v>
      </c>
      <c r="W20" s="146" t="s">
        <v>943</v>
      </c>
      <c r="X20" s="33" t="s">
        <v>62</v>
      </c>
      <c r="Y20" s="146" t="s">
        <v>943</v>
      </c>
      <c r="Z20" s="146" t="s">
        <v>943</v>
      </c>
      <c r="AA20" s="146" t="s">
        <v>943</v>
      </c>
      <c r="AB20" s="146" t="s">
        <v>943</v>
      </c>
      <c r="AC20" s="146" t="s">
        <v>943</v>
      </c>
      <c r="AD20" s="146" t="s">
        <v>943</v>
      </c>
      <c r="AE20" s="146" t="s">
        <v>943</v>
      </c>
      <c r="AF20" s="146" t="s">
        <v>943</v>
      </c>
      <c r="AG20" s="146" t="s">
        <v>943</v>
      </c>
      <c r="AH20" s="146" t="s">
        <v>943</v>
      </c>
    </row>
    <row x14ac:dyDescent="0.25" r="21" customHeight="1" ht="18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1">
        <v>1</v>
      </c>
      <c r="O21" s="31">
        <v>1</v>
      </c>
      <c r="P21" s="31">
        <v>1</v>
      </c>
      <c r="Q21" s="31">
        <v>1</v>
      </c>
      <c r="R21" s="143">
        <v>0</v>
      </c>
      <c r="S21" s="31">
        <v>1</v>
      </c>
      <c r="T21" s="143">
        <v>0</v>
      </c>
      <c r="U21" s="143">
        <v>0</v>
      </c>
      <c r="V21" s="143">
        <v>0</v>
      </c>
      <c r="W21" s="143">
        <v>0</v>
      </c>
      <c r="X21" s="31">
        <v>1</v>
      </c>
      <c r="Y21" s="143">
        <v>0</v>
      </c>
      <c r="Z21" s="143">
        <v>0</v>
      </c>
      <c r="AA21" s="143">
        <v>0</v>
      </c>
      <c r="AB21" s="143">
        <v>0</v>
      </c>
      <c r="AC21" s="143">
        <v>0</v>
      </c>
      <c r="AD21" s="143">
        <v>0</v>
      </c>
      <c r="AE21" s="143">
        <v>0</v>
      </c>
      <c r="AF21" s="143">
        <v>0</v>
      </c>
      <c r="AG21" s="143">
        <v>0</v>
      </c>
      <c r="AH21" s="143">
        <v>0</v>
      </c>
    </row>
    <row x14ac:dyDescent="0.25" r="22" customHeight="1" ht="18.75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x14ac:dyDescent="0.25" r="23" customHeight="1" ht="18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31" t="s">
        <v>207</v>
      </c>
      <c r="N23" s="31" t="s">
        <v>207</v>
      </c>
      <c r="O23" s="31" t="s">
        <v>207</v>
      </c>
      <c r="P23" s="218" t="s">
        <v>358</v>
      </c>
      <c r="Q23" s="218" t="s">
        <v>358</v>
      </c>
      <c r="R23" s="139" t="s">
        <v>207</v>
      </c>
      <c r="S23" s="218" t="s">
        <v>358</v>
      </c>
      <c r="T23" s="31" t="s">
        <v>207</v>
      </c>
      <c r="U23" s="31" t="s">
        <v>207</v>
      </c>
      <c r="V23" s="31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31" t="s">
        <v>207</v>
      </c>
      <c r="AH23" s="114" t="s">
        <v>207</v>
      </c>
    </row>
    <row x14ac:dyDescent="0.25" r="24" customHeight="1" ht="15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31" t="s">
        <v>210</v>
      </c>
      <c r="N24" s="31" t="s">
        <v>210</v>
      </c>
      <c r="O24" s="31" t="s">
        <v>210</v>
      </c>
      <c r="P24" s="220" t="s">
        <v>358</v>
      </c>
      <c r="Q24" s="220" t="s">
        <v>358</v>
      </c>
      <c r="R24" s="139" t="s">
        <v>212</v>
      </c>
      <c r="S24" s="220" t="s">
        <v>358</v>
      </c>
      <c r="T24" s="31" t="s">
        <v>944</v>
      </c>
      <c r="U24" s="31" t="s">
        <v>210</v>
      </c>
      <c r="V24" s="31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31" t="s">
        <v>212</v>
      </c>
      <c r="AH24" s="116" t="s">
        <v>212</v>
      </c>
    </row>
    <row x14ac:dyDescent="0.25" r="25" customHeight="1" ht="18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17">
        <v>52</v>
      </c>
      <c r="N25" s="117">
        <v>52</v>
      </c>
      <c r="O25" s="117">
        <v>52</v>
      </c>
      <c r="P25" s="144"/>
      <c r="Q25" s="144"/>
      <c r="R25" s="167">
        <v>48</v>
      </c>
      <c r="S25" s="144"/>
      <c r="T25" s="117">
        <v>159</v>
      </c>
      <c r="U25" s="117">
        <v>52</v>
      </c>
      <c r="V25" s="11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17">
        <v>48</v>
      </c>
      <c r="AH25" s="137">
        <v>48</v>
      </c>
    </row>
    <row x14ac:dyDescent="0.25" r="26" customHeight="1" ht="18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33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3" t="s">
        <v>52</v>
      </c>
      <c r="S26" s="143" t="s">
        <v>49</v>
      </c>
      <c r="T26" s="33" t="s">
        <v>52</v>
      </c>
      <c r="U26" s="33" t="s">
        <v>52</v>
      </c>
      <c r="V26" s="31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31" t="s">
        <v>52</v>
      </c>
      <c r="AH26" s="116" t="s">
        <v>52</v>
      </c>
    </row>
    <row x14ac:dyDescent="0.25" r="27" customHeight="1" ht="18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31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31" t="s">
        <v>49</v>
      </c>
      <c r="S27" s="143" t="s">
        <v>49</v>
      </c>
      <c r="T27" s="31" t="s">
        <v>49</v>
      </c>
      <c r="U27" s="31" t="s">
        <v>49</v>
      </c>
      <c r="V27" s="31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31" t="s">
        <v>49</v>
      </c>
      <c r="AH27" s="114" t="s">
        <v>49</v>
      </c>
    </row>
    <row x14ac:dyDescent="0.25" r="28" customHeight="1" ht="18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31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31" t="s">
        <v>52</v>
      </c>
      <c r="S28" s="143" t="s">
        <v>49</v>
      </c>
      <c r="T28" s="31" t="s">
        <v>52</v>
      </c>
      <c r="U28" s="31" t="s">
        <v>52</v>
      </c>
      <c r="V28" s="31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31" t="s">
        <v>52</v>
      </c>
      <c r="AH28" s="114" t="s">
        <v>52</v>
      </c>
    </row>
    <row x14ac:dyDescent="0.25" r="29" customHeight="1" ht="18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31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31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31" t="s">
        <v>49</v>
      </c>
      <c r="AH29" s="114" t="s">
        <v>49</v>
      </c>
    </row>
    <row x14ac:dyDescent="0.25" r="30" customHeight="1" ht="18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31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31" t="s">
        <v>143</v>
      </c>
      <c r="S30" s="143" t="s">
        <v>143</v>
      </c>
      <c r="T30" s="31" t="s">
        <v>143</v>
      </c>
      <c r="U30" s="31" t="s">
        <v>143</v>
      </c>
      <c r="V30" s="31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31" t="s">
        <v>143</v>
      </c>
      <c r="AH30" s="114" t="s">
        <v>143</v>
      </c>
    </row>
    <row x14ac:dyDescent="0.25" r="31" customHeight="1" ht="18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31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4/3</f>
      </c>
      <c r="S31" s="143">
        <v>0</v>
      </c>
      <c r="T31" s="31">
        <f>AVERAGE(1,1,-0.5)</f>
      </c>
      <c r="U31" s="31">
        <v>0.5</v>
      </c>
      <c r="V31" s="31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31">
        <f>4/3</f>
      </c>
      <c r="AH31" s="114">
        <f>4/3</f>
      </c>
    </row>
    <row x14ac:dyDescent="0.25" r="32" customHeight="1" ht="18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31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31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31" t="s">
        <v>169</v>
      </c>
      <c r="AH32" s="114" t="s">
        <v>169</v>
      </c>
    </row>
    <row x14ac:dyDescent="0.25" r="33" customHeight="1" ht="18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143">
        <v>0</v>
      </c>
      <c r="Q33" s="143">
        <v>0</v>
      </c>
      <c r="R33" s="31">
        <v>2</v>
      </c>
      <c r="S33" s="143">
        <v>0</v>
      </c>
      <c r="T33" s="31">
        <v>2</v>
      </c>
      <c r="U33" s="31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31">
        <v>2</v>
      </c>
      <c r="AH33" s="114">
        <v>2</v>
      </c>
    </row>
    <row x14ac:dyDescent="0.25" r="34" customHeight="1" ht="18.7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x14ac:dyDescent="0.25" r="35" customHeight="1" ht="18.75">
      <c r="A35" s="30" t="s">
        <v>43</v>
      </c>
      <c r="B35" s="31" t="s">
        <v>141</v>
      </c>
      <c r="C35" s="31" t="s">
        <v>327</v>
      </c>
      <c r="D35" s="31" t="s">
        <v>327</v>
      </c>
      <c r="E35" s="31" t="s">
        <v>327</v>
      </c>
      <c r="F35" s="31" t="s">
        <v>327</v>
      </c>
      <c r="G35" s="31" t="s">
        <v>327</v>
      </c>
      <c r="H35" s="31" t="s">
        <v>327</v>
      </c>
      <c r="I35" s="31" t="s">
        <v>327</v>
      </c>
      <c r="J35" s="31" t="s">
        <v>327</v>
      </c>
      <c r="K35" s="31" t="s">
        <v>327</v>
      </c>
      <c r="L35" s="31" t="s">
        <v>327</v>
      </c>
      <c r="M35" s="31" t="s">
        <v>327</v>
      </c>
      <c r="N35" s="31" t="s">
        <v>327</v>
      </c>
      <c r="O35" s="31" t="s">
        <v>327</v>
      </c>
      <c r="P35" s="31" t="s">
        <v>327</v>
      </c>
      <c r="Q35" s="31" t="s">
        <v>327</v>
      </c>
      <c r="R35" s="31" t="s">
        <v>327</v>
      </c>
      <c r="S35" s="31" t="s">
        <v>327</v>
      </c>
      <c r="T35" s="31" t="s">
        <v>327</v>
      </c>
      <c r="U35" s="31" t="s">
        <v>327</v>
      </c>
      <c r="V35" s="31" t="s">
        <v>327</v>
      </c>
      <c r="W35" s="31" t="s">
        <v>327</v>
      </c>
      <c r="X35" s="31" t="s">
        <v>327</v>
      </c>
      <c r="Y35" s="31" t="s">
        <v>327</v>
      </c>
      <c r="Z35" s="31" t="s">
        <v>327</v>
      </c>
      <c r="AA35" s="31" t="s">
        <v>327</v>
      </c>
      <c r="AB35" s="31" t="s">
        <v>327</v>
      </c>
      <c r="AC35" s="31" t="s">
        <v>327</v>
      </c>
      <c r="AD35" s="31" t="s">
        <v>327</v>
      </c>
      <c r="AE35" s="31" t="s">
        <v>327</v>
      </c>
      <c r="AF35" s="31" t="s">
        <v>327</v>
      </c>
      <c r="AG35" s="31" t="s">
        <v>327</v>
      </c>
      <c r="AH35" s="31" t="s">
        <v>327</v>
      </c>
    </row>
    <row x14ac:dyDescent="0.25" r="36" customHeight="1" ht="15.75">
      <c r="A36" s="30" t="s">
        <v>45</v>
      </c>
      <c r="B36" s="33" t="s">
        <v>142</v>
      </c>
      <c r="C36" s="33" t="s">
        <v>142</v>
      </c>
      <c r="D36" s="33" t="s">
        <v>142</v>
      </c>
      <c r="E36" s="33" t="s">
        <v>142</v>
      </c>
      <c r="F36" s="33" t="s">
        <v>142</v>
      </c>
      <c r="G36" s="33" t="s">
        <v>142</v>
      </c>
      <c r="H36" s="33" t="s">
        <v>142</v>
      </c>
      <c r="I36" s="33" t="s">
        <v>142</v>
      </c>
      <c r="J36" s="33" t="s">
        <v>142</v>
      </c>
      <c r="K36" s="33" t="s">
        <v>142</v>
      </c>
      <c r="L36" s="33" t="s">
        <v>142</v>
      </c>
      <c r="M36" s="33" t="s">
        <v>142</v>
      </c>
      <c r="N36" s="33" t="s">
        <v>142</v>
      </c>
      <c r="O36" s="33" t="s">
        <v>142</v>
      </c>
      <c r="P36" s="33" t="s">
        <v>142</v>
      </c>
      <c r="Q36" s="33" t="s">
        <v>142</v>
      </c>
      <c r="R36" s="33" t="s">
        <v>142</v>
      </c>
      <c r="S36" s="33" t="s">
        <v>142</v>
      </c>
      <c r="T36" s="33" t="s">
        <v>142</v>
      </c>
      <c r="U36" s="33" t="s">
        <v>142</v>
      </c>
      <c r="V36" s="33" t="s">
        <v>142</v>
      </c>
      <c r="W36" s="33" t="s">
        <v>142</v>
      </c>
      <c r="X36" s="33" t="s">
        <v>142</v>
      </c>
      <c r="Y36" s="33" t="s">
        <v>142</v>
      </c>
      <c r="Z36" s="33" t="s">
        <v>142</v>
      </c>
      <c r="AA36" s="33" t="s">
        <v>142</v>
      </c>
      <c r="AB36" s="33" t="s">
        <v>142</v>
      </c>
      <c r="AC36" s="33" t="s">
        <v>142</v>
      </c>
      <c r="AD36" s="33" t="s">
        <v>142</v>
      </c>
      <c r="AE36" s="33" t="s">
        <v>142</v>
      </c>
      <c r="AF36" s="33" t="s">
        <v>142</v>
      </c>
      <c r="AG36" s="33" t="s">
        <v>142</v>
      </c>
      <c r="AH36" s="33" t="s">
        <v>142</v>
      </c>
    </row>
    <row x14ac:dyDescent="0.25" r="37" customHeight="1" ht="18.75">
      <c r="A37" s="35" t="s">
        <v>47</v>
      </c>
      <c r="B37" s="196">
        <v>5</v>
      </c>
      <c r="C37" s="196">
        <v>5</v>
      </c>
      <c r="D37" s="196">
        <v>5</v>
      </c>
      <c r="E37" s="196">
        <v>5</v>
      </c>
      <c r="F37" s="196">
        <v>5</v>
      </c>
      <c r="G37" s="196">
        <v>5</v>
      </c>
      <c r="H37" s="196">
        <v>5</v>
      </c>
      <c r="I37" s="196">
        <v>5</v>
      </c>
      <c r="J37" s="196">
        <v>5</v>
      </c>
      <c r="K37" s="196">
        <v>5</v>
      </c>
      <c r="L37" s="196">
        <v>5</v>
      </c>
      <c r="M37" s="196">
        <v>5</v>
      </c>
      <c r="N37" s="196">
        <v>5</v>
      </c>
      <c r="O37" s="196">
        <v>5</v>
      </c>
      <c r="P37" s="196">
        <v>5</v>
      </c>
      <c r="Q37" s="196">
        <v>5</v>
      </c>
      <c r="R37" s="196">
        <v>5</v>
      </c>
      <c r="S37" s="196">
        <v>5</v>
      </c>
      <c r="T37" s="196">
        <v>5</v>
      </c>
      <c r="U37" s="196">
        <v>5</v>
      </c>
      <c r="V37" s="196">
        <v>5</v>
      </c>
      <c r="W37" s="196">
        <v>5</v>
      </c>
      <c r="X37" s="196">
        <v>5</v>
      </c>
      <c r="Y37" s="196">
        <v>5</v>
      </c>
      <c r="Z37" s="196">
        <v>5</v>
      </c>
      <c r="AA37" s="196">
        <v>5</v>
      </c>
      <c r="AB37" s="196">
        <v>5</v>
      </c>
      <c r="AC37" s="196">
        <v>5</v>
      </c>
      <c r="AD37" s="196">
        <v>5</v>
      </c>
      <c r="AE37" s="196">
        <v>5</v>
      </c>
      <c r="AF37" s="196">
        <v>5</v>
      </c>
      <c r="AG37" s="196">
        <v>5</v>
      </c>
      <c r="AH37" s="196">
        <v>5</v>
      </c>
    </row>
    <row x14ac:dyDescent="0.25" r="38" customHeight="1" ht="18.75">
      <c r="A38" s="30" t="s">
        <v>123</v>
      </c>
      <c r="B38" s="31" t="s">
        <v>52</v>
      </c>
      <c r="C38" s="31" t="s">
        <v>52</v>
      </c>
      <c r="D38" s="31" t="s">
        <v>52</v>
      </c>
      <c r="E38" s="31" t="s">
        <v>52</v>
      </c>
      <c r="F38" s="31" t="s">
        <v>52</v>
      </c>
      <c r="G38" s="31" t="s">
        <v>52</v>
      </c>
      <c r="H38" s="31" t="s">
        <v>52</v>
      </c>
      <c r="I38" s="31" t="s">
        <v>52</v>
      </c>
      <c r="J38" s="31" t="s">
        <v>52</v>
      </c>
      <c r="K38" s="31" t="s">
        <v>52</v>
      </c>
      <c r="L38" s="31" t="s">
        <v>52</v>
      </c>
      <c r="M38" s="31" t="s">
        <v>52</v>
      </c>
      <c r="N38" s="31" t="s">
        <v>52</v>
      </c>
      <c r="O38" s="31" t="s">
        <v>52</v>
      </c>
      <c r="P38" s="31" t="s">
        <v>52</v>
      </c>
      <c r="Q38" s="31" t="s">
        <v>52</v>
      </c>
      <c r="R38" s="31" t="s">
        <v>52</v>
      </c>
      <c r="S38" s="31" t="s">
        <v>52</v>
      </c>
      <c r="T38" s="31" t="s">
        <v>52</v>
      </c>
      <c r="U38" s="31" t="s">
        <v>52</v>
      </c>
      <c r="V38" s="31" t="s">
        <v>52</v>
      </c>
      <c r="W38" s="31" t="s">
        <v>52</v>
      </c>
      <c r="X38" s="31" t="s">
        <v>52</v>
      </c>
      <c r="Y38" s="31" t="s">
        <v>52</v>
      </c>
      <c r="Z38" s="31" t="s">
        <v>52</v>
      </c>
      <c r="AA38" s="31" t="s">
        <v>52</v>
      </c>
      <c r="AB38" s="31" t="s">
        <v>52</v>
      </c>
      <c r="AC38" s="31" t="s">
        <v>52</v>
      </c>
      <c r="AD38" s="31" t="s">
        <v>52</v>
      </c>
      <c r="AE38" s="31" t="s">
        <v>52</v>
      </c>
      <c r="AF38" s="31" t="s">
        <v>52</v>
      </c>
      <c r="AG38" s="31" t="s">
        <v>52</v>
      </c>
      <c r="AH38" s="31" t="s">
        <v>52</v>
      </c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31" t="s">
        <v>49</v>
      </c>
      <c r="T39" s="31" t="s">
        <v>49</v>
      </c>
      <c r="U39" s="31" t="s">
        <v>49</v>
      </c>
      <c r="V39" s="31" t="s">
        <v>49</v>
      </c>
      <c r="W39" s="31" t="s">
        <v>49</v>
      </c>
      <c r="X39" s="31" t="s">
        <v>49</v>
      </c>
      <c r="Y39" s="31" t="s">
        <v>49</v>
      </c>
      <c r="Z39" s="31" t="s">
        <v>49</v>
      </c>
      <c r="AA39" s="31" t="s">
        <v>49</v>
      </c>
      <c r="AB39" s="31" t="s">
        <v>49</v>
      </c>
      <c r="AC39" s="31" t="s">
        <v>49</v>
      </c>
      <c r="AD39" s="31" t="s">
        <v>49</v>
      </c>
      <c r="AE39" s="31" t="s">
        <v>49</v>
      </c>
      <c r="AF39" s="31" t="s">
        <v>49</v>
      </c>
      <c r="AG39" s="31" t="s">
        <v>49</v>
      </c>
      <c r="AH39" s="31" t="s">
        <v>49</v>
      </c>
    </row>
    <row x14ac:dyDescent="0.25" r="40" customHeight="1" ht="18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49</v>
      </c>
      <c r="Q40" s="31" t="s">
        <v>49</v>
      </c>
      <c r="R40" s="31" t="s">
        <v>49</v>
      </c>
      <c r="S40" s="31" t="s">
        <v>49</v>
      </c>
      <c r="T40" s="31" t="s">
        <v>49</v>
      </c>
      <c r="U40" s="31" t="s">
        <v>49</v>
      </c>
      <c r="V40" s="31" t="s">
        <v>49</v>
      </c>
      <c r="W40" s="31" t="s">
        <v>49</v>
      </c>
      <c r="X40" s="31" t="s">
        <v>49</v>
      </c>
      <c r="Y40" s="31" t="s">
        <v>49</v>
      </c>
      <c r="Z40" s="31" t="s">
        <v>49</v>
      </c>
      <c r="AA40" s="31" t="s">
        <v>49</v>
      </c>
      <c r="AB40" s="31" t="s">
        <v>49</v>
      </c>
      <c r="AC40" s="31" t="s">
        <v>49</v>
      </c>
      <c r="AD40" s="31" t="s">
        <v>49</v>
      </c>
      <c r="AE40" s="31" t="s">
        <v>49</v>
      </c>
      <c r="AF40" s="31" t="s">
        <v>49</v>
      </c>
      <c r="AG40" s="31" t="s">
        <v>49</v>
      </c>
      <c r="AH40" s="31" t="s">
        <v>49</v>
      </c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  <c r="W41" s="31" t="s">
        <v>49</v>
      </c>
      <c r="X41" s="31" t="s">
        <v>49</v>
      </c>
      <c r="Y41" s="31" t="s">
        <v>49</v>
      </c>
      <c r="Z41" s="31" t="s">
        <v>49</v>
      </c>
      <c r="AA41" s="31" t="s">
        <v>49</v>
      </c>
      <c r="AB41" s="31" t="s">
        <v>49</v>
      </c>
      <c r="AC41" s="31" t="s">
        <v>49</v>
      </c>
      <c r="AD41" s="31" t="s">
        <v>49</v>
      </c>
      <c r="AE41" s="31" t="s">
        <v>49</v>
      </c>
      <c r="AF41" s="31" t="s">
        <v>49</v>
      </c>
      <c r="AG41" s="31" t="s">
        <v>49</v>
      </c>
      <c r="AH41" s="31" t="s">
        <v>49</v>
      </c>
    </row>
    <row x14ac:dyDescent="0.25" r="42" customHeight="1" ht="18.75">
      <c r="A42" s="30" t="s">
        <v>127</v>
      </c>
      <c r="B42" s="31" t="s">
        <v>143</v>
      </c>
      <c r="C42" s="31" t="s">
        <v>143</v>
      </c>
      <c r="D42" s="31" t="s">
        <v>143</v>
      </c>
      <c r="E42" s="31" t="s">
        <v>143</v>
      </c>
      <c r="F42" s="31" t="s">
        <v>143</v>
      </c>
      <c r="G42" s="31" t="s">
        <v>143</v>
      </c>
      <c r="H42" s="31" t="s">
        <v>143</v>
      </c>
      <c r="I42" s="31" t="s">
        <v>143</v>
      </c>
      <c r="J42" s="31" t="s">
        <v>143</v>
      </c>
      <c r="K42" s="31" t="s">
        <v>143</v>
      </c>
      <c r="L42" s="31" t="s">
        <v>143</v>
      </c>
      <c r="M42" s="31" t="s">
        <v>143</v>
      </c>
      <c r="N42" s="31" t="s">
        <v>143</v>
      </c>
      <c r="O42" s="31" t="s">
        <v>143</v>
      </c>
      <c r="P42" s="31" t="s">
        <v>143</v>
      </c>
      <c r="Q42" s="31" t="s">
        <v>143</v>
      </c>
      <c r="R42" s="31" t="s">
        <v>143</v>
      </c>
      <c r="S42" s="31" t="s">
        <v>143</v>
      </c>
      <c r="T42" s="31" t="s">
        <v>143</v>
      </c>
      <c r="U42" s="31" t="s">
        <v>143</v>
      </c>
      <c r="V42" s="31" t="s">
        <v>143</v>
      </c>
      <c r="W42" s="31" t="s">
        <v>143</v>
      </c>
      <c r="X42" s="31" t="s">
        <v>143</v>
      </c>
      <c r="Y42" s="31" t="s">
        <v>143</v>
      </c>
      <c r="Z42" s="31" t="s">
        <v>143</v>
      </c>
      <c r="AA42" s="31" t="s">
        <v>143</v>
      </c>
      <c r="AB42" s="31" t="s">
        <v>143</v>
      </c>
      <c r="AC42" s="31" t="s">
        <v>143</v>
      </c>
      <c r="AD42" s="31" t="s">
        <v>143</v>
      </c>
      <c r="AE42" s="31" t="s">
        <v>143</v>
      </c>
      <c r="AF42" s="31" t="s">
        <v>143</v>
      </c>
      <c r="AG42" s="31" t="s">
        <v>143</v>
      </c>
      <c r="AH42" s="31" t="s">
        <v>143</v>
      </c>
    </row>
    <row x14ac:dyDescent="0.25" r="43" customHeight="1" ht="18.75">
      <c r="A43" s="30" t="s">
        <v>128</v>
      </c>
      <c r="B43" s="31">
        <f>5/3</f>
      </c>
      <c r="C43" s="31">
        <f>5/3</f>
      </c>
      <c r="D43" s="31">
        <f>5/3</f>
      </c>
      <c r="E43" s="31">
        <f>5/3</f>
      </c>
      <c r="F43" s="31">
        <f>5/3</f>
      </c>
      <c r="G43" s="31">
        <f>5/3</f>
      </c>
      <c r="H43" s="31">
        <f>5/3</f>
      </c>
      <c r="I43" s="31">
        <f>5/3</f>
      </c>
      <c r="J43" s="31">
        <f>5/3</f>
      </c>
      <c r="K43" s="31">
        <f>5/3</f>
      </c>
      <c r="L43" s="31">
        <f>5/3</f>
      </c>
      <c r="M43" s="31">
        <f>5/3</f>
      </c>
      <c r="N43" s="31">
        <f>5/3</f>
      </c>
      <c r="O43" s="31">
        <f>5/3</f>
      </c>
      <c r="P43" s="31">
        <f>5/3</f>
      </c>
      <c r="Q43" s="31">
        <f>5/3</f>
      </c>
      <c r="R43" s="31">
        <f>5/3</f>
      </c>
      <c r="S43" s="31">
        <f>5/3</f>
      </c>
      <c r="T43" s="31">
        <f>5/3</f>
      </c>
      <c r="U43" s="31">
        <f>5/3</f>
      </c>
      <c r="V43" s="31">
        <f>5/3</f>
      </c>
      <c r="W43" s="31">
        <f>5/3</f>
      </c>
      <c r="X43" s="31">
        <f>5/3</f>
      </c>
      <c r="Y43" s="31">
        <f>5/3</f>
      </c>
      <c r="Z43" s="31">
        <f>5/3</f>
      </c>
      <c r="AA43" s="31">
        <f>5/3</f>
      </c>
      <c r="AB43" s="31">
        <f>5/3</f>
      </c>
      <c r="AC43" s="31">
        <f>5/3</f>
      </c>
      <c r="AD43" s="31">
        <f>5/3</f>
      </c>
      <c r="AE43" s="31">
        <f>5/3</f>
      </c>
      <c r="AF43" s="31">
        <f>5/3</f>
      </c>
      <c r="AG43" s="31">
        <f>5/3</f>
      </c>
      <c r="AH43" s="31">
        <f>5/3</f>
      </c>
    </row>
    <row x14ac:dyDescent="0.25" r="44" customHeight="1" ht="18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138</v>
      </c>
      <c r="Q44" s="31" t="s">
        <v>138</v>
      </c>
      <c r="R44" s="31" t="s">
        <v>138</v>
      </c>
      <c r="S44" s="31" t="s">
        <v>138</v>
      </c>
      <c r="T44" s="31" t="s">
        <v>138</v>
      </c>
      <c r="U44" s="31" t="s">
        <v>138</v>
      </c>
      <c r="V44" s="31" t="s">
        <v>138</v>
      </c>
      <c r="W44" s="31" t="s">
        <v>138</v>
      </c>
      <c r="X44" s="31" t="s">
        <v>138</v>
      </c>
      <c r="Y44" s="31" t="s">
        <v>138</v>
      </c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31" t="s">
        <v>138</v>
      </c>
      <c r="AF44" s="31" t="s">
        <v>138</v>
      </c>
      <c r="AG44" s="31" t="s">
        <v>138</v>
      </c>
      <c r="AH44" s="31" t="s">
        <v>138</v>
      </c>
    </row>
    <row x14ac:dyDescent="0.25" r="45" customHeight="1" ht="18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4</v>
      </c>
      <c r="W45" s="31">
        <v>4</v>
      </c>
      <c r="X45" s="31">
        <v>4</v>
      </c>
      <c r="Y45" s="31">
        <v>4</v>
      </c>
      <c r="Z45" s="31">
        <v>4</v>
      </c>
      <c r="AA45" s="31">
        <v>4</v>
      </c>
      <c r="AB45" s="31">
        <v>4</v>
      </c>
      <c r="AC45" s="31">
        <v>4</v>
      </c>
      <c r="AD45" s="31">
        <v>4</v>
      </c>
      <c r="AE45" s="31">
        <v>4</v>
      </c>
      <c r="AF45" s="31">
        <v>4</v>
      </c>
      <c r="AG45" s="31">
        <v>4</v>
      </c>
      <c r="AH45" s="31">
        <v>4</v>
      </c>
    </row>
    <row x14ac:dyDescent="0.25" r="46" customHeight="1" ht="18.7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x14ac:dyDescent="0.25" r="47" customHeight="1" ht="18.75">
      <c r="A47" s="38" t="s">
        <v>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x14ac:dyDescent="0.25" r="48" customHeight="1" ht="18.75">
      <c r="A48" s="209" t="s">
        <v>1066</v>
      </c>
      <c r="B48" s="40" t="s">
        <v>1067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x14ac:dyDescent="0.25" r="49" customHeight="1" ht="18.75">
      <c r="A49" s="30"/>
      <c r="B49" s="40" t="s">
        <v>1068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x14ac:dyDescent="0.25" r="50" customHeight="1" ht="18.75">
      <c r="A50" s="30"/>
      <c r="B50" s="40" t="s">
        <v>1069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</sheetData>
  <mergeCells count="6">
    <mergeCell ref="B3:D3"/>
    <mergeCell ref="F3:O3"/>
    <mergeCell ref="B4:D4"/>
    <mergeCell ref="F4:O5"/>
    <mergeCell ref="B5:D5"/>
    <mergeCell ref="A48:A5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5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4" width="13.576428571428572" customWidth="1" bestFit="1"/>
    <col min="34" max="34" style="44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3"/>
      <c r="AI1" s="3"/>
      <c r="AJ1" s="2"/>
      <c r="AK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  <c r="AH2" s="3"/>
      <c r="AI2" s="3"/>
      <c r="AJ2" s="2"/>
      <c r="AK2" s="2"/>
    </row>
    <row x14ac:dyDescent="0.25" r="3" customHeight="1" ht="18.75">
      <c r="A3" s="1" t="s">
        <v>2</v>
      </c>
      <c r="B3" s="7" t="s">
        <v>1056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  <c r="AH3" s="3"/>
      <c r="AI3" s="3"/>
      <c r="AJ3" s="2"/>
      <c r="AK3" s="2"/>
    </row>
    <row x14ac:dyDescent="0.25" r="4" customHeight="1" ht="18.75">
      <c r="A4" s="1" t="s">
        <v>4</v>
      </c>
      <c r="B4" s="7" t="s">
        <v>961</v>
      </c>
      <c r="C4" s="7"/>
      <c r="D4" s="7"/>
      <c r="E4" s="2"/>
      <c r="F4" s="124" t="s">
        <v>1057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40" t="s">
        <v>1058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3"/>
      <c r="AH4" s="3"/>
      <c r="AI4" s="3"/>
      <c r="AJ4" s="2"/>
      <c r="AK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3"/>
      <c r="AI5" s="3"/>
      <c r="AJ5" s="2"/>
      <c r="AK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3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29" t="s">
        <v>41</v>
      </c>
      <c r="AH7" s="29" t="s">
        <v>42</v>
      </c>
      <c r="AI7" s="3"/>
      <c r="AJ7" s="54" t="s">
        <v>24</v>
      </c>
      <c r="AK7" s="102" t="s">
        <v>25</v>
      </c>
    </row>
    <row x14ac:dyDescent="0.25" r="8" customHeight="1" ht="18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139" t="s">
        <v>932</v>
      </c>
      <c r="J8" s="31" t="s">
        <v>932</v>
      </c>
      <c r="K8" s="31" t="s">
        <v>932</v>
      </c>
      <c r="L8" s="31" t="s">
        <v>932</v>
      </c>
      <c r="M8" s="31" t="s">
        <v>932</v>
      </c>
      <c r="N8" s="31" t="s">
        <v>932</v>
      </c>
      <c r="O8" s="31" t="s">
        <v>932</v>
      </c>
      <c r="P8" s="31" t="s">
        <v>933</v>
      </c>
      <c r="Q8" s="31" t="s">
        <v>933</v>
      </c>
      <c r="R8" s="143" t="s">
        <v>358</v>
      </c>
      <c r="S8" s="31" t="s">
        <v>934</v>
      </c>
      <c r="T8" s="143" t="s">
        <v>358</v>
      </c>
      <c r="U8" s="143" t="s">
        <v>358</v>
      </c>
      <c r="V8" s="143" t="s">
        <v>358</v>
      </c>
      <c r="W8" s="143" t="s">
        <v>358</v>
      </c>
      <c r="X8" s="31" t="s">
        <v>68</v>
      </c>
      <c r="Y8" s="143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75"/>
      <c r="AH8" s="230"/>
      <c r="AI8" s="3"/>
      <c r="AJ8" s="31" t="s">
        <v>933</v>
      </c>
      <c r="AK8" s="31" t="s">
        <v>933</v>
      </c>
    </row>
    <row x14ac:dyDescent="0.25" r="9" customHeight="1" ht="18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139" t="s">
        <v>937</v>
      </c>
      <c r="J9" s="31" t="s">
        <v>937</v>
      </c>
      <c r="K9" s="31" t="s">
        <v>939</v>
      </c>
      <c r="L9" s="31" t="s">
        <v>937</v>
      </c>
      <c r="M9" s="31" t="s">
        <v>940</v>
      </c>
      <c r="N9" s="31" t="s">
        <v>932</v>
      </c>
      <c r="O9" s="31" t="s">
        <v>932</v>
      </c>
      <c r="P9" s="31" t="s">
        <v>932</v>
      </c>
      <c r="Q9" s="31" t="s">
        <v>932</v>
      </c>
      <c r="R9" s="143" t="s">
        <v>358</v>
      </c>
      <c r="S9" s="31" t="s">
        <v>937</v>
      </c>
      <c r="T9" s="143" t="s">
        <v>358</v>
      </c>
      <c r="U9" s="143" t="s">
        <v>358</v>
      </c>
      <c r="V9" s="143" t="s">
        <v>358</v>
      </c>
      <c r="W9" s="143" t="s">
        <v>358</v>
      </c>
      <c r="X9" s="31" t="s">
        <v>68</v>
      </c>
      <c r="Y9" s="143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75"/>
      <c r="AH9" s="231"/>
      <c r="AI9" s="3"/>
      <c r="AJ9" s="33" t="s">
        <v>932</v>
      </c>
      <c r="AK9" s="31" t="s">
        <v>932</v>
      </c>
    </row>
    <row x14ac:dyDescent="0.25" r="10" customHeight="1" ht="18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67">
        <v>504</v>
      </c>
      <c r="J10" s="117">
        <v>504</v>
      </c>
      <c r="K10" s="117">
        <v>515</v>
      </c>
      <c r="L10" s="117">
        <v>504</v>
      </c>
      <c r="M10" s="117">
        <v>514</v>
      </c>
      <c r="N10" s="117">
        <v>503</v>
      </c>
      <c r="O10" s="117">
        <v>503</v>
      </c>
      <c r="P10" s="117">
        <v>503</v>
      </c>
      <c r="Q10" s="117">
        <v>503</v>
      </c>
      <c r="R10" s="144"/>
      <c r="S10" s="117">
        <v>504</v>
      </c>
      <c r="T10" s="144"/>
      <c r="U10" s="144"/>
      <c r="V10" s="144"/>
      <c r="W10" s="144"/>
      <c r="X10" s="117">
        <v>501</v>
      </c>
      <c r="Y10" s="144"/>
      <c r="Z10" s="144"/>
      <c r="AA10" s="144"/>
      <c r="AB10" s="144"/>
      <c r="AC10" s="144"/>
      <c r="AD10" s="144"/>
      <c r="AE10" s="144"/>
      <c r="AF10" s="144"/>
      <c r="AG10" s="176"/>
      <c r="AH10" s="232"/>
      <c r="AI10" s="3"/>
      <c r="AJ10" s="117">
        <v>503</v>
      </c>
      <c r="AK10" s="117">
        <v>503</v>
      </c>
    </row>
    <row x14ac:dyDescent="0.25" r="11" customHeight="1" ht="15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139" t="s">
        <v>49</v>
      </c>
      <c r="J11" s="31" t="s">
        <v>49</v>
      </c>
      <c r="K11" s="31" t="s">
        <v>49</v>
      </c>
      <c r="L11" s="31" t="s">
        <v>49</v>
      </c>
      <c r="M11" s="31" t="s">
        <v>49</v>
      </c>
      <c r="N11" s="31" t="s">
        <v>49</v>
      </c>
      <c r="O11" s="31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143" t="s">
        <v>49</v>
      </c>
      <c r="V11" s="143" t="s">
        <v>49</v>
      </c>
      <c r="W11" s="143" t="s">
        <v>49</v>
      </c>
      <c r="X11" s="31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75"/>
      <c r="AH11" s="230"/>
      <c r="AI11" s="3"/>
      <c r="AJ11" s="31" t="s">
        <v>49</v>
      </c>
      <c r="AK11" s="31" t="s">
        <v>49</v>
      </c>
    </row>
    <row x14ac:dyDescent="0.25" r="12" customHeight="1" ht="15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139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31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75"/>
      <c r="AH12" s="230"/>
      <c r="AI12" s="3"/>
      <c r="AJ12" s="31" t="s">
        <v>49</v>
      </c>
      <c r="AK12" s="31" t="s">
        <v>49</v>
      </c>
    </row>
    <row x14ac:dyDescent="0.25" r="13" customHeight="1" ht="15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139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143" t="s">
        <v>49</v>
      </c>
      <c r="V13" s="143" t="s">
        <v>49</v>
      </c>
      <c r="W13" s="143" t="s">
        <v>49</v>
      </c>
      <c r="X13" s="31" t="s">
        <v>52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75"/>
      <c r="AH13" s="230"/>
      <c r="AI13" s="3"/>
      <c r="AJ13" s="31" t="s">
        <v>52</v>
      </c>
      <c r="AK13" s="31" t="s">
        <v>52</v>
      </c>
    </row>
    <row x14ac:dyDescent="0.25" r="14" customHeight="1" ht="15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139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143" t="s">
        <v>49</v>
      </c>
      <c r="V14" s="143" t="s">
        <v>49</v>
      </c>
      <c r="W14" s="143" t="s">
        <v>49</v>
      </c>
      <c r="X14" s="31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75"/>
      <c r="AH14" s="230"/>
      <c r="AI14" s="3"/>
      <c r="AJ14" s="31" t="s">
        <v>49</v>
      </c>
      <c r="AK14" s="31" t="s">
        <v>49</v>
      </c>
    </row>
    <row x14ac:dyDescent="0.25" r="15" customHeight="1" ht="15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139" t="s">
        <v>49</v>
      </c>
      <c r="J15" s="31" t="s">
        <v>49</v>
      </c>
      <c r="K15" s="31" t="s">
        <v>49</v>
      </c>
      <c r="L15" s="31" t="s">
        <v>49</v>
      </c>
      <c r="M15" s="31" t="s">
        <v>49</v>
      </c>
      <c r="N15" s="31" t="s">
        <v>49</v>
      </c>
      <c r="O15" s="31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143" t="s">
        <v>49</v>
      </c>
      <c r="V15" s="143" t="s">
        <v>49</v>
      </c>
      <c r="W15" s="143" t="s">
        <v>49</v>
      </c>
      <c r="X15" s="31" t="s">
        <v>49</v>
      </c>
      <c r="Y15" s="143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143" t="s">
        <v>49</v>
      </c>
      <c r="AE15" s="143" t="s">
        <v>49</v>
      </c>
      <c r="AF15" s="143" t="s">
        <v>49</v>
      </c>
      <c r="AG15" s="175"/>
      <c r="AH15" s="230"/>
      <c r="AI15" s="3"/>
      <c r="AJ15" s="31" t="s">
        <v>49</v>
      </c>
      <c r="AK15" s="31" t="s">
        <v>49</v>
      </c>
    </row>
    <row x14ac:dyDescent="0.25" r="16" customHeight="1" ht="15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139" t="s">
        <v>49</v>
      </c>
      <c r="J16" s="31" t="s">
        <v>49</v>
      </c>
      <c r="K16" s="31" t="s">
        <v>49</v>
      </c>
      <c r="L16" s="31" t="s">
        <v>49</v>
      </c>
      <c r="M16" s="31" t="s">
        <v>49</v>
      </c>
      <c r="N16" s="31" t="s">
        <v>49</v>
      </c>
      <c r="O16" s="31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143" t="s">
        <v>49</v>
      </c>
      <c r="V16" s="143" t="s">
        <v>49</v>
      </c>
      <c r="W16" s="143" t="s">
        <v>49</v>
      </c>
      <c r="X16" s="31" t="s">
        <v>49</v>
      </c>
      <c r="Y16" s="143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143" t="s">
        <v>49</v>
      </c>
      <c r="AE16" s="143" t="s">
        <v>49</v>
      </c>
      <c r="AF16" s="143" t="s">
        <v>49</v>
      </c>
      <c r="AG16" s="175"/>
      <c r="AH16" s="230"/>
      <c r="AI16" s="3"/>
      <c r="AJ16" s="31" t="s">
        <v>49</v>
      </c>
      <c r="AK16" s="31" t="s">
        <v>49</v>
      </c>
    </row>
    <row x14ac:dyDescent="0.25" r="17" customHeight="1" ht="15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139" t="s">
        <v>941</v>
      </c>
      <c r="J17" s="31" t="s">
        <v>941</v>
      </c>
      <c r="K17" s="31" t="s">
        <v>941</v>
      </c>
      <c r="L17" s="31" t="s">
        <v>941</v>
      </c>
      <c r="M17" s="31" t="s">
        <v>941</v>
      </c>
      <c r="N17" s="31" t="s">
        <v>941</v>
      </c>
      <c r="O17" s="31" t="s">
        <v>941</v>
      </c>
      <c r="P17" s="31" t="s">
        <v>57</v>
      </c>
      <c r="Q17" s="31" t="s">
        <v>57</v>
      </c>
      <c r="R17" s="143" t="s">
        <v>358</v>
      </c>
      <c r="S17" s="31" t="s">
        <v>941</v>
      </c>
      <c r="T17" s="143" t="s">
        <v>358</v>
      </c>
      <c r="U17" s="143" t="s">
        <v>358</v>
      </c>
      <c r="V17" s="143" t="s">
        <v>358</v>
      </c>
      <c r="W17" s="143" t="s">
        <v>358</v>
      </c>
      <c r="X17" s="31" t="s">
        <v>941</v>
      </c>
      <c r="Y17" s="143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77"/>
      <c r="AH17" s="233"/>
      <c r="AI17" s="3"/>
      <c r="AJ17" s="31" t="s">
        <v>57</v>
      </c>
      <c r="AK17" s="31" t="s">
        <v>57</v>
      </c>
    </row>
    <row x14ac:dyDescent="0.25" r="18" customHeight="1" ht="15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139" t="s">
        <v>942</v>
      </c>
      <c r="J18" s="31" t="s">
        <v>942</v>
      </c>
      <c r="K18" s="31" t="s">
        <v>942</v>
      </c>
      <c r="L18" s="31" t="s">
        <v>942</v>
      </c>
      <c r="M18" s="31" t="s">
        <v>942</v>
      </c>
      <c r="N18" s="31" t="s">
        <v>942</v>
      </c>
      <c r="O18" s="31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143" t="s">
        <v>942</v>
      </c>
      <c r="V18" s="143" t="s">
        <v>942</v>
      </c>
      <c r="W18" s="143" t="s">
        <v>942</v>
      </c>
      <c r="X18" s="31" t="s">
        <v>59</v>
      </c>
      <c r="Y18" s="143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143" t="s">
        <v>942</v>
      </c>
      <c r="AE18" s="143" t="s">
        <v>942</v>
      </c>
      <c r="AF18" s="143" t="s">
        <v>942</v>
      </c>
      <c r="AG18" s="177"/>
      <c r="AH18" s="233"/>
      <c r="AI18" s="3"/>
      <c r="AJ18" s="31" t="s">
        <v>942</v>
      </c>
      <c r="AK18" s="31" t="s">
        <v>942</v>
      </c>
    </row>
    <row x14ac:dyDescent="0.25" r="19" customHeight="1" ht="15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140">
        <v>3</v>
      </c>
      <c r="J19" s="31">
        <v>3</v>
      </c>
      <c r="K19" s="31">
        <v>2</v>
      </c>
      <c r="L19" s="31">
        <v>3</v>
      </c>
      <c r="M19" s="31">
        <v>3</v>
      </c>
      <c r="N19" s="31">
        <v>4</v>
      </c>
      <c r="O19" s="31">
        <v>4</v>
      </c>
      <c r="P19" s="31">
        <v>4</v>
      </c>
      <c r="Q19" s="31">
        <v>4</v>
      </c>
      <c r="R19" s="224">
        <v>3</v>
      </c>
      <c r="S19" s="31">
        <v>3</v>
      </c>
      <c r="T19" s="224">
        <v>3</v>
      </c>
      <c r="U19" s="224">
        <v>3</v>
      </c>
      <c r="V19" s="224">
        <v>3</v>
      </c>
      <c r="W19" s="224">
        <v>3</v>
      </c>
      <c r="X19" s="31">
        <v>6</v>
      </c>
      <c r="Y19" s="224">
        <v>3</v>
      </c>
      <c r="Z19" s="224">
        <v>3</v>
      </c>
      <c r="AA19" s="224">
        <v>3</v>
      </c>
      <c r="AB19" s="224">
        <v>3</v>
      </c>
      <c r="AC19" s="224">
        <v>3</v>
      </c>
      <c r="AD19" s="224">
        <v>3</v>
      </c>
      <c r="AE19" s="224">
        <v>3</v>
      </c>
      <c r="AF19" s="224">
        <v>3</v>
      </c>
      <c r="AG19" s="175"/>
      <c r="AH19" s="230"/>
      <c r="AI19" s="3"/>
      <c r="AJ19" s="31">
        <v>4</v>
      </c>
      <c r="AK19" s="33">
        <v>4</v>
      </c>
    </row>
    <row x14ac:dyDescent="0.25" r="20" customHeight="1" ht="15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3" t="s">
        <v>62</v>
      </c>
      <c r="K20" s="33" t="s">
        <v>943</v>
      </c>
      <c r="L20" s="33" t="s">
        <v>62</v>
      </c>
      <c r="M20" s="33" t="s">
        <v>943</v>
      </c>
      <c r="N20" s="33" t="s">
        <v>62</v>
      </c>
      <c r="O20" s="33" t="s">
        <v>62</v>
      </c>
      <c r="P20" s="33" t="s">
        <v>62</v>
      </c>
      <c r="Q20" s="33" t="s">
        <v>62</v>
      </c>
      <c r="R20" s="146" t="s">
        <v>943</v>
      </c>
      <c r="S20" s="33" t="s">
        <v>62</v>
      </c>
      <c r="T20" s="146" t="s">
        <v>943</v>
      </c>
      <c r="U20" s="146" t="s">
        <v>943</v>
      </c>
      <c r="V20" s="146" t="s">
        <v>943</v>
      </c>
      <c r="W20" s="146" t="s">
        <v>943</v>
      </c>
      <c r="X20" s="33" t="s">
        <v>62</v>
      </c>
      <c r="Y20" s="146" t="s">
        <v>943</v>
      </c>
      <c r="Z20" s="146" t="s">
        <v>943</v>
      </c>
      <c r="AA20" s="146" t="s">
        <v>943</v>
      </c>
      <c r="AB20" s="146" t="s">
        <v>943</v>
      </c>
      <c r="AC20" s="146" t="s">
        <v>943</v>
      </c>
      <c r="AD20" s="146" t="s">
        <v>943</v>
      </c>
      <c r="AE20" s="146" t="s">
        <v>943</v>
      </c>
      <c r="AF20" s="146" t="s">
        <v>943</v>
      </c>
      <c r="AG20" s="197"/>
      <c r="AH20" s="175"/>
      <c r="AI20" s="3"/>
      <c r="AJ20" s="31" t="s">
        <v>62</v>
      </c>
      <c r="AK20" s="31" t="s">
        <v>62</v>
      </c>
    </row>
    <row x14ac:dyDescent="0.25" r="21" customHeight="1" ht="15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1">
        <v>1</v>
      </c>
      <c r="O21" s="31">
        <v>1</v>
      </c>
      <c r="P21" s="31">
        <v>1</v>
      </c>
      <c r="Q21" s="31">
        <v>1</v>
      </c>
      <c r="R21" s="143">
        <v>0</v>
      </c>
      <c r="S21" s="31">
        <v>1</v>
      </c>
      <c r="T21" s="143">
        <v>0</v>
      </c>
      <c r="U21" s="143">
        <v>0</v>
      </c>
      <c r="V21" s="143">
        <v>0</v>
      </c>
      <c r="W21" s="143">
        <v>0</v>
      </c>
      <c r="X21" s="31">
        <v>1</v>
      </c>
      <c r="Y21" s="143">
        <v>0</v>
      </c>
      <c r="Z21" s="143">
        <v>0</v>
      </c>
      <c r="AA21" s="143">
        <v>0</v>
      </c>
      <c r="AB21" s="143">
        <v>0</v>
      </c>
      <c r="AC21" s="143">
        <v>0</v>
      </c>
      <c r="AD21" s="143">
        <v>0</v>
      </c>
      <c r="AE21" s="143">
        <v>0</v>
      </c>
      <c r="AF21" s="143">
        <v>0</v>
      </c>
      <c r="AG21" s="177"/>
      <c r="AH21" s="177"/>
      <c r="AI21" s="3"/>
      <c r="AJ21" s="31">
        <v>1</v>
      </c>
      <c r="AK21" s="31">
        <v>1</v>
      </c>
    </row>
    <row x14ac:dyDescent="0.25" r="22" customHeight="1" ht="18.75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  <c r="AH22" s="3"/>
      <c r="AI22" s="3"/>
      <c r="AJ22" s="2"/>
      <c r="AK22" s="2"/>
    </row>
    <row x14ac:dyDescent="0.25" r="23" customHeight="1" ht="18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31" t="s">
        <v>207</v>
      </c>
      <c r="N23" s="31" t="s">
        <v>207</v>
      </c>
      <c r="O23" s="31" t="s">
        <v>207</v>
      </c>
      <c r="P23" s="218" t="s">
        <v>358</v>
      </c>
      <c r="Q23" s="218" t="s">
        <v>358</v>
      </c>
      <c r="R23" s="139" t="s">
        <v>207</v>
      </c>
      <c r="S23" s="218" t="s">
        <v>358</v>
      </c>
      <c r="T23" s="31" t="s">
        <v>207</v>
      </c>
      <c r="U23" s="31" t="s">
        <v>207</v>
      </c>
      <c r="V23" s="31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175"/>
      <c r="AH23" s="175"/>
      <c r="AI23" s="3"/>
      <c r="AJ23" s="143" t="s">
        <v>358</v>
      </c>
      <c r="AK23" s="143" t="s">
        <v>358</v>
      </c>
    </row>
    <row x14ac:dyDescent="0.25" r="24" customHeight="1" ht="18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31" t="s">
        <v>210</v>
      </c>
      <c r="N24" s="31" t="s">
        <v>210</v>
      </c>
      <c r="O24" s="31" t="s">
        <v>210</v>
      </c>
      <c r="P24" s="220" t="s">
        <v>358</v>
      </c>
      <c r="Q24" s="220" t="s">
        <v>358</v>
      </c>
      <c r="R24" s="210" t="s">
        <v>1016</v>
      </c>
      <c r="S24" s="220" t="s">
        <v>358</v>
      </c>
      <c r="T24" s="31" t="s">
        <v>944</v>
      </c>
      <c r="U24" s="31" t="s">
        <v>210</v>
      </c>
      <c r="V24" s="31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197"/>
      <c r="AH24" s="197"/>
      <c r="AI24" s="3"/>
      <c r="AJ24" s="143" t="s">
        <v>358</v>
      </c>
      <c r="AK24" s="143" t="s">
        <v>358</v>
      </c>
    </row>
    <row x14ac:dyDescent="0.25" r="25" customHeight="1" ht="18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17">
        <v>52</v>
      </c>
      <c r="N25" s="117">
        <v>52</v>
      </c>
      <c r="O25" s="117">
        <v>52</v>
      </c>
      <c r="P25" s="144"/>
      <c r="Q25" s="144"/>
      <c r="R25" s="167">
        <v>162</v>
      </c>
      <c r="S25" s="144"/>
      <c r="T25" s="117">
        <v>159</v>
      </c>
      <c r="U25" s="117">
        <v>52</v>
      </c>
      <c r="V25" s="11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97"/>
      <c r="AH25" s="197"/>
      <c r="AI25" s="3"/>
      <c r="AJ25" s="144"/>
      <c r="AK25" s="144"/>
    </row>
    <row x14ac:dyDescent="0.25" r="26" customHeight="1" ht="18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33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3" t="s">
        <v>52</v>
      </c>
      <c r="S26" s="143" t="s">
        <v>49</v>
      </c>
      <c r="T26" s="33" t="s">
        <v>52</v>
      </c>
      <c r="U26" s="33" t="s">
        <v>52</v>
      </c>
      <c r="V26" s="31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175"/>
      <c r="AH26" s="175"/>
      <c r="AI26" s="3"/>
      <c r="AJ26" s="143" t="s">
        <v>49</v>
      </c>
      <c r="AK26" s="143" t="s">
        <v>49</v>
      </c>
    </row>
    <row x14ac:dyDescent="0.25" r="27" customHeight="1" ht="18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31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142" t="s">
        <v>49</v>
      </c>
      <c r="S27" s="143" t="s">
        <v>49</v>
      </c>
      <c r="T27" s="31" t="s">
        <v>49</v>
      </c>
      <c r="U27" s="31" t="s">
        <v>49</v>
      </c>
      <c r="V27" s="31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175"/>
      <c r="AH27" s="175"/>
      <c r="AI27" s="3"/>
      <c r="AJ27" s="143" t="s">
        <v>49</v>
      </c>
      <c r="AK27" s="143" t="s">
        <v>49</v>
      </c>
    </row>
    <row x14ac:dyDescent="0.25" r="28" customHeight="1" ht="18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31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119" t="s">
        <v>843</v>
      </c>
      <c r="S28" s="143" t="s">
        <v>49</v>
      </c>
      <c r="T28" s="31" t="s">
        <v>52</v>
      </c>
      <c r="U28" s="31" t="s">
        <v>52</v>
      </c>
      <c r="V28" s="31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175"/>
      <c r="AH28" s="175"/>
      <c r="AI28" s="3"/>
      <c r="AJ28" s="143" t="s">
        <v>49</v>
      </c>
      <c r="AK28" s="143" t="s">
        <v>49</v>
      </c>
    </row>
    <row x14ac:dyDescent="0.25" r="29" customHeight="1" ht="18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31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31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175"/>
      <c r="AH29" s="175"/>
      <c r="AI29" s="3"/>
      <c r="AJ29" s="146" t="s">
        <v>49</v>
      </c>
      <c r="AK29" s="146" t="s">
        <v>49</v>
      </c>
    </row>
    <row x14ac:dyDescent="0.25" r="30" customHeight="1" ht="18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31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118" t="s">
        <v>1017</v>
      </c>
      <c r="S30" s="143" t="s">
        <v>143</v>
      </c>
      <c r="T30" s="31" t="s">
        <v>143</v>
      </c>
      <c r="U30" s="31" t="s">
        <v>143</v>
      </c>
      <c r="V30" s="31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175"/>
      <c r="AH30" s="175"/>
      <c r="AI30" s="3"/>
      <c r="AJ30" s="143" t="s">
        <v>143</v>
      </c>
      <c r="AK30" s="143" t="s">
        <v>143</v>
      </c>
    </row>
    <row x14ac:dyDescent="0.25" r="31" customHeight="1" ht="18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31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AVERAGE(4/3,-0.5,-6)</f>
      </c>
      <c r="S31" s="143">
        <v>0</v>
      </c>
      <c r="T31" s="31">
        <f>AVERAGE(1,1,-0.5)</f>
      </c>
      <c r="U31" s="31">
        <v>0.5</v>
      </c>
      <c r="V31" s="31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177"/>
      <c r="AH31" s="177"/>
      <c r="AI31" s="3"/>
      <c r="AJ31" s="143">
        <v>0</v>
      </c>
      <c r="AK31" s="143">
        <v>0</v>
      </c>
    </row>
    <row x14ac:dyDescent="0.25" r="32" customHeight="1" ht="18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31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31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177"/>
      <c r="AH32" s="177"/>
      <c r="AI32" s="3"/>
      <c r="AJ32" s="143" t="s">
        <v>358</v>
      </c>
      <c r="AK32" s="143" t="s">
        <v>358</v>
      </c>
    </row>
    <row x14ac:dyDescent="0.25" r="33" customHeight="1" ht="18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143">
        <v>0</v>
      </c>
      <c r="Q33" s="143">
        <v>0</v>
      </c>
      <c r="R33" s="31">
        <v>2</v>
      </c>
      <c r="S33" s="143">
        <v>0</v>
      </c>
      <c r="T33" s="31">
        <v>2</v>
      </c>
      <c r="U33" s="31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175"/>
      <c r="AH33" s="175"/>
      <c r="AI33" s="3"/>
      <c r="AJ33" s="143">
        <v>0</v>
      </c>
      <c r="AK33" s="143">
        <v>0</v>
      </c>
    </row>
    <row x14ac:dyDescent="0.25" r="34" customHeight="1" ht="18.7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3"/>
      <c r="AH34" s="3"/>
      <c r="AI34" s="3"/>
      <c r="AJ34" s="2"/>
      <c r="AK34" s="2"/>
    </row>
    <row x14ac:dyDescent="0.25" r="35" customHeight="1" ht="18.75">
      <c r="A35" s="30" t="s">
        <v>43</v>
      </c>
      <c r="B35" s="31" t="s">
        <v>562</v>
      </c>
      <c r="C35" s="31" t="s">
        <v>1044</v>
      </c>
      <c r="D35" s="31" t="s">
        <v>1044</v>
      </c>
      <c r="E35" s="31" t="s">
        <v>1044</v>
      </c>
      <c r="F35" s="31" t="s">
        <v>1044</v>
      </c>
      <c r="G35" s="31" t="s">
        <v>1044</v>
      </c>
      <c r="H35" s="31" t="s">
        <v>1044</v>
      </c>
      <c r="I35" s="31" t="s">
        <v>1044</v>
      </c>
      <c r="J35" s="31" t="s">
        <v>1044</v>
      </c>
      <c r="K35" s="31" t="s">
        <v>1044</v>
      </c>
      <c r="L35" s="31" t="s">
        <v>1044</v>
      </c>
      <c r="M35" s="31" t="s">
        <v>1044</v>
      </c>
      <c r="N35" s="31" t="s">
        <v>1044</v>
      </c>
      <c r="O35" s="31" t="s">
        <v>1044</v>
      </c>
      <c r="P35" s="31" t="s">
        <v>301</v>
      </c>
      <c r="Q35" s="31" t="s">
        <v>301</v>
      </c>
      <c r="R35" s="139" t="s">
        <v>301</v>
      </c>
      <c r="S35" s="31" t="s">
        <v>301</v>
      </c>
      <c r="T35" s="114" t="s">
        <v>301</v>
      </c>
      <c r="U35" s="234" t="s">
        <v>301</v>
      </c>
      <c r="V35" s="31"/>
      <c r="W35" s="31"/>
      <c r="X35" s="31"/>
      <c r="Y35" s="31"/>
      <c r="Z35" s="31"/>
      <c r="AA35" s="31" t="s">
        <v>301</v>
      </c>
      <c r="AB35" s="31"/>
      <c r="AC35" s="31"/>
      <c r="AD35" s="31"/>
      <c r="AE35" s="31"/>
      <c r="AF35" s="31" t="s">
        <v>301</v>
      </c>
      <c r="AG35" s="175"/>
      <c r="AH35" s="175"/>
      <c r="AI35" s="3"/>
      <c r="AJ35" s="31" t="s">
        <v>1044</v>
      </c>
      <c r="AK35" s="31" t="s">
        <v>1044</v>
      </c>
    </row>
    <row x14ac:dyDescent="0.25" r="36" customHeight="1" ht="18.75">
      <c r="A36" s="30" t="s">
        <v>45</v>
      </c>
      <c r="B36" s="31" t="s">
        <v>302</v>
      </c>
      <c r="C36" s="31" t="s">
        <v>302</v>
      </c>
      <c r="D36" s="31" t="s">
        <v>302</v>
      </c>
      <c r="E36" s="31" t="s">
        <v>302</v>
      </c>
      <c r="F36" s="31" t="s">
        <v>302</v>
      </c>
      <c r="G36" s="31" t="s">
        <v>302</v>
      </c>
      <c r="H36" s="31" t="s">
        <v>302</v>
      </c>
      <c r="I36" s="31" t="s">
        <v>302</v>
      </c>
      <c r="J36" s="31" t="s">
        <v>302</v>
      </c>
      <c r="K36" s="31" t="s">
        <v>302</v>
      </c>
      <c r="L36" s="31" t="s">
        <v>302</v>
      </c>
      <c r="M36" s="31" t="s">
        <v>302</v>
      </c>
      <c r="N36" s="31" t="s">
        <v>302</v>
      </c>
      <c r="O36" s="31" t="s">
        <v>302</v>
      </c>
      <c r="P36" s="31" t="s">
        <v>227</v>
      </c>
      <c r="Q36" s="31" t="s">
        <v>227</v>
      </c>
      <c r="R36" s="186" t="s">
        <v>1021</v>
      </c>
      <c r="S36" s="33" t="s">
        <v>1022</v>
      </c>
      <c r="T36" s="31" t="s">
        <v>302</v>
      </c>
      <c r="U36" s="234" t="s">
        <v>302</v>
      </c>
      <c r="V36" s="33"/>
      <c r="W36" s="33"/>
      <c r="X36" s="33"/>
      <c r="Y36" s="33"/>
      <c r="Z36" s="33"/>
      <c r="AA36" s="31" t="s">
        <v>302</v>
      </c>
      <c r="AB36" s="33"/>
      <c r="AC36" s="33"/>
      <c r="AD36" s="33"/>
      <c r="AE36" s="33"/>
      <c r="AF36" s="31" t="s">
        <v>302</v>
      </c>
      <c r="AG36" s="197"/>
      <c r="AH36" s="197"/>
      <c r="AI36" s="3"/>
      <c r="AJ36" s="31" t="s">
        <v>302</v>
      </c>
      <c r="AK36" s="31" t="s">
        <v>302</v>
      </c>
    </row>
    <row x14ac:dyDescent="0.25" r="37" customHeight="1" ht="18.75">
      <c r="A37" s="35" t="s">
        <v>47</v>
      </c>
      <c r="B37" s="117">
        <v>19</v>
      </c>
      <c r="C37" s="117">
        <v>19</v>
      </c>
      <c r="D37" s="117">
        <v>19</v>
      </c>
      <c r="E37" s="117">
        <v>19</v>
      </c>
      <c r="F37" s="117">
        <v>19</v>
      </c>
      <c r="G37" s="117">
        <v>19</v>
      </c>
      <c r="H37" s="117">
        <v>19</v>
      </c>
      <c r="I37" s="117">
        <v>19</v>
      </c>
      <c r="J37" s="117">
        <v>19</v>
      </c>
      <c r="K37" s="117">
        <v>19</v>
      </c>
      <c r="L37" s="117">
        <v>19</v>
      </c>
      <c r="M37" s="117">
        <v>19</v>
      </c>
      <c r="N37" s="117">
        <v>19</v>
      </c>
      <c r="O37" s="117">
        <v>19</v>
      </c>
      <c r="P37" s="117">
        <v>56</v>
      </c>
      <c r="Q37" s="117">
        <v>56</v>
      </c>
      <c r="R37" s="117">
        <v>163</v>
      </c>
      <c r="S37" s="196">
        <v>106</v>
      </c>
      <c r="T37" s="117">
        <v>19</v>
      </c>
      <c r="U37" s="235">
        <v>19</v>
      </c>
      <c r="V37" s="36"/>
      <c r="W37" s="36"/>
      <c r="X37" s="36"/>
      <c r="Y37" s="36"/>
      <c r="Z37" s="36"/>
      <c r="AA37" s="117">
        <v>19</v>
      </c>
      <c r="AB37" s="36"/>
      <c r="AC37" s="36"/>
      <c r="AD37" s="36"/>
      <c r="AE37" s="36"/>
      <c r="AF37" s="117">
        <v>19</v>
      </c>
      <c r="AG37" s="197"/>
      <c r="AH37" s="197"/>
      <c r="AI37" s="3"/>
      <c r="AJ37" s="117">
        <v>19</v>
      </c>
      <c r="AK37" s="117">
        <v>19</v>
      </c>
    </row>
    <row x14ac:dyDescent="0.25" r="38" customHeight="1" ht="18.75">
      <c r="A38" s="30" t="s">
        <v>123</v>
      </c>
      <c r="B38" s="33" t="s">
        <v>52</v>
      </c>
      <c r="C38" s="33" t="s">
        <v>52</v>
      </c>
      <c r="D38" s="33" t="s">
        <v>52</v>
      </c>
      <c r="E38" s="33" t="s">
        <v>52</v>
      </c>
      <c r="F38" s="33" t="s">
        <v>52</v>
      </c>
      <c r="G38" s="33" t="s">
        <v>52</v>
      </c>
      <c r="H38" s="33" t="s">
        <v>52</v>
      </c>
      <c r="I38" s="33" t="s">
        <v>52</v>
      </c>
      <c r="J38" s="33" t="s">
        <v>52</v>
      </c>
      <c r="K38" s="33" t="s">
        <v>52</v>
      </c>
      <c r="L38" s="33" t="s">
        <v>52</v>
      </c>
      <c r="M38" s="33" t="s">
        <v>52</v>
      </c>
      <c r="N38" s="33" t="s">
        <v>52</v>
      </c>
      <c r="O38" s="33" t="s">
        <v>52</v>
      </c>
      <c r="P38" s="31" t="s">
        <v>52</v>
      </c>
      <c r="Q38" s="31" t="s">
        <v>52</v>
      </c>
      <c r="R38" s="33" t="s">
        <v>52</v>
      </c>
      <c r="S38" s="31" t="s">
        <v>52</v>
      </c>
      <c r="T38" s="33" t="s">
        <v>52</v>
      </c>
      <c r="U38" s="113" t="s">
        <v>52</v>
      </c>
      <c r="V38" s="31"/>
      <c r="W38" s="31"/>
      <c r="X38" s="31"/>
      <c r="Y38" s="31"/>
      <c r="Z38" s="31"/>
      <c r="AA38" s="33" t="s">
        <v>52</v>
      </c>
      <c r="AB38" s="31"/>
      <c r="AC38" s="33"/>
      <c r="AD38" s="31"/>
      <c r="AE38" s="33"/>
      <c r="AF38" s="33" t="s">
        <v>52</v>
      </c>
      <c r="AG38" s="175"/>
      <c r="AH38" s="175"/>
      <c r="AI38" s="3"/>
      <c r="AJ38" s="33" t="s">
        <v>52</v>
      </c>
      <c r="AK38" s="33" t="s">
        <v>52</v>
      </c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142" t="s">
        <v>49</v>
      </c>
      <c r="T39" s="31" t="s">
        <v>49</v>
      </c>
      <c r="U39" s="234" t="s">
        <v>49</v>
      </c>
      <c r="V39" s="31"/>
      <c r="W39" s="31"/>
      <c r="X39" s="31"/>
      <c r="Y39" s="31"/>
      <c r="Z39" s="31"/>
      <c r="AA39" s="31" t="s">
        <v>49</v>
      </c>
      <c r="AB39" s="31"/>
      <c r="AC39" s="31"/>
      <c r="AD39" s="31"/>
      <c r="AE39" s="31"/>
      <c r="AF39" s="31" t="s">
        <v>49</v>
      </c>
      <c r="AG39" s="175"/>
      <c r="AH39" s="175"/>
      <c r="AI39" s="3"/>
      <c r="AJ39" s="31" t="s">
        <v>49</v>
      </c>
      <c r="AK39" s="31" t="s">
        <v>49</v>
      </c>
    </row>
    <row x14ac:dyDescent="0.25" r="40" customHeight="1" ht="18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52</v>
      </c>
      <c r="Q40" s="31" t="s">
        <v>52</v>
      </c>
      <c r="R40" s="170" t="s">
        <v>1024</v>
      </c>
      <c r="S40" s="31" t="s">
        <v>1025</v>
      </c>
      <c r="T40" s="114" t="s">
        <v>49</v>
      </c>
      <c r="U40" s="234" t="s">
        <v>49</v>
      </c>
      <c r="V40" s="31"/>
      <c r="W40" s="31"/>
      <c r="X40" s="31"/>
      <c r="Y40" s="31"/>
      <c r="Z40" s="31"/>
      <c r="AA40" s="31" t="s">
        <v>49</v>
      </c>
      <c r="AB40" s="31"/>
      <c r="AC40" s="31"/>
      <c r="AD40" s="31"/>
      <c r="AE40" s="31"/>
      <c r="AF40" s="31" t="s">
        <v>49</v>
      </c>
      <c r="AG40" s="175"/>
      <c r="AH40" s="175"/>
      <c r="AI40" s="3"/>
      <c r="AJ40" s="31" t="s">
        <v>49</v>
      </c>
      <c r="AK40" s="31" t="s">
        <v>49</v>
      </c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3" t="s">
        <v>49</v>
      </c>
      <c r="T41" s="31" t="s">
        <v>49</v>
      </c>
      <c r="U41" s="234" t="s">
        <v>49</v>
      </c>
      <c r="V41" s="31"/>
      <c r="W41" s="31"/>
      <c r="X41" s="31"/>
      <c r="Y41" s="31"/>
      <c r="Z41" s="31"/>
      <c r="AA41" s="31" t="s">
        <v>49</v>
      </c>
      <c r="AB41" s="31"/>
      <c r="AC41" s="31"/>
      <c r="AD41" s="31"/>
      <c r="AE41" s="31"/>
      <c r="AF41" s="31" t="s">
        <v>49</v>
      </c>
      <c r="AG41" s="175"/>
      <c r="AH41" s="175"/>
      <c r="AI41" s="3"/>
      <c r="AJ41" s="31" t="s">
        <v>49</v>
      </c>
      <c r="AK41" s="31" t="s">
        <v>49</v>
      </c>
    </row>
    <row x14ac:dyDescent="0.25" r="42" customHeight="1" ht="18.75">
      <c r="A42" s="30" t="s">
        <v>127</v>
      </c>
      <c r="B42" s="31" t="s">
        <v>234</v>
      </c>
      <c r="C42" s="31" t="s">
        <v>234</v>
      </c>
      <c r="D42" s="31" t="s">
        <v>234</v>
      </c>
      <c r="E42" s="31" t="s">
        <v>234</v>
      </c>
      <c r="F42" s="31" t="s">
        <v>234</v>
      </c>
      <c r="G42" s="31" t="s">
        <v>234</v>
      </c>
      <c r="H42" s="31" t="s">
        <v>234</v>
      </c>
      <c r="I42" s="31" t="s">
        <v>234</v>
      </c>
      <c r="J42" s="31" t="s">
        <v>234</v>
      </c>
      <c r="K42" s="31" t="s">
        <v>234</v>
      </c>
      <c r="L42" s="31" t="s">
        <v>234</v>
      </c>
      <c r="M42" s="31" t="s">
        <v>234</v>
      </c>
      <c r="N42" s="31" t="s">
        <v>234</v>
      </c>
      <c r="O42" s="31" t="s">
        <v>234</v>
      </c>
      <c r="P42" s="31" t="s">
        <v>133</v>
      </c>
      <c r="Q42" s="31" t="s">
        <v>133</v>
      </c>
      <c r="R42" s="118" t="s">
        <v>1027</v>
      </c>
      <c r="S42" s="31" t="s">
        <v>194</v>
      </c>
      <c r="T42" s="31" t="s">
        <v>234</v>
      </c>
      <c r="U42" s="234" t="s">
        <v>234</v>
      </c>
      <c r="V42" s="31"/>
      <c r="W42" s="31"/>
      <c r="X42" s="31"/>
      <c r="Y42" s="31"/>
      <c r="Z42" s="31"/>
      <c r="AA42" s="31" t="s">
        <v>234</v>
      </c>
      <c r="AB42" s="31"/>
      <c r="AC42" s="31"/>
      <c r="AD42" s="31"/>
      <c r="AE42" s="31"/>
      <c r="AF42" s="31" t="s">
        <v>234</v>
      </c>
      <c r="AG42" s="175"/>
      <c r="AH42" s="175"/>
      <c r="AI42" s="3"/>
      <c r="AJ42" s="31" t="s">
        <v>234</v>
      </c>
      <c r="AK42" s="31" t="s">
        <v>234</v>
      </c>
    </row>
    <row x14ac:dyDescent="0.25" r="43" customHeight="1" ht="18.75">
      <c r="A43" s="30" t="s">
        <v>128</v>
      </c>
      <c r="B43" s="31">
        <v>-3</v>
      </c>
      <c r="C43" s="31">
        <v>-3</v>
      </c>
      <c r="D43" s="31">
        <v>-3</v>
      </c>
      <c r="E43" s="31">
        <v>-3</v>
      </c>
      <c r="F43" s="31">
        <v>-3</v>
      </c>
      <c r="G43" s="31">
        <v>-3</v>
      </c>
      <c r="H43" s="31">
        <v>-3</v>
      </c>
      <c r="I43" s="31">
        <v>-3</v>
      </c>
      <c r="J43" s="31">
        <v>-3</v>
      </c>
      <c r="K43" s="31">
        <v>-3</v>
      </c>
      <c r="L43" s="31">
        <v>-3</v>
      </c>
      <c r="M43" s="31">
        <v>-3</v>
      </c>
      <c r="N43" s="31">
        <v>-3</v>
      </c>
      <c r="O43" s="31">
        <v>-3</v>
      </c>
      <c r="P43" s="31">
        <v>-0.5</v>
      </c>
      <c r="Q43" s="31">
        <v>-0.5</v>
      </c>
      <c r="R43" s="31">
        <f>AVERAGE(-0.5,-3,-6)</f>
      </c>
      <c r="S43" s="31">
        <f>AVERAGE(-0.5,2)</f>
      </c>
      <c r="T43" s="31">
        <v>-3</v>
      </c>
      <c r="U43" s="234">
        <v>-3</v>
      </c>
      <c r="V43" s="31"/>
      <c r="W43" s="31"/>
      <c r="X43" s="31"/>
      <c r="Y43" s="31"/>
      <c r="Z43" s="31"/>
      <c r="AA43" s="31">
        <v>-3</v>
      </c>
      <c r="AB43" s="31"/>
      <c r="AC43" s="31"/>
      <c r="AD43" s="31"/>
      <c r="AE43" s="31"/>
      <c r="AF43" s="31">
        <v>-3</v>
      </c>
      <c r="AG43" s="177"/>
      <c r="AH43" s="177"/>
      <c r="AI43" s="3"/>
      <c r="AJ43" s="31">
        <v>-3</v>
      </c>
      <c r="AK43" s="31">
        <v>-3</v>
      </c>
    </row>
    <row x14ac:dyDescent="0.25" r="44" customHeight="1" ht="18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169</v>
      </c>
      <c r="Q44" s="31" t="s">
        <v>169</v>
      </c>
      <c r="R44" s="31" t="s">
        <v>1029</v>
      </c>
      <c r="S44" s="31" t="s">
        <v>813</v>
      </c>
      <c r="T44" s="31" t="s">
        <v>138</v>
      </c>
      <c r="U44" s="234" t="s">
        <v>138</v>
      </c>
      <c r="V44" s="31"/>
      <c r="W44" s="31"/>
      <c r="X44" s="31"/>
      <c r="Y44" s="31"/>
      <c r="Z44" s="31"/>
      <c r="AA44" s="31" t="s">
        <v>138</v>
      </c>
      <c r="AB44" s="31"/>
      <c r="AC44" s="31"/>
      <c r="AD44" s="31"/>
      <c r="AE44" s="31"/>
      <c r="AF44" s="31" t="s">
        <v>138</v>
      </c>
      <c r="AG44" s="177"/>
      <c r="AH44" s="177"/>
      <c r="AI44" s="3"/>
      <c r="AJ44" s="31" t="s">
        <v>138</v>
      </c>
      <c r="AK44" s="31" t="s">
        <v>138</v>
      </c>
    </row>
    <row x14ac:dyDescent="0.25" r="45" customHeight="1" ht="18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2</v>
      </c>
      <c r="Q45" s="31">
        <v>2</v>
      </c>
      <c r="R45" s="31">
        <f>AVERAGE(2,4,2)</f>
      </c>
      <c r="S45" s="31">
        <f>AVERAGE(3,2)</f>
      </c>
      <c r="T45" s="31">
        <v>4</v>
      </c>
      <c r="U45" s="234">
        <v>4</v>
      </c>
      <c r="V45" s="31"/>
      <c r="W45" s="31"/>
      <c r="X45" s="31"/>
      <c r="Y45" s="31"/>
      <c r="Z45" s="31"/>
      <c r="AA45" s="31">
        <v>4</v>
      </c>
      <c r="AB45" s="31"/>
      <c r="AC45" s="31"/>
      <c r="AD45" s="31"/>
      <c r="AE45" s="31"/>
      <c r="AF45" s="31">
        <v>4</v>
      </c>
      <c r="AG45" s="175"/>
      <c r="AH45" s="175"/>
      <c r="AI45" s="3"/>
      <c r="AJ45" s="31">
        <v>4</v>
      </c>
      <c r="AK45" s="31">
        <v>4</v>
      </c>
    </row>
    <row x14ac:dyDescent="0.25" r="46" customHeight="1" ht="15.7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121" t="s">
        <v>1059</v>
      </c>
      <c r="Q46" s="12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3"/>
      <c r="AH46" s="3"/>
      <c r="AI46" s="3"/>
      <c r="AJ46" s="121" t="s">
        <v>1060</v>
      </c>
      <c r="AK46" s="121"/>
    </row>
    <row x14ac:dyDescent="0.25" r="47" customHeight="1" ht="18.75">
      <c r="A47" s="38" t="s">
        <v>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3"/>
      <c r="AH47" s="3"/>
      <c r="AI47" s="3"/>
      <c r="AJ47" s="2"/>
      <c r="AK47" s="2"/>
    </row>
    <row x14ac:dyDescent="0.25" r="48" customHeight="1" ht="18.75">
      <c r="A48" s="206" t="s">
        <v>1061</v>
      </c>
      <c r="B48" s="214" t="s">
        <v>1033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3"/>
      <c r="AH48" s="3"/>
      <c r="AI48" s="3"/>
      <c r="AJ48" s="2"/>
      <c r="AK48" s="2"/>
    </row>
    <row x14ac:dyDescent="0.25" r="49" customHeight="1" ht="18.75">
      <c r="A49" s="30"/>
      <c r="B49" s="214" t="s">
        <v>1037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3"/>
      <c r="AH49" s="3"/>
      <c r="AI49" s="3"/>
      <c r="AJ49" s="2"/>
      <c r="AK49" s="2"/>
    </row>
    <row x14ac:dyDescent="0.25" r="50" customHeight="1" ht="18.75">
      <c r="A50" s="30"/>
      <c r="B50" s="214" t="s">
        <v>1054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3"/>
      <c r="AH50" s="3"/>
      <c r="AI50" s="3"/>
      <c r="AJ50" s="2"/>
      <c r="AK50" s="2"/>
    </row>
    <row x14ac:dyDescent="0.25" r="51" customHeight="1" ht="18.75">
      <c r="A51" s="209" t="s">
        <v>1062</v>
      </c>
      <c r="B51" s="214" t="s">
        <v>1033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3"/>
      <c r="AH51" s="3"/>
      <c r="AI51" s="3"/>
      <c r="AJ51" s="2"/>
      <c r="AK51" s="2"/>
    </row>
    <row x14ac:dyDescent="0.25" r="52" customHeight="1" ht="18.75">
      <c r="A52" s="30"/>
      <c r="B52" s="214" t="s">
        <v>1034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3"/>
      <c r="AH52" s="3"/>
      <c r="AI52" s="3"/>
      <c r="AJ52" s="2"/>
      <c r="AK52" s="2"/>
    </row>
    <row x14ac:dyDescent="0.25" r="53" customHeight="1" ht="18.75">
      <c r="A53" s="30"/>
      <c r="B53" s="214" t="s">
        <v>1054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3"/>
      <c r="AH53" s="3"/>
      <c r="AI53" s="3"/>
      <c r="AJ53" s="2"/>
      <c r="AK53" s="2"/>
    </row>
  </sheetData>
  <mergeCells count="9">
    <mergeCell ref="B3:D3"/>
    <mergeCell ref="F3:O3"/>
    <mergeCell ref="B4:D4"/>
    <mergeCell ref="F4:O5"/>
    <mergeCell ref="B5:D5"/>
    <mergeCell ref="P46:Q46"/>
    <mergeCell ref="AJ46:AK46"/>
    <mergeCell ref="A48:A50"/>
    <mergeCell ref="A51:A5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54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  <col min="48" max="48" style="43" width="13.576428571428572" customWidth="1" bestFit="1"/>
    <col min="49" max="49" style="43" width="13.576428571428572" customWidth="1" bestFit="1"/>
    <col min="50" max="50" style="43" width="13.576428571428572" customWidth="1" bestFit="1"/>
    <col min="51" max="51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x14ac:dyDescent="0.25" r="3" customHeight="1" ht="18.75">
      <c r="A3" s="1" t="s">
        <v>2</v>
      </c>
      <c r="B3" s="7" t="s">
        <v>1038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x14ac:dyDescent="0.25" r="4" customHeight="1" ht="18.75">
      <c r="A4" s="1" t="s">
        <v>4</v>
      </c>
      <c r="B4" s="7" t="s">
        <v>961</v>
      </c>
      <c r="C4" s="7"/>
      <c r="D4" s="7"/>
      <c r="E4" s="2"/>
      <c r="F4" s="124" t="s">
        <v>1039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40" t="s">
        <v>1040</v>
      </c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x14ac:dyDescent="0.25" r="5" customHeight="1" ht="18.75">
      <c r="A5" s="1" t="s">
        <v>7</v>
      </c>
      <c r="B5" s="7" t="s">
        <v>1041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26" t="s">
        <v>38</v>
      </c>
      <c r="AE7" s="27" t="s">
        <v>39</v>
      </c>
      <c r="AF7" s="28" t="s">
        <v>40</v>
      </c>
      <c r="AG7" s="56" t="s">
        <v>41</v>
      </c>
      <c r="AH7" s="56" t="s">
        <v>42</v>
      </c>
      <c r="AI7" s="3"/>
      <c r="AJ7" s="49" t="s">
        <v>11</v>
      </c>
      <c r="AK7" s="49" t="s">
        <v>12</v>
      </c>
      <c r="AL7" s="50" t="s">
        <v>13</v>
      </c>
      <c r="AM7" s="129" t="s">
        <v>14</v>
      </c>
      <c r="AN7" s="100" t="s">
        <v>15</v>
      </c>
      <c r="AO7" s="100" t="s">
        <v>16</v>
      </c>
      <c r="AP7" s="100" t="s">
        <v>17</v>
      </c>
      <c r="AQ7" s="53" t="s">
        <v>19</v>
      </c>
      <c r="AR7" s="53" t="s">
        <v>20</v>
      </c>
      <c r="AS7" s="53" t="s">
        <v>21</v>
      </c>
      <c r="AT7" s="131" t="s">
        <v>22</v>
      </c>
      <c r="AU7" s="131" t="s">
        <v>23</v>
      </c>
      <c r="AV7" s="102" t="s">
        <v>24</v>
      </c>
      <c r="AW7" s="102" t="s">
        <v>25</v>
      </c>
      <c r="AX7" s="55" t="s">
        <v>35</v>
      </c>
      <c r="AY7" s="56" t="s">
        <v>42</v>
      </c>
    </row>
    <row x14ac:dyDescent="0.25" r="8" customHeight="1" ht="18.75">
      <c r="A8" s="30" t="s">
        <v>43</v>
      </c>
      <c r="B8" s="177"/>
      <c r="C8" s="218" t="s">
        <v>358</v>
      </c>
      <c r="D8" s="218" t="s">
        <v>358</v>
      </c>
      <c r="E8" s="218" t="s">
        <v>358</v>
      </c>
      <c r="F8" s="218" t="s">
        <v>358</v>
      </c>
      <c r="G8" s="218" t="s">
        <v>358</v>
      </c>
      <c r="H8" s="218" t="s">
        <v>358</v>
      </c>
      <c r="I8" s="218" t="s">
        <v>358</v>
      </c>
      <c r="J8" s="218" t="s">
        <v>358</v>
      </c>
      <c r="K8" s="218" t="s">
        <v>358</v>
      </c>
      <c r="L8" s="218" t="s">
        <v>358</v>
      </c>
      <c r="M8" s="218" t="s">
        <v>358</v>
      </c>
      <c r="N8" s="218" t="s">
        <v>358</v>
      </c>
      <c r="O8" s="218" t="s">
        <v>358</v>
      </c>
      <c r="P8" s="218" t="s">
        <v>358</v>
      </c>
      <c r="Q8" s="218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218" t="s">
        <v>358</v>
      </c>
      <c r="AB8" s="32"/>
      <c r="AC8" s="145"/>
      <c r="AD8" s="32"/>
      <c r="AE8" s="32"/>
      <c r="AF8" s="32"/>
      <c r="AG8" s="143" t="s">
        <v>358</v>
      </c>
      <c r="AH8" s="143" t="s">
        <v>358</v>
      </c>
      <c r="AI8" s="3"/>
      <c r="AJ8" s="31" t="s">
        <v>932</v>
      </c>
      <c r="AK8" s="31" t="s">
        <v>932</v>
      </c>
      <c r="AL8" s="31" t="s">
        <v>932</v>
      </c>
      <c r="AM8" s="114" t="s">
        <v>932</v>
      </c>
      <c r="AN8" s="31" t="s">
        <v>932</v>
      </c>
      <c r="AO8" s="139" t="s">
        <v>932</v>
      </c>
      <c r="AP8" s="31" t="s">
        <v>932</v>
      </c>
      <c r="AQ8" s="31" t="s">
        <v>932</v>
      </c>
      <c r="AR8" s="31" t="s">
        <v>932</v>
      </c>
      <c r="AS8" s="31" t="s">
        <v>932</v>
      </c>
      <c r="AT8" s="31" t="s">
        <v>932</v>
      </c>
      <c r="AU8" s="31" t="s">
        <v>932</v>
      </c>
      <c r="AV8" s="31" t="s">
        <v>933</v>
      </c>
      <c r="AW8" s="139" t="s">
        <v>933</v>
      </c>
      <c r="AX8" s="143" t="s">
        <v>358</v>
      </c>
      <c r="AY8" s="143" t="s">
        <v>358</v>
      </c>
    </row>
    <row x14ac:dyDescent="0.25" r="9" customHeight="1" ht="18.75">
      <c r="A9" s="30" t="s">
        <v>45</v>
      </c>
      <c r="B9" s="219"/>
      <c r="C9" s="220" t="s">
        <v>358</v>
      </c>
      <c r="D9" s="220" t="s">
        <v>358</v>
      </c>
      <c r="E9" s="220" t="s">
        <v>358</v>
      </c>
      <c r="F9" s="220" t="s">
        <v>358</v>
      </c>
      <c r="G9" s="220" t="s">
        <v>358</v>
      </c>
      <c r="H9" s="220" t="s">
        <v>358</v>
      </c>
      <c r="I9" s="220" t="s">
        <v>358</v>
      </c>
      <c r="J9" s="220" t="s">
        <v>358</v>
      </c>
      <c r="K9" s="220" t="s">
        <v>358</v>
      </c>
      <c r="L9" s="220" t="s">
        <v>358</v>
      </c>
      <c r="M9" s="220" t="s">
        <v>358</v>
      </c>
      <c r="N9" s="220" t="s">
        <v>358</v>
      </c>
      <c r="O9" s="220" t="s">
        <v>358</v>
      </c>
      <c r="P9" s="220" t="s">
        <v>358</v>
      </c>
      <c r="Q9" s="220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220" t="s">
        <v>358</v>
      </c>
      <c r="AB9" s="34"/>
      <c r="AC9" s="227"/>
      <c r="AD9" s="32"/>
      <c r="AE9" s="32"/>
      <c r="AF9" s="32"/>
      <c r="AG9" s="143" t="s">
        <v>358</v>
      </c>
      <c r="AH9" s="143" t="s">
        <v>358</v>
      </c>
      <c r="AI9" s="3"/>
      <c r="AJ9" s="31" t="s">
        <v>68</v>
      </c>
      <c r="AK9" s="31" t="s">
        <v>935</v>
      </c>
      <c r="AL9" s="31" t="s">
        <v>936</v>
      </c>
      <c r="AM9" s="114" t="s">
        <v>936</v>
      </c>
      <c r="AN9" s="33" t="s">
        <v>937</v>
      </c>
      <c r="AO9" s="140" t="s">
        <v>938</v>
      </c>
      <c r="AP9" s="31" t="s">
        <v>937</v>
      </c>
      <c r="AQ9" s="33" t="s">
        <v>940</v>
      </c>
      <c r="AR9" s="33" t="s">
        <v>937</v>
      </c>
      <c r="AS9" s="33" t="s">
        <v>940</v>
      </c>
      <c r="AT9" s="31" t="s">
        <v>932</v>
      </c>
      <c r="AU9" s="31" t="s">
        <v>932</v>
      </c>
      <c r="AV9" s="31" t="s">
        <v>932</v>
      </c>
      <c r="AW9" s="139" t="s">
        <v>932</v>
      </c>
      <c r="AX9" s="143" t="s">
        <v>358</v>
      </c>
      <c r="AY9" s="143" t="s">
        <v>358</v>
      </c>
    </row>
    <row x14ac:dyDescent="0.25" r="10" customHeight="1" ht="18.75">
      <c r="A10" s="35" t="s">
        <v>47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34"/>
      <c r="S10" s="34"/>
      <c r="T10" s="34"/>
      <c r="U10" s="34"/>
      <c r="V10" s="34"/>
      <c r="W10" s="34"/>
      <c r="X10" s="34"/>
      <c r="Y10" s="34"/>
      <c r="Z10" s="34"/>
      <c r="AA10" s="144"/>
      <c r="AB10" s="34"/>
      <c r="AC10" s="227"/>
      <c r="AD10" s="32"/>
      <c r="AE10" s="32"/>
      <c r="AF10" s="32"/>
      <c r="AG10" s="144"/>
      <c r="AH10" s="144"/>
      <c r="AI10" s="3"/>
      <c r="AJ10" s="117">
        <v>501</v>
      </c>
      <c r="AK10" s="117">
        <v>502</v>
      </c>
      <c r="AL10" s="117">
        <v>508</v>
      </c>
      <c r="AM10" s="137">
        <v>508</v>
      </c>
      <c r="AN10" s="117">
        <v>504</v>
      </c>
      <c r="AO10" s="167">
        <v>550</v>
      </c>
      <c r="AP10" s="117">
        <v>504</v>
      </c>
      <c r="AQ10" s="117">
        <v>515</v>
      </c>
      <c r="AR10" s="117">
        <v>504</v>
      </c>
      <c r="AS10" s="117">
        <v>514</v>
      </c>
      <c r="AT10" s="117">
        <v>503</v>
      </c>
      <c r="AU10" s="117">
        <v>503</v>
      </c>
      <c r="AV10" s="117">
        <v>503</v>
      </c>
      <c r="AW10" s="167">
        <v>503</v>
      </c>
      <c r="AX10" s="144"/>
      <c r="AY10" s="144"/>
    </row>
    <row x14ac:dyDescent="0.25" r="11" customHeight="1" ht="18.75">
      <c r="A11" s="30" t="s">
        <v>48</v>
      </c>
      <c r="B11" s="177"/>
      <c r="C11" s="143" t="s">
        <v>49</v>
      </c>
      <c r="D11" s="143" t="s">
        <v>49</v>
      </c>
      <c r="E11" s="143" t="s">
        <v>49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143" t="s">
        <v>49</v>
      </c>
      <c r="K11" s="143" t="s">
        <v>49</v>
      </c>
      <c r="L11" s="143" t="s">
        <v>49</v>
      </c>
      <c r="M11" s="143" t="s">
        <v>49</v>
      </c>
      <c r="N11" s="143" t="s">
        <v>49</v>
      </c>
      <c r="O11" s="143" t="s">
        <v>49</v>
      </c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143" t="s">
        <v>49</v>
      </c>
      <c r="AB11" s="32"/>
      <c r="AC11" s="227"/>
      <c r="AD11" s="32"/>
      <c r="AE11" s="32"/>
      <c r="AF11" s="32"/>
      <c r="AG11" s="143" t="s">
        <v>49</v>
      </c>
      <c r="AH11" s="143" t="s">
        <v>49</v>
      </c>
      <c r="AI11" s="3"/>
      <c r="AJ11" s="31" t="s">
        <v>49</v>
      </c>
      <c r="AK11" s="31" t="s">
        <v>49</v>
      </c>
      <c r="AL11" s="31" t="s">
        <v>49</v>
      </c>
      <c r="AM11" s="114" t="s">
        <v>49</v>
      </c>
      <c r="AN11" s="31" t="s">
        <v>49</v>
      </c>
      <c r="AO11" s="139" t="s">
        <v>49</v>
      </c>
      <c r="AP11" s="31" t="s">
        <v>49</v>
      </c>
      <c r="AQ11" s="31" t="s">
        <v>49</v>
      </c>
      <c r="AR11" s="31" t="s">
        <v>49</v>
      </c>
      <c r="AS11" s="31" t="s">
        <v>49</v>
      </c>
      <c r="AT11" s="31" t="s">
        <v>49</v>
      </c>
      <c r="AU11" s="31" t="s">
        <v>49</v>
      </c>
      <c r="AV11" s="31" t="s">
        <v>49</v>
      </c>
      <c r="AW11" s="139" t="s">
        <v>49</v>
      </c>
      <c r="AX11" s="143" t="s">
        <v>49</v>
      </c>
      <c r="AY11" s="143" t="s">
        <v>49</v>
      </c>
    </row>
    <row x14ac:dyDescent="0.25" r="12" customHeight="1" ht="18.75">
      <c r="A12" s="30" t="s">
        <v>50</v>
      </c>
      <c r="B12" s="177"/>
      <c r="C12" s="143" t="s">
        <v>49</v>
      </c>
      <c r="D12" s="143" t="s">
        <v>49</v>
      </c>
      <c r="E12" s="143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143" t="s">
        <v>49</v>
      </c>
      <c r="K12" s="143" t="s">
        <v>49</v>
      </c>
      <c r="L12" s="143" t="s">
        <v>49</v>
      </c>
      <c r="M12" s="143" t="s">
        <v>49</v>
      </c>
      <c r="N12" s="143" t="s">
        <v>49</v>
      </c>
      <c r="O12" s="143" t="s">
        <v>49</v>
      </c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143" t="s">
        <v>49</v>
      </c>
      <c r="AB12" s="32"/>
      <c r="AC12" s="145"/>
      <c r="AD12" s="32"/>
      <c r="AE12" s="32"/>
      <c r="AF12" s="32"/>
      <c r="AG12" s="143" t="s">
        <v>49</v>
      </c>
      <c r="AH12" s="143" t="s">
        <v>49</v>
      </c>
      <c r="AI12" s="3"/>
      <c r="AJ12" s="31" t="s">
        <v>49</v>
      </c>
      <c r="AK12" s="31" t="s">
        <v>49</v>
      </c>
      <c r="AL12" s="31" t="s">
        <v>49</v>
      </c>
      <c r="AM12" s="114" t="s">
        <v>49</v>
      </c>
      <c r="AN12" s="31" t="s">
        <v>49</v>
      </c>
      <c r="AO12" s="139" t="s">
        <v>49</v>
      </c>
      <c r="AP12" s="31" t="s">
        <v>49</v>
      </c>
      <c r="AQ12" s="31" t="s">
        <v>49</v>
      </c>
      <c r="AR12" s="31" t="s">
        <v>49</v>
      </c>
      <c r="AS12" s="31" t="s">
        <v>49</v>
      </c>
      <c r="AT12" s="31" t="s">
        <v>49</v>
      </c>
      <c r="AU12" s="31" t="s">
        <v>49</v>
      </c>
      <c r="AV12" s="31" t="s">
        <v>49</v>
      </c>
      <c r="AW12" s="139" t="s">
        <v>49</v>
      </c>
      <c r="AX12" s="143" t="s">
        <v>49</v>
      </c>
      <c r="AY12" s="143" t="s">
        <v>49</v>
      </c>
    </row>
    <row x14ac:dyDescent="0.25" r="13" customHeight="1" ht="18.75">
      <c r="A13" s="30" t="s">
        <v>51</v>
      </c>
      <c r="B13" s="177"/>
      <c r="C13" s="143" t="s">
        <v>49</v>
      </c>
      <c r="D13" s="143" t="s">
        <v>49</v>
      </c>
      <c r="E13" s="143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143" t="s">
        <v>49</v>
      </c>
      <c r="K13" s="143" t="s">
        <v>49</v>
      </c>
      <c r="L13" s="143" t="s">
        <v>49</v>
      </c>
      <c r="M13" s="143" t="s">
        <v>49</v>
      </c>
      <c r="N13" s="143" t="s">
        <v>49</v>
      </c>
      <c r="O13" s="143" t="s">
        <v>49</v>
      </c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143" t="s">
        <v>49</v>
      </c>
      <c r="AB13" s="32"/>
      <c r="AC13" s="145"/>
      <c r="AD13" s="32"/>
      <c r="AE13" s="32"/>
      <c r="AF13" s="32"/>
      <c r="AG13" s="143" t="s">
        <v>49</v>
      </c>
      <c r="AH13" s="143" t="s">
        <v>49</v>
      </c>
      <c r="AI13" s="3"/>
      <c r="AJ13" s="31" t="s">
        <v>52</v>
      </c>
      <c r="AK13" s="31" t="s">
        <v>52</v>
      </c>
      <c r="AL13" s="31" t="s">
        <v>52</v>
      </c>
      <c r="AM13" s="114" t="s">
        <v>52</v>
      </c>
      <c r="AN13" s="31" t="s">
        <v>52</v>
      </c>
      <c r="AO13" s="139" t="s">
        <v>52</v>
      </c>
      <c r="AP13" s="31" t="s">
        <v>52</v>
      </c>
      <c r="AQ13" s="31" t="s">
        <v>52</v>
      </c>
      <c r="AR13" s="31" t="s">
        <v>52</v>
      </c>
      <c r="AS13" s="31" t="s">
        <v>52</v>
      </c>
      <c r="AT13" s="31" t="s">
        <v>52</v>
      </c>
      <c r="AU13" s="31" t="s">
        <v>52</v>
      </c>
      <c r="AV13" s="31" t="s">
        <v>52</v>
      </c>
      <c r="AW13" s="139" t="s">
        <v>52</v>
      </c>
      <c r="AX13" s="143" t="s">
        <v>49</v>
      </c>
      <c r="AY13" s="143" t="s">
        <v>49</v>
      </c>
    </row>
    <row x14ac:dyDescent="0.25" r="14" customHeight="1" ht="18.75">
      <c r="A14" s="30" t="s">
        <v>53</v>
      </c>
      <c r="B14" s="177"/>
      <c r="C14" s="143" t="s">
        <v>49</v>
      </c>
      <c r="D14" s="143" t="s">
        <v>49</v>
      </c>
      <c r="E14" s="143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143" t="s">
        <v>49</v>
      </c>
      <c r="K14" s="143" t="s">
        <v>49</v>
      </c>
      <c r="L14" s="143" t="s">
        <v>49</v>
      </c>
      <c r="M14" s="143" t="s">
        <v>49</v>
      </c>
      <c r="N14" s="143" t="s">
        <v>49</v>
      </c>
      <c r="O14" s="143" t="s">
        <v>49</v>
      </c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143" t="s">
        <v>49</v>
      </c>
      <c r="AB14" s="32"/>
      <c r="AC14" s="145"/>
      <c r="AD14" s="32"/>
      <c r="AE14" s="32"/>
      <c r="AF14" s="32"/>
      <c r="AG14" s="143" t="s">
        <v>49</v>
      </c>
      <c r="AH14" s="143" t="s">
        <v>49</v>
      </c>
      <c r="AI14" s="3"/>
      <c r="AJ14" s="33" t="s">
        <v>49</v>
      </c>
      <c r="AK14" s="33" t="s">
        <v>49</v>
      </c>
      <c r="AL14" s="33" t="s">
        <v>49</v>
      </c>
      <c r="AM14" s="31" t="s">
        <v>49</v>
      </c>
      <c r="AN14" s="31" t="s">
        <v>49</v>
      </c>
      <c r="AO14" s="139" t="s">
        <v>49</v>
      </c>
      <c r="AP14" s="31" t="s">
        <v>49</v>
      </c>
      <c r="AQ14" s="31" t="s">
        <v>49</v>
      </c>
      <c r="AR14" s="31" t="s">
        <v>49</v>
      </c>
      <c r="AS14" s="31" t="s">
        <v>49</v>
      </c>
      <c r="AT14" s="31" t="s">
        <v>49</v>
      </c>
      <c r="AU14" s="31" t="s">
        <v>49</v>
      </c>
      <c r="AV14" s="31" t="s">
        <v>49</v>
      </c>
      <c r="AW14" s="139" t="s">
        <v>49</v>
      </c>
      <c r="AX14" s="143" t="s">
        <v>49</v>
      </c>
      <c r="AY14" s="143" t="s">
        <v>49</v>
      </c>
    </row>
    <row x14ac:dyDescent="0.25" r="15" customHeight="1" ht="18.75">
      <c r="A15" s="30" t="s">
        <v>54</v>
      </c>
      <c r="B15" s="177"/>
      <c r="C15" s="143" t="s">
        <v>49</v>
      </c>
      <c r="D15" s="143" t="s">
        <v>49</v>
      </c>
      <c r="E15" s="143" t="s">
        <v>49</v>
      </c>
      <c r="F15" s="143" t="s">
        <v>49</v>
      </c>
      <c r="G15" s="143" t="s">
        <v>49</v>
      </c>
      <c r="H15" s="143" t="s">
        <v>49</v>
      </c>
      <c r="I15" s="143" t="s">
        <v>49</v>
      </c>
      <c r="J15" s="143" t="s">
        <v>49</v>
      </c>
      <c r="K15" s="143" t="s">
        <v>49</v>
      </c>
      <c r="L15" s="143" t="s">
        <v>49</v>
      </c>
      <c r="M15" s="143" t="s">
        <v>49</v>
      </c>
      <c r="N15" s="143" t="s">
        <v>49</v>
      </c>
      <c r="O15" s="143" t="s">
        <v>49</v>
      </c>
      <c r="P15" s="143" t="s">
        <v>49</v>
      </c>
      <c r="Q15" s="143" t="s">
        <v>49</v>
      </c>
      <c r="R15" s="32"/>
      <c r="S15" s="32"/>
      <c r="T15" s="32"/>
      <c r="U15" s="32"/>
      <c r="V15" s="32"/>
      <c r="W15" s="32"/>
      <c r="X15" s="32"/>
      <c r="Y15" s="32"/>
      <c r="Z15" s="32"/>
      <c r="AA15" s="143" t="s">
        <v>49</v>
      </c>
      <c r="AB15" s="32"/>
      <c r="AC15" s="145"/>
      <c r="AD15" s="32"/>
      <c r="AE15" s="32"/>
      <c r="AF15" s="32"/>
      <c r="AG15" s="143" t="s">
        <v>49</v>
      </c>
      <c r="AH15" s="143" t="s">
        <v>49</v>
      </c>
      <c r="AI15" s="3"/>
      <c r="AJ15" s="31" t="s">
        <v>49</v>
      </c>
      <c r="AK15" s="31" t="s">
        <v>49</v>
      </c>
      <c r="AL15" s="31" t="s">
        <v>49</v>
      </c>
      <c r="AM15" s="31" t="s">
        <v>49</v>
      </c>
      <c r="AN15" s="31" t="s">
        <v>49</v>
      </c>
      <c r="AO15" s="139" t="s">
        <v>49</v>
      </c>
      <c r="AP15" s="31" t="s">
        <v>49</v>
      </c>
      <c r="AQ15" s="31" t="s">
        <v>49</v>
      </c>
      <c r="AR15" s="31" t="s">
        <v>49</v>
      </c>
      <c r="AS15" s="31" t="s">
        <v>49</v>
      </c>
      <c r="AT15" s="31" t="s">
        <v>49</v>
      </c>
      <c r="AU15" s="31" t="s">
        <v>49</v>
      </c>
      <c r="AV15" s="31" t="s">
        <v>49</v>
      </c>
      <c r="AW15" s="139" t="s">
        <v>49</v>
      </c>
      <c r="AX15" s="143" t="s">
        <v>49</v>
      </c>
      <c r="AY15" s="143" t="s">
        <v>49</v>
      </c>
    </row>
    <row x14ac:dyDescent="0.25" r="16" customHeight="1" ht="18.75">
      <c r="A16" s="30" t="s">
        <v>55</v>
      </c>
      <c r="B16" s="177"/>
      <c r="C16" s="143" t="s">
        <v>49</v>
      </c>
      <c r="D16" s="143" t="s">
        <v>49</v>
      </c>
      <c r="E16" s="143" t="s">
        <v>49</v>
      </c>
      <c r="F16" s="143" t="s">
        <v>49</v>
      </c>
      <c r="G16" s="143" t="s">
        <v>49</v>
      </c>
      <c r="H16" s="143" t="s">
        <v>49</v>
      </c>
      <c r="I16" s="143" t="s">
        <v>49</v>
      </c>
      <c r="J16" s="143" t="s">
        <v>49</v>
      </c>
      <c r="K16" s="143" t="s">
        <v>49</v>
      </c>
      <c r="L16" s="143" t="s">
        <v>49</v>
      </c>
      <c r="M16" s="143" t="s">
        <v>49</v>
      </c>
      <c r="N16" s="143" t="s">
        <v>49</v>
      </c>
      <c r="O16" s="143" t="s">
        <v>49</v>
      </c>
      <c r="P16" s="143" t="s">
        <v>49</v>
      </c>
      <c r="Q16" s="143" t="s">
        <v>49</v>
      </c>
      <c r="R16" s="32"/>
      <c r="S16" s="32"/>
      <c r="T16" s="32"/>
      <c r="U16" s="32"/>
      <c r="V16" s="32"/>
      <c r="W16" s="32"/>
      <c r="X16" s="32"/>
      <c r="Y16" s="32"/>
      <c r="Z16" s="32"/>
      <c r="AA16" s="143" t="s">
        <v>49</v>
      </c>
      <c r="AB16" s="32"/>
      <c r="AC16" s="145"/>
      <c r="AD16" s="32"/>
      <c r="AE16" s="32"/>
      <c r="AF16" s="32"/>
      <c r="AG16" s="143" t="s">
        <v>49</v>
      </c>
      <c r="AH16" s="143" t="s">
        <v>49</v>
      </c>
      <c r="AI16" s="3"/>
      <c r="AJ16" s="31" t="s">
        <v>49</v>
      </c>
      <c r="AK16" s="31" t="s">
        <v>49</v>
      </c>
      <c r="AL16" s="31" t="s">
        <v>49</v>
      </c>
      <c r="AM16" s="31" t="s">
        <v>49</v>
      </c>
      <c r="AN16" s="31" t="s">
        <v>49</v>
      </c>
      <c r="AO16" s="31" t="s">
        <v>49</v>
      </c>
      <c r="AP16" s="31" t="s">
        <v>49</v>
      </c>
      <c r="AQ16" s="31" t="s">
        <v>49</v>
      </c>
      <c r="AR16" s="31" t="s">
        <v>49</v>
      </c>
      <c r="AS16" s="31" t="s">
        <v>49</v>
      </c>
      <c r="AT16" s="31" t="s">
        <v>49</v>
      </c>
      <c r="AU16" s="31" t="s">
        <v>49</v>
      </c>
      <c r="AV16" s="31" t="s">
        <v>49</v>
      </c>
      <c r="AW16" s="139" t="s">
        <v>49</v>
      </c>
      <c r="AX16" s="143" t="s">
        <v>49</v>
      </c>
      <c r="AY16" s="143" t="s">
        <v>49</v>
      </c>
    </row>
    <row x14ac:dyDescent="0.25" r="17" customHeight="1" ht="15.75">
      <c r="A17" s="30" t="s">
        <v>56</v>
      </c>
      <c r="B17" s="177"/>
      <c r="C17" s="220" t="s">
        <v>358</v>
      </c>
      <c r="D17" s="220" t="s">
        <v>358</v>
      </c>
      <c r="E17" s="220" t="s">
        <v>358</v>
      </c>
      <c r="F17" s="220" t="s">
        <v>358</v>
      </c>
      <c r="G17" s="220" t="s">
        <v>358</v>
      </c>
      <c r="H17" s="220" t="s">
        <v>358</v>
      </c>
      <c r="I17" s="220" t="s">
        <v>358</v>
      </c>
      <c r="J17" s="220" t="s">
        <v>358</v>
      </c>
      <c r="K17" s="220" t="s">
        <v>358</v>
      </c>
      <c r="L17" s="220" t="s">
        <v>358</v>
      </c>
      <c r="M17" s="220" t="s">
        <v>358</v>
      </c>
      <c r="N17" s="220" t="s">
        <v>358</v>
      </c>
      <c r="O17" s="220" t="s">
        <v>358</v>
      </c>
      <c r="P17" s="220" t="s">
        <v>358</v>
      </c>
      <c r="Q17" s="220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220" t="s">
        <v>358</v>
      </c>
      <c r="AB17" s="32"/>
      <c r="AC17" s="145"/>
      <c r="AD17" s="32"/>
      <c r="AE17" s="32"/>
      <c r="AF17" s="32"/>
      <c r="AG17" s="143" t="s">
        <v>358</v>
      </c>
      <c r="AH17" s="143" t="s">
        <v>358</v>
      </c>
      <c r="AI17" s="3"/>
      <c r="AJ17" s="31" t="s">
        <v>941</v>
      </c>
      <c r="AK17" s="31" t="s">
        <v>941</v>
      </c>
      <c r="AL17" s="31" t="s">
        <v>941</v>
      </c>
      <c r="AM17" s="31" t="s">
        <v>941</v>
      </c>
      <c r="AN17" s="31" t="s">
        <v>941</v>
      </c>
      <c r="AO17" s="139" t="s">
        <v>941</v>
      </c>
      <c r="AP17" s="31" t="s">
        <v>941</v>
      </c>
      <c r="AQ17" s="31" t="s">
        <v>941</v>
      </c>
      <c r="AR17" s="31" t="s">
        <v>941</v>
      </c>
      <c r="AS17" s="31" t="s">
        <v>941</v>
      </c>
      <c r="AT17" s="31" t="s">
        <v>941</v>
      </c>
      <c r="AU17" s="31" t="s">
        <v>941</v>
      </c>
      <c r="AV17" s="31" t="s">
        <v>941</v>
      </c>
      <c r="AW17" s="139" t="s">
        <v>941</v>
      </c>
      <c r="AX17" s="143" t="s">
        <v>358</v>
      </c>
      <c r="AY17" s="143" t="s">
        <v>358</v>
      </c>
    </row>
    <row x14ac:dyDescent="0.25" r="18" customHeight="1" ht="18.75">
      <c r="A18" s="30" t="s">
        <v>58</v>
      </c>
      <c r="B18" s="177"/>
      <c r="C18" s="143" t="s">
        <v>942</v>
      </c>
      <c r="D18" s="143" t="s">
        <v>942</v>
      </c>
      <c r="E18" s="143" t="s">
        <v>942</v>
      </c>
      <c r="F18" s="143" t="s">
        <v>942</v>
      </c>
      <c r="G18" s="143" t="s">
        <v>942</v>
      </c>
      <c r="H18" s="143" t="s">
        <v>942</v>
      </c>
      <c r="I18" s="143" t="s">
        <v>942</v>
      </c>
      <c r="J18" s="143" t="s">
        <v>942</v>
      </c>
      <c r="K18" s="143" t="s">
        <v>942</v>
      </c>
      <c r="L18" s="143" t="s">
        <v>942</v>
      </c>
      <c r="M18" s="143" t="s">
        <v>942</v>
      </c>
      <c r="N18" s="143" t="s">
        <v>942</v>
      </c>
      <c r="O18" s="143" t="s">
        <v>942</v>
      </c>
      <c r="P18" s="143" t="s">
        <v>942</v>
      </c>
      <c r="Q18" s="143" t="s">
        <v>942</v>
      </c>
      <c r="R18" s="32"/>
      <c r="S18" s="32"/>
      <c r="T18" s="32"/>
      <c r="U18" s="32"/>
      <c r="V18" s="32"/>
      <c r="W18" s="32"/>
      <c r="X18" s="32"/>
      <c r="Y18" s="32"/>
      <c r="Z18" s="32"/>
      <c r="AA18" s="143" t="s">
        <v>942</v>
      </c>
      <c r="AB18" s="32"/>
      <c r="AC18" s="145"/>
      <c r="AD18" s="32"/>
      <c r="AE18" s="32"/>
      <c r="AF18" s="32"/>
      <c r="AG18" s="143" t="s">
        <v>942</v>
      </c>
      <c r="AH18" s="143" t="s">
        <v>942</v>
      </c>
      <c r="AI18" s="3"/>
      <c r="AJ18" s="31" t="s">
        <v>59</v>
      </c>
      <c r="AK18" s="31" t="s">
        <v>59</v>
      </c>
      <c r="AL18" s="31" t="s">
        <v>59</v>
      </c>
      <c r="AM18" s="31" t="s">
        <v>59</v>
      </c>
      <c r="AN18" s="31" t="s">
        <v>942</v>
      </c>
      <c r="AO18" s="139" t="s">
        <v>942</v>
      </c>
      <c r="AP18" s="31" t="s">
        <v>942</v>
      </c>
      <c r="AQ18" s="31" t="s">
        <v>942</v>
      </c>
      <c r="AR18" s="31" t="s">
        <v>942</v>
      </c>
      <c r="AS18" s="31" t="s">
        <v>942</v>
      </c>
      <c r="AT18" s="31" t="s">
        <v>942</v>
      </c>
      <c r="AU18" s="31" t="s">
        <v>942</v>
      </c>
      <c r="AV18" s="31" t="s">
        <v>942</v>
      </c>
      <c r="AW18" s="139" t="s">
        <v>942</v>
      </c>
      <c r="AX18" s="143" t="s">
        <v>942</v>
      </c>
      <c r="AY18" s="143" t="s">
        <v>942</v>
      </c>
    </row>
    <row x14ac:dyDescent="0.25" r="19" customHeight="1" ht="18.75">
      <c r="A19" s="30" t="s">
        <v>60</v>
      </c>
      <c r="B19" s="177"/>
      <c r="C19" s="222">
        <v>3</v>
      </c>
      <c r="D19" s="222">
        <v>3</v>
      </c>
      <c r="E19" s="222">
        <v>3</v>
      </c>
      <c r="F19" s="222">
        <v>3</v>
      </c>
      <c r="G19" s="222">
        <v>3</v>
      </c>
      <c r="H19" s="222">
        <v>3</v>
      </c>
      <c r="I19" s="222">
        <v>3</v>
      </c>
      <c r="J19" s="222">
        <v>3</v>
      </c>
      <c r="K19" s="222">
        <v>3</v>
      </c>
      <c r="L19" s="222">
        <v>3</v>
      </c>
      <c r="M19" s="222">
        <v>3</v>
      </c>
      <c r="N19" s="222">
        <v>3</v>
      </c>
      <c r="O19" s="222">
        <v>3</v>
      </c>
      <c r="P19" s="222">
        <v>3</v>
      </c>
      <c r="Q19" s="222">
        <v>3</v>
      </c>
      <c r="R19" s="31"/>
      <c r="S19" s="31"/>
      <c r="T19" s="31"/>
      <c r="U19" s="31"/>
      <c r="V19" s="31"/>
      <c r="W19" s="31"/>
      <c r="X19" s="31"/>
      <c r="Y19" s="31"/>
      <c r="Z19" s="31"/>
      <c r="AA19" s="222">
        <v>3</v>
      </c>
      <c r="AB19" s="31"/>
      <c r="AC19" s="31"/>
      <c r="AD19" s="33"/>
      <c r="AE19" s="33"/>
      <c r="AF19" s="33"/>
      <c r="AG19" s="222">
        <v>3</v>
      </c>
      <c r="AH19" s="222">
        <v>3</v>
      </c>
      <c r="AI19" s="3"/>
      <c r="AJ19" s="31">
        <v>6</v>
      </c>
      <c r="AK19" s="31">
        <v>5</v>
      </c>
      <c r="AL19" s="31">
        <v>5</v>
      </c>
      <c r="AM19" s="31">
        <v>5</v>
      </c>
      <c r="AN19" s="31">
        <v>3</v>
      </c>
      <c r="AO19" s="31">
        <f>AVERAGE(3,2)</f>
      </c>
      <c r="AP19" s="33">
        <v>3</v>
      </c>
      <c r="AQ19" s="31">
        <v>3</v>
      </c>
      <c r="AR19" s="31">
        <v>3</v>
      </c>
      <c r="AS19" s="31">
        <v>3</v>
      </c>
      <c r="AT19" s="33">
        <v>4</v>
      </c>
      <c r="AU19" s="33">
        <v>4</v>
      </c>
      <c r="AV19" s="33">
        <v>4</v>
      </c>
      <c r="AW19" s="140">
        <v>4</v>
      </c>
      <c r="AX19" s="224">
        <v>3</v>
      </c>
      <c r="AY19" s="224">
        <v>3</v>
      </c>
    </row>
    <row x14ac:dyDescent="0.25" r="20" customHeight="1" ht="18.75">
      <c r="A20" s="30" t="s">
        <v>61</v>
      </c>
      <c r="B20" s="177"/>
      <c r="C20" s="143" t="s">
        <v>943</v>
      </c>
      <c r="D20" s="143" t="s">
        <v>943</v>
      </c>
      <c r="E20" s="143" t="s">
        <v>943</v>
      </c>
      <c r="F20" s="143" t="s">
        <v>943</v>
      </c>
      <c r="G20" s="143" t="s">
        <v>943</v>
      </c>
      <c r="H20" s="143" t="s">
        <v>943</v>
      </c>
      <c r="I20" s="143" t="s">
        <v>943</v>
      </c>
      <c r="J20" s="143" t="s">
        <v>943</v>
      </c>
      <c r="K20" s="143" t="s">
        <v>943</v>
      </c>
      <c r="L20" s="143" t="s">
        <v>943</v>
      </c>
      <c r="M20" s="143" t="s">
        <v>943</v>
      </c>
      <c r="N20" s="143" t="s">
        <v>943</v>
      </c>
      <c r="O20" s="143" t="s">
        <v>943</v>
      </c>
      <c r="P20" s="143" t="s">
        <v>943</v>
      </c>
      <c r="Q20" s="143" t="s">
        <v>943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943</v>
      </c>
      <c r="AB20" s="32"/>
      <c r="AC20" s="32"/>
      <c r="AD20" s="32"/>
      <c r="AE20" s="32"/>
      <c r="AF20" s="32"/>
      <c r="AG20" s="143" t="s">
        <v>943</v>
      </c>
      <c r="AH20" s="143" t="s">
        <v>943</v>
      </c>
      <c r="AI20" s="3"/>
      <c r="AJ20" s="31" t="s">
        <v>62</v>
      </c>
      <c r="AK20" s="31" t="s">
        <v>62</v>
      </c>
      <c r="AL20" s="31" t="s">
        <v>62</v>
      </c>
      <c r="AM20" s="31" t="s">
        <v>62</v>
      </c>
      <c r="AN20" s="31" t="s">
        <v>62</v>
      </c>
      <c r="AO20" s="31" t="s">
        <v>62</v>
      </c>
      <c r="AP20" s="31" t="s">
        <v>62</v>
      </c>
      <c r="AQ20" s="31" t="s">
        <v>943</v>
      </c>
      <c r="AR20" s="31" t="s">
        <v>62</v>
      </c>
      <c r="AS20" s="31" t="s">
        <v>943</v>
      </c>
      <c r="AT20" s="31" t="s">
        <v>62</v>
      </c>
      <c r="AU20" s="31" t="s">
        <v>62</v>
      </c>
      <c r="AV20" s="31" t="s">
        <v>62</v>
      </c>
      <c r="AW20" s="139" t="s">
        <v>62</v>
      </c>
      <c r="AX20" s="143" t="s">
        <v>943</v>
      </c>
      <c r="AY20" s="143" t="s">
        <v>943</v>
      </c>
    </row>
    <row x14ac:dyDescent="0.25" r="21" customHeight="1" ht="18.75">
      <c r="A21" s="30" t="s">
        <v>63</v>
      </c>
      <c r="B21" s="177"/>
      <c r="C21" s="143">
        <v>0</v>
      </c>
      <c r="D21" s="143">
        <v>0</v>
      </c>
      <c r="E21" s="143">
        <v>0</v>
      </c>
      <c r="F21" s="143">
        <v>0</v>
      </c>
      <c r="G21" s="143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31"/>
      <c r="S21" s="31"/>
      <c r="T21" s="31"/>
      <c r="U21" s="31"/>
      <c r="V21" s="31"/>
      <c r="W21" s="31"/>
      <c r="X21" s="31"/>
      <c r="Y21" s="31"/>
      <c r="Z21" s="31"/>
      <c r="AA21" s="143">
        <v>0</v>
      </c>
      <c r="AB21" s="31"/>
      <c r="AC21" s="31"/>
      <c r="AD21" s="31"/>
      <c r="AE21" s="31"/>
      <c r="AF21" s="31"/>
      <c r="AG21" s="143">
        <v>0</v>
      </c>
      <c r="AH21" s="143">
        <v>0</v>
      </c>
      <c r="AI21" s="3"/>
      <c r="AJ21" s="31">
        <v>1</v>
      </c>
      <c r="AK21" s="31">
        <v>1</v>
      </c>
      <c r="AL21" s="31">
        <v>0.5</v>
      </c>
      <c r="AM21" s="31">
        <v>0.5</v>
      </c>
      <c r="AN21" s="31">
        <v>1</v>
      </c>
      <c r="AO21" s="31">
        <v>1</v>
      </c>
      <c r="AP21" s="31">
        <v>1</v>
      </c>
      <c r="AQ21" s="31">
        <v>0</v>
      </c>
      <c r="AR21" s="31">
        <v>1</v>
      </c>
      <c r="AS21" s="31">
        <v>0</v>
      </c>
      <c r="AT21" s="31">
        <v>1</v>
      </c>
      <c r="AU21" s="31">
        <v>1</v>
      </c>
      <c r="AV21" s="31">
        <v>1</v>
      </c>
      <c r="AW21" s="31">
        <v>1</v>
      </c>
      <c r="AX21" s="146">
        <v>0</v>
      </c>
      <c r="AY21" s="146">
        <v>0</v>
      </c>
    </row>
    <row x14ac:dyDescent="0.25" r="22" customHeight="1" ht="18.75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x14ac:dyDescent="0.25" r="23" customHeight="1" ht="18.75">
      <c r="A23" s="30" t="s">
        <v>43</v>
      </c>
      <c r="B23" s="31" t="s">
        <v>401</v>
      </c>
      <c r="C23" s="218" t="s">
        <v>358</v>
      </c>
      <c r="D23" s="218" t="s">
        <v>358</v>
      </c>
      <c r="E23" s="218" t="s">
        <v>358</v>
      </c>
      <c r="F23" s="218" t="s">
        <v>358</v>
      </c>
      <c r="G23" s="218" t="s">
        <v>358</v>
      </c>
      <c r="H23" s="218" t="s">
        <v>358</v>
      </c>
      <c r="I23" s="218" t="s">
        <v>358</v>
      </c>
      <c r="J23" s="218" t="s">
        <v>358</v>
      </c>
      <c r="K23" s="218" t="s">
        <v>358</v>
      </c>
      <c r="L23" s="218" t="s">
        <v>358</v>
      </c>
      <c r="M23" s="218" t="s">
        <v>358</v>
      </c>
      <c r="N23" s="218" t="s">
        <v>358</v>
      </c>
      <c r="O23" s="218" t="s">
        <v>358</v>
      </c>
      <c r="P23" s="218" t="s">
        <v>358</v>
      </c>
      <c r="Q23" s="218" t="s">
        <v>358</v>
      </c>
      <c r="R23" s="32"/>
      <c r="S23" s="32"/>
      <c r="T23" s="32"/>
      <c r="U23" s="32"/>
      <c r="V23" s="32"/>
      <c r="W23" s="32"/>
      <c r="X23" s="32"/>
      <c r="Y23" s="32"/>
      <c r="Z23" s="32"/>
      <c r="AA23" s="31" t="s">
        <v>1042</v>
      </c>
      <c r="AB23" s="32"/>
      <c r="AC23" s="32"/>
      <c r="AD23" s="32"/>
      <c r="AE23" s="32"/>
      <c r="AF23" s="32"/>
      <c r="AG23" s="31" t="s">
        <v>207</v>
      </c>
      <c r="AH23" s="31" t="s">
        <v>207</v>
      </c>
      <c r="AI23" s="3"/>
      <c r="AJ23" s="31" t="s">
        <v>207</v>
      </c>
      <c r="AK23" s="31" t="s">
        <v>207</v>
      </c>
      <c r="AL23" s="31" t="s">
        <v>207</v>
      </c>
      <c r="AM23" s="31" t="s">
        <v>207</v>
      </c>
      <c r="AN23" s="31" t="s">
        <v>207</v>
      </c>
      <c r="AO23" s="31" t="s">
        <v>207</v>
      </c>
      <c r="AP23" s="31" t="s">
        <v>207</v>
      </c>
      <c r="AQ23" s="31" t="s">
        <v>207</v>
      </c>
      <c r="AR23" s="31" t="s">
        <v>207</v>
      </c>
      <c r="AS23" s="31" t="s">
        <v>207</v>
      </c>
      <c r="AT23" s="31" t="s">
        <v>207</v>
      </c>
      <c r="AU23" s="31" t="s">
        <v>207</v>
      </c>
      <c r="AV23" s="31" t="s">
        <v>207</v>
      </c>
      <c r="AW23" s="31" t="s">
        <v>207</v>
      </c>
      <c r="AX23" s="31" t="s">
        <v>207</v>
      </c>
      <c r="AY23" s="31" t="s">
        <v>224</v>
      </c>
    </row>
    <row x14ac:dyDescent="0.25" r="24" customHeight="1" ht="15.75">
      <c r="A24" s="30" t="s">
        <v>45</v>
      </c>
      <c r="B24" s="33" t="s">
        <v>210</v>
      </c>
      <c r="C24" s="220" t="s">
        <v>358</v>
      </c>
      <c r="D24" s="220" t="s">
        <v>358</v>
      </c>
      <c r="E24" s="220" t="s">
        <v>358</v>
      </c>
      <c r="F24" s="220" t="s">
        <v>358</v>
      </c>
      <c r="G24" s="220" t="s">
        <v>358</v>
      </c>
      <c r="H24" s="220" t="s">
        <v>358</v>
      </c>
      <c r="I24" s="220" t="s">
        <v>358</v>
      </c>
      <c r="J24" s="220" t="s">
        <v>358</v>
      </c>
      <c r="K24" s="220" t="s">
        <v>358</v>
      </c>
      <c r="L24" s="220" t="s">
        <v>358</v>
      </c>
      <c r="M24" s="220" t="s">
        <v>358</v>
      </c>
      <c r="N24" s="220" t="s">
        <v>358</v>
      </c>
      <c r="O24" s="220" t="s">
        <v>358</v>
      </c>
      <c r="P24" s="220" t="s">
        <v>358</v>
      </c>
      <c r="Q24" s="220" t="s">
        <v>358</v>
      </c>
      <c r="R24" s="34"/>
      <c r="S24" s="34"/>
      <c r="T24" s="34"/>
      <c r="U24" s="34"/>
      <c r="V24" s="34"/>
      <c r="W24" s="34"/>
      <c r="X24" s="34"/>
      <c r="Y24" s="34"/>
      <c r="Z24" s="34"/>
      <c r="AA24" s="31" t="s">
        <v>227</v>
      </c>
      <c r="AB24" s="34"/>
      <c r="AC24" s="34"/>
      <c r="AD24" s="34"/>
      <c r="AE24" s="34"/>
      <c r="AF24" s="34"/>
      <c r="AG24" s="33" t="s">
        <v>212</v>
      </c>
      <c r="AH24" s="33" t="s">
        <v>212</v>
      </c>
      <c r="AI24" s="3"/>
      <c r="AJ24" s="31" t="s">
        <v>227</v>
      </c>
      <c r="AK24" s="33" t="s">
        <v>207</v>
      </c>
      <c r="AL24" s="31" t="s">
        <v>210</v>
      </c>
      <c r="AM24" s="31" t="s">
        <v>210</v>
      </c>
      <c r="AN24" s="31" t="s">
        <v>210</v>
      </c>
      <c r="AO24" s="31" t="s">
        <v>228</v>
      </c>
      <c r="AP24" s="33" t="s">
        <v>207</v>
      </c>
      <c r="AQ24" s="31" t="s">
        <v>210</v>
      </c>
      <c r="AR24" s="31" t="s">
        <v>210</v>
      </c>
      <c r="AS24" s="31" t="s">
        <v>210</v>
      </c>
      <c r="AT24" s="31" t="s">
        <v>210</v>
      </c>
      <c r="AU24" s="31" t="s">
        <v>210</v>
      </c>
      <c r="AV24" s="33" t="s">
        <v>212</v>
      </c>
      <c r="AW24" s="33" t="s">
        <v>212</v>
      </c>
      <c r="AX24" s="31" t="s">
        <v>207</v>
      </c>
      <c r="AY24" s="31" t="s">
        <v>227</v>
      </c>
    </row>
    <row x14ac:dyDescent="0.25" r="25" customHeight="1" ht="18.75">
      <c r="A25" s="35" t="s">
        <v>47</v>
      </c>
      <c r="B25" s="117">
        <v>52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34"/>
      <c r="S25" s="34"/>
      <c r="T25" s="34"/>
      <c r="U25" s="34"/>
      <c r="V25" s="34"/>
      <c r="W25" s="34"/>
      <c r="X25" s="34"/>
      <c r="Y25" s="34"/>
      <c r="Z25" s="34"/>
      <c r="AA25" s="117">
        <v>56</v>
      </c>
      <c r="AB25" s="34"/>
      <c r="AC25" s="34"/>
      <c r="AD25" s="34"/>
      <c r="AE25" s="34"/>
      <c r="AF25" s="34"/>
      <c r="AG25" s="117">
        <v>48</v>
      </c>
      <c r="AH25" s="117">
        <v>48</v>
      </c>
      <c r="AI25" s="3"/>
      <c r="AJ25" s="117">
        <v>56</v>
      </c>
      <c r="AK25" s="117">
        <v>50</v>
      </c>
      <c r="AL25" s="117">
        <v>122</v>
      </c>
      <c r="AM25" s="117">
        <v>52</v>
      </c>
      <c r="AN25" s="117">
        <v>52</v>
      </c>
      <c r="AO25" s="117">
        <v>68</v>
      </c>
      <c r="AP25" s="117">
        <v>50</v>
      </c>
      <c r="AQ25" s="117">
        <v>52</v>
      </c>
      <c r="AR25" s="117">
        <v>52</v>
      </c>
      <c r="AS25" s="117">
        <v>52</v>
      </c>
      <c r="AT25" s="117">
        <v>52</v>
      </c>
      <c r="AU25" s="117">
        <v>52</v>
      </c>
      <c r="AV25" s="117">
        <v>48</v>
      </c>
      <c r="AW25" s="117">
        <v>48</v>
      </c>
      <c r="AX25" s="117">
        <v>50</v>
      </c>
      <c r="AY25" s="117">
        <v>56</v>
      </c>
    </row>
    <row x14ac:dyDescent="0.25" r="26" customHeight="1" ht="18.75">
      <c r="A26" s="30" t="s">
        <v>123</v>
      </c>
      <c r="B26" s="33" t="s">
        <v>52</v>
      </c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31" t="s">
        <v>52</v>
      </c>
      <c r="AB26" s="32"/>
      <c r="AC26" s="34"/>
      <c r="AD26" s="32"/>
      <c r="AE26" s="34"/>
      <c r="AF26" s="32"/>
      <c r="AG26" s="33" t="s">
        <v>52</v>
      </c>
      <c r="AH26" s="33" t="s">
        <v>52</v>
      </c>
      <c r="AI26" s="3"/>
      <c r="AJ26" s="31" t="s">
        <v>52</v>
      </c>
      <c r="AK26" s="31" t="s">
        <v>52</v>
      </c>
      <c r="AL26" s="31" t="s">
        <v>52</v>
      </c>
      <c r="AM26" s="31" t="s">
        <v>52</v>
      </c>
      <c r="AN26" s="33" t="s">
        <v>52</v>
      </c>
      <c r="AO26" s="33" t="s">
        <v>52</v>
      </c>
      <c r="AP26" s="33" t="s">
        <v>52</v>
      </c>
      <c r="AQ26" s="33" t="s">
        <v>52</v>
      </c>
      <c r="AR26" s="33" t="s">
        <v>52</v>
      </c>
      <c r="AS26" s="33" t="s">
        <v>52</v>
      </c>
      <c r="AT26" s="31" t="s">
        <v>52</v>
      </c>
      <c r="AU26" s="31" t="s">
        <v>52</v>
      </c>
      <c r="AV26" s="33" t="s">
        <v>52</v>
      </c>
      <c r="AW26" s="33" t="s">
        <v>52</v>
      </c>
      <c r="AX26" s="31" t="s">
        <v>52</v>
      </c>
      <c r="AY26" s="31" t="s">
        <v>52</v>
      </c>
    </row>
    <row x14ac:dyDescent="0.25" r="27" customHeight="1" ht="18.75">
      <c r="A27" s="30" t="s">
        <v>124</v>
      </c>
      <c r="B27" s="31" t="s">
        <v>49</v>
      </c>
      <c r="C27" s="143" t="s">
        <v>49</v>
      </c>
      <c r="D27" s="143" t="s">
        <v>49</v>
      </c>
      <c r="E27" s="143" t="s">
        <v>49</v>
      </c>
      <c r="F27" s="143" t="s">
        <v>49</v>
      </c>
      <c r="G27" s="143" t="s">
        <v>49</v>
      </c>
      <c r="H27" s="143" t="s">
        <v>49</v>
      </c>
      <c r="I27" s="143" t="s">
        <v>49</v>
      </c>
      <c r="J27" s="143" t="s">
        <v>49</v>
      </c>
      <c r="K27" s="143" t="s">
        <v>49</v>
      </c>
      <c r="L27" s="143" t="s">
        <v>49</v>
      </c>
      <c r="M27" s="143" t="s">
        <v>49</v>
      </c>
      <c r="N27" s="143" t="s">
        <v>49</v>
      </c>
      <c r="O27" s="143" t="s">
        <v>49</v>
      </c>
      <c r="P27" s="143" t="s">
        <v>49</v>
      </c>
      <c r="Q27" s="143" t="s">
        <v>49</v>
      </c>
      <c r="R27" s="32"/>
      <c r="S27" s="32"/>
      <c r="T27" s="32"/>
      <c r="U27" s="32"/>
      <c r="V27" s="32"/>
      <c r="W27" s="32"/>
      <c r="X27" s="32"/>
      <c r="Y27" s="32"/>
      <c r="Z27" s="32"/>
      <c r="AA27" s="31" t="s">
        <v>49</v>
      </c>
      <c r="AB27" s="32"/>
      <c r="AC27" s="32"/>
      <c r="AD27" s="32"/>
      <c r="AE27" s="32"/>
      <c r="AF27" s="32"/>
      <c r="AG27" s="31" t="s">
        <v>49</v>
      </c>
      <c r="AH27" s="31" t="s">
        <v>49</v>
      </c>
      <c r="AI27" s="3"/>
      <c r="AJ27" s="31" t="s">
        <v>49</v>
      </c>
      <c r="AK27" s="31" t="s">
        <v>49</v>
      </c>
      <c r="AL27" s="31" t="s">
        <v>49</v>
      </c>
      <c r="AM27" s="31" t="s">
        <v>49</v>
      </c>
      <c r="AN27" s="31" t="s">
        <v>49</v>
      </c>
      <c r="AO27" s="33" t="s">
        <v>52</v>
      </c>
      <c r="AP27" s="31" t="s">
        <v>49</v>
      </c>
      <c r="AQ27" s="31" t="s">
        <v>49</v>
      </c>
      <c r="AR27" s="31" t="s">
        <v>49</v>
      </c>
      <c r="AS27" s="31" t="s">
        <v>49</v>
      </c>
      <c r="AT27" s="31" t="s">
        <v>49</v>
      </c>
      <c r="AU27" s="31" t="s">
        <v>49</v>
      </c>
      <c r="AV27" s="31" t="s">
        <v>49</v>
      </c>
      <c r="AW27" s="31" t="s">
        <v>49</v>
      </c>
      <c r="AX27" s="31" t="s">
        <v>49</v>
      </c>
      <c r="AY27" s="31" t="s">
        <v>49</v>
      </c>
    </row>
    <row x14ac:dyDescent="0.25" r="28" customHeight="1" ht="18.75">
      <c r="A28" s="30" t="s">
        <v>125</v>
      </c>
      <c r="B28" s="31" t="s">
        <v>52</v>
      </c>
      <c r="C28" s="143" t="s">
        <v>49</v>
      </c>
      <c r="D28" s="143" t="s">
        <v>49</v>
      </c>
      <c r="E28" s="143" t="s">
        <v>49</v>
      </c>
      <c r="F28" s="143" t="s">
        <v>49</v>
      </c>
      <c r="G28" s="143" t="s">
        <v>49</v>
      </c>
      <c r="H28" s="143" t="s">
        <v>49</v>
      </c>
      <c r="I28" s="143" t="s">
        <v>49</v>
      </c>
      <c r="J28" s="143" t="s">
        <v>49</v>
      </c>
      <c r="K28" s="143" t="s">
        <v>49</v>
      </c>
      <c r="L28" s="143" t="s">
        <v>49</v>
      </c>
      <c r="M28" s="143" t="s">
        <v>49</v>
      </c>
      <c r="N28" s="143" t="s">
        <v>49</v>
      </c>
      <c r="O28" s="143" t="s">
        <v>49</v>
      </c>
      <c r="P28" s="143" t="s">
        <v>49</v>
      </c>
      <c r="Q28" s="143" t="s">
        <v>49</v>
      </c>
      <c r="R28" s="32"/>
      <c r="S28" s="32"/>
      <c r="T28" s="32"/>
      <c r="U28" s="32"/>
      <c r="V28" s="32"/>
      <c r="W28" s="32"/>
      <c r="X28" s="32"/>
      <c r="Y28" s="32"/>
      <c r="Z28" s="32"/>
      <c r="AA28" s="31" t="s">
        <v>52</v>
      </c>
      <c r="AB28" s="32"/>
      <c r="AC28" s="32"/>
      <c r="AD28" s="32"/>
      <c r="AE28" s="32"/>
      <c r="AF28" s="32"/>
      <c r="AG28" s="31" t="s">
        <v>52</v>
      </c>
      <c r="AH28" s="31" t="s">
        <v>52</v>
      </c>
      <c r="AI28" s="3"/>
      <c r="AJ28" s="31" t="s">
        <v>52</v>
      </c>
      <c r="AK28" s="31" t="s">
        <v>52</v>
      </c>
      <c r="AL28" s="31" t="s">
        <v>52</v>
      </c>
      <c r="AM28" s="31" t="s">
        <v>52</v>
      </c>
      <c r="AN28" s="31" t="s">
        <v>52</v>
      </c>
      <c r="AO28" s="31" t="s">
        <v>49</v>
      </c>
      <c r="AP28" s="31" t="s">
        <v>52</v>
      </c>
      <c r="AQ28" s="31" t="s">
        <v>52</v>
      </c>
      <c r="AR28" s="31" t="s">
        <v>52</v>
      </c>
      <c r="AS28" s="31" t="s">
        <v>52</v>
      </c>
      <c r="AT28" s="31" t="s">
        <v>52</v>
      </c>
      <c r="AU28" s="31" t="s">
        <v>52</v>
      </c>
      <c r="AV28" s="31" t="s">
        <v>52</v>
      </c>
      <c r="AW28" s="31" t="s">
        <v>52</v>
      </c>
      <c r="AX28" s="31" t="s">
        <v>52</v>
      </c>
      <c r="AY28" s="31" t="s">
        <v>52</v>
      </c>
    </row>
    <row x14ac:dyDescent="0.25" r="29" customHeight="1" ht="18.75">
      <c r="A29" s="30" t="s">
        <v>126</v>
      </c>
      <c r="B29" s="31" t="s">
        <v>49</v>
      </c>
      <c r="C29" s="143" t="s">
        <v>49</v>
      </c>
      <c r="D29" s="143" t="s">
        <v>49</v>
      </c>
      <c r="E29" s="143" t="s">
        <v>49</v>
      </c>
      <c r="F29" s="143" t="s">
        <v>49</v>
      </c>
      <c r="G29" s="143" t="s">
        <v>49</v>
      </c>
      <c r="H29" s="143" t="s">
        <v>49</v>
      </c>
      <c r="I29" s="143" t="s">
        <v>49</v>
      </c>
      <c r="J29" s="143" t="s">
        <v>49</v>
      </c>
      <c r="K29" s="143" t="s">
        <v>49</v>
      </c>
      <c r="L29" s="143" t="s">
        <v>49</v>
      </c>
      <c r="M29" s="143" t="s">
        <v>49</v>
      </c>
      <c r="N29" s="143" t="s">
        <v>49</v>
      </c>
      <c r="O29" s="143" t="s">
        <v>49</v>
      </c>
      <c r="P29" s="143" t="s">
        <v>49</v>
      </c>
      <c r="Q29" s="143" t="s">
        <v>49</v>
      </c>
      <c r="R29" s="32"/>
      <c r="S29" s="32"/>
      <c r="T29" s="32"/>
      <c r="U29" s="32"/>
      <c r="V29" s="32"/>
      <c r="W29" s="32"/>
      <c r="X29" s="32"/>
      <c r="Y29" s="32"/>
      <c r="Z29" s="32"/>
      <c r="AA29" s="31" t="s">
        <v>49</v>
      </c>
      <c r="AB29" s="32"/>
      <c r="AC29" s="32"/>
      <c r="AD29" s="32"/>
      <c r="AE29" s="32"/>
      <c r="AF29" s="32"/>
      <c r="AG29" s="31" t="s">
        <v>49</v>
      </c>
      <c r="AH29" s="31" t="s">
        <v>49</v>
      </c>
      <c r="AI29" s="3"/>
      <c r="AJ29" s="31" t="s">
        <v>49</v>
      </c>
      <c r="AK29" s="31" t="s">
        <v>49</v>
      </c>
      <c r="AL29" s="31" t="s">
        <v>49</v>
      </c>
      <c r="AM29" s="31" t="s">
        <v>49</v>
      </c>
      <c r="AN29" s="31" t="s">
        <v>49</v>
      </c>
      <c r="AO29" s="31" t="s">
        <v>49</v>
      </c>
      <c r="AP29" s="31" t="s">
        <v>49</v>
      </c>
      <c r="AQ29" s="31" t="s">
        <v>49</v>
      </c>
      <c r="AR29" s="31" t="s">
        <v>49</v>
      </c>
      <c r="AS29" s="31" t="s">
        <v>49</v>
      </c>
      <c r="AT29" s="31" t="s">
        <v>49</v>
      </c>
      <c r="AU29" s="31" t="s">
        <v>49</v>
      </c>
      <c r="AV29" s="31" t="s">
        <v>49</v>
      </c>
      <c r="AW29" s="31" t="s">
        <v>49</v>
      </c>
      <c r="AX29" s="31" t="s">
        <v>49</v>
      </c>
      <c r="AY29" s="31" t="s">
        <v>49</v>
      </c>
    </row>
    <row x14ac:dyDescent="0.25" r="30" customHeight="1" ht="18.75">
      <c r="A30" s="30" t="s">
        <v>127</v>
      </c>
      <c r="B30" s="31" t="s">
        <v>143</v>
      </c>
      <c r="C30" s="143" t="s">
        <v>143</v>
      </c>
      <c r="D30" s="143" t="s">
        <v>143</v>
      </c>
      <c r="E30" s="143" t="s">
        <v>143</v>
      </c>
      <c r="F30" s="143" t="s">
        <v>143</v>
      </c>
      <c r="G30" s="143" t="s">
        <v>143</v>
      </c>
      <c r="H30" s="143" t="s">
        <v>143</v>
      </c>
      <c r="I30" s="143" t="s">
        <v>143</v>
      </c>
      <c r="J30" s="143" t="s">
        <v>143</v>
      </c>
      <c r="K30" s="143" t="s">
        <v>143</v>
      </c>
      <c r="L30" s="143" t="s">
        <v>143</v>
      </c>
      <c r="M30" s="143" t="s">
        <v>143</v>
      </c>
      <c r="N30" s="143" t="s">
        <v>143</v>
      </c>
      <c r="O30" s="143" t="s">
        <v>143</v>
      </c>
      <c r="P30" s="143" t="s">
        <v>143</v>
      </c>
      <c r="Q30" s="143" t="s">
        <v>143</v>
      </c>
      <c r="R30" s="32"/>
      <c r="S30" s="32"/>
      <c r="T30" s="32"/>
      <c r="U30" s="32"/>
      <c r="V30" s="32"/>
      <c r="W30" s="32"/>
      <c r="X30" s="32"/>
      <c r="Y30" s="32"/>
      <c r="Z30" s="32"/>
      <c r="AA30" s="31" t="s">
        <v>133</v>
      </c>
      <c r="AB30" s="32"/>
      <c r="AC30" s="32"/>
      <c r="AD30" s="32"/>
      <c r="AE30" s="32"/>
      <c r="AF30" s="32"/>
      <c r="AG30" s="31" t="s">
        <v>143</v>
      </c>
      <c r="AH30" s="31" t="s">
        <v>143</v>
      </c>
      <c r="AI30" s="3"/>
      <c r="AJ30" s="31" t="s">
        <v>133</v>
      </c>
      <c r="AK30" s="31" t="s">
        <v>143</v>
      </c>
      <c r="AL30" s="31" t="s">
        <v>143</v>
      </c>
      <c r="AM30" s="31" t="s">
        <v>143</v>
      </c>
      <c r="AN30" s="31" t="s">
        <v>143</v>
      </c>
      <c r="AO30" s="31" t="s">
        <v>235</v>
      </c>
      <c r="AP30" s="31" t="s">
        <v>143</v>
      </c>
      <c r="AQ30" s="31" t="s">
        <v>143</v>
      </c>
      <c r="AR30" s="31" t="s">
        <v>143</v>
      </c>
      <c r="AS30" s="31" t="s">
        <v>143</v>
      </c>
      <c r="AT30" s="31" t="s">
        <v>143</v>
      </c>
      <c r="AU30" s="31" t="s">
        <v>143</v>
      </c>
      <c r="AV30" s="31" t="s">
        <v>143</v>
      </c>
      <c r="AW30" s="31" t="s">
        <v>143</v>
      </c>
      <c r="AX30" s="31" t="s">
        <v>143</v>
      </c>
      <c r="AY30" s="31" t="s">
        <v>133</v>
      </c>
    </row>
    <row x14ac:dyDescent="0.25" r="31" customHeight="1" ht="18.75">
      <c r="A31" s="30" t="s">
        <v>128</v>
      </c>
      <c r="B31" s="31">
        <v>0.5</v>
      </c>
      <c r="C31" s="143">
        <v>0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  <c r="I31" s="143">
        <v>0</v>
      </c>
      <c r="J31" s="143">
        <v>0</v>
      </c>
      <c r="K31" s="143">
        <v>0</v>
      </c>
      <c r="L31" s="143">
        <v>0</v>
      </c>
      <c r="M31" s="143">
        <v>0</v>
      </c>
      <c r="N31" s="143">
        <v>0</v>
      </c>
      <c r="O31" s="143">
        <v>0</v>
      </c>
      <c r="P31" s="143">
        <v>0</v>
      </c>
      <c r="Q31" s="143">
        <v>0</v>
      </c>
      <c r="R31" s="31"/>
      <c r="S31" s="31"/>
      <c r="T31" s="31"/>
      <c r="U31" s="31"/>
      <c r="V31" s="31"/>
      <c r="W31" s="31"/>
      <c r="X31" s="31"/>
      <c r="Y31" s="31"/>
      <c r="Z31" s="31"/>
      <c r="AA31" s="31">
        <v>-0.5</v>
      </c>
      <c r="AB31" s="31"/>
      <c r="AC31" s="31"/>
      <c r="AD31" s="31"/>
      <c r="AE31" s="31"/>
      <c r="AF31" s="31"/>
      <c r="AG31" s="31">
        <f>4/3</f>
      </c>
      <c r="AH31" s="31">
        <f>4/3</f>
      </c>
      <c r="AI31" s="3"/>
      <c r="AJ31" s="31">
        <v>-0.5</v>
      </c>
      <c r="AK31" s="31">
        <v>1</v>
      </c>
      <c r="AL31" s="31">
        <f>AVERAGE(0.5,0.5,0.5,1)</f>
      </c>
      <c r="AM31" s="31">
        <v>0.5</v>
      </c>
      <c r="AN31" s="31">
        <v>0.5</v>
      </c>
      <c r="AO31" s="31">
        <v>-6</v>
      </c>
      <c r="AP31" s="31">
        <v>1</v>
      </c>
      <c r="AQ31" s="31">
        <v>0.5</v>
      </c>
      <c r="AR31" s="31">
        <v>0.5</v>
      </c>
      <c r="AS31" s="31">
        <v>0.5</v>
      </c>
      <c r="AT31" s="31">
        <v>0.5</v>
      </c>
      <c r="AU31" s="31">
        <v>0.5</v>
      </c>
      <c r="AV31" s="31">
        <f>4/3</f>
      </c>
      <c r="AW31" s="31">
        <f>4/3</f>
      </c>
      <c r="AX31" s="31">
        <v>1</v>
      </c>
      <c r="AY31" s="31">
        <v>-0.5</v>
      </c>
    </row>
    <row x14ac:dyDescent="0.25" r="32" customHeight="1" ht="18.75">
      <c r="A32" s="30" t="s">
        <v>129</v>
      </c>
      <c r="B32" s="31" t="s">
        <v>169</v>
      </c>
      <c r="C32" s="143" t="s">
        <v>358</v>
      </c>
      <c r="D32" s="143" t="s">
        <v>358</v>
      </c>
      <c r="E32" s="143" t="s">
        <v>358</v>
      </c>
      <c r="F32" s="143" t="s">
        <v>358</v>
      </c>
      <c r="G32" s="143" t="s">
        <v>358</v>
      </c>
      <c r="H32" s="143" t="s">
        <v>358</v>
      </c>
      <c r="I32" s="143" t="s">
        <v>358</v>
      </c>
      <c r="J32" s="143" t="s">
        <v>358</v>
      </c>
      <c r="K32" s="143" t="s">
        <v>358</v>
      </c>
      <c r="L32" s="143" t="s">
        <v>358</v>
      </c>
      <c r="M32" s="143" t="s">
        <v>358</v>
      </c>
      <c r="N32" s="143" t="s">
        <v>358</v>
      </c>
      <c r="O32" s="143" t="s">
        <v>358</v>
      </c>
      <c r="P32" s="143" t="s">
        <v>358</v>
      </c>
      <c r="Q32" s="143" t="s">
        <v>358</v>
      </c>
      <c r="R32" s="32"/>
      <c r="S32" s="32"/>
      <c r="T32" s="32"/>
      <c r="U32" s="32"/>
      <c r="V32" s="32"/>
      <c r="W32" s="32"/>
      <c r="X32" s="32"/>
      <c r="Y32" s="32"/>
      <c r="Z32" s="32"/>
      <c r="AA32" s="31" t="s">
        <v>169</v>
      </c>
      <c r="AB32" s="32"/>
      <c r="AC32" s="32"/>
      <c r="AD32" s="32"/>
      <c r="AE32" s="32"/>
      <c r="AF32" s="32"/>
      <c r="AG32" s="31" t="s">
        <v>169</v>
      </c>
      <c r="AH32" s="31" t="s">
        <v>169</v>
      </c>
      <c r="AI32" s="3"/>
      <c r="AJ32" s="31" t="s">
        <v>169</v>
      </c>
      <c r="AK32" s="31" t="s">
        <v>169</v>
      </c>
      <c r="AL32" s="31" t="s">
        <v>169</v>
      </c>
      <c r="AM32" s="31" t="s">
        <v>169</v>
      </c>
      <c r="AN32" s="31" t="s">
        <v>169</v>
      </c>
      <c r="AO32" s="31" t="s">
        <v>169</v>
      </c>
      <c r="AP32" s="31" t="s">
        <v>169</v>
      </c>
      <c r="AQ32" s="31" t="s">
        <v>169</v>
      </c>
      <c r="AR32" s="31" t="s">
        <v>169</v>
      </c>
      <c r="AS32" s="31" t="s">
        <v>169</v>
      </c>
      <c r="AT32" s="31" t="s">
        <v>169</v>
      </c>
      <c r="AU32" s="31" t="s">
        <v>169</v>
      </c>
      <c r="AV32" s="31" t="s">
        <v>169</v>
      </c>
      <c r="AW32" s="31" t="s">
        <v>169</v>
      </c>
      <c r="AX32" s="31" t="s">
        <v>169</v>
      </c>
      <c r="AY32" s="31" t="s">
        <v>169</v>
      </c>
    </row>
    <row x14ac:dyDescent="0.25" r="33" customHeight="1" ht="18.75">
      <c r="A33" s="30" t="s">
        <v>130</v>
      </c>
      <c r="B33" s="31">
        <v>2</v>
      </c>
      <c r="C33" s="143">
        <v>0</v>
      </c>
      <c r="D33" s="143">
        <v>0</v>
      </c>
      <c r="E33" s="143">
        <v>0</v>
      </c>
      <c r="F33" s="143">
        <v>0</v>
      </c>
      <c r="G33" s="143">
        <v>0</v>
      </c>
      <c r="H33" s="143">
        <v>0</v>
      </c>
      <c r="I33" s="143">
        <v>0</v>
      </c>
      <c r="J33" s="143">
        <v>0</v>
      </c>
      <c r="K33" s="143">
        <v>0</v>
      </c>
      <c r="L33" s="143">
        <v>0</v>
      </c>
      <c r="M33" s="143">
        <v>0</v>
      </c>
      <c r="N33" s="143">
        <v>0</v>
      </c>
      <c r="O33" s="143">
        <v>0</v>
      </c>
      <c r="P33" s="143">
        <v>0</v>
      </c>
      <c r="Q33" s="143">
        <v>0</v>
      </c>
      <c r="R33" s="31"/>
      <c r="S33" s="31"/>
      <c r="T33" s="31"/>
      <c r="U33" s="31"/>
      <c r="V33" s="31"/>
      <c r="W33" s="31"/>
      <c r="X33" s="31"/>
      <c r="Y33" s="31"/>
      <c r="Z33" s="31"/>
      <c r="AA33" s="31">
        <v>2</v>
      </c>
      <c r="AB33" s="31"/>
      <c r="AC33" s="31"/>
      <c r="AD33" s="31"/>
      <c r="AE33" s="31"/>
      <c r="AF33" s="31"/>
      <c r="AG33" s="31">
        <v>2</v>
      </c>
      <c r="AH33" s="31">
        <v>2</v>
      </c>
      <c r="AI33" s="3"/>
      <c r="AJ33" s="31">
        <v>2</v>
      </c>
      <c r="AK33" s="31">
        <v>2</v>
      </c>
      <c r="AL33" s="31">
        <v>2</v>
      </c>
      <c r="AM33" s="31">
        <v>2</v>
      </c>
      <c r="AN33" s="31">
        <v>2</v>
      </c>
      <c r="AO33" s="31">
        <v>2</v>
      </c>
      <c r="AP33" s="31">
        <v>2</v>
      </c>
      <c r="AQ33" s="31">
        <v>2</v>
      </c>
      <c r="AR33" s="31">
        <v>2</v>
      </c>
      <c r="AS33" s="31">
        <v>2</v>
      </c>
      <c r="AT33" s="31">
        <v>2</v>
      </c>
      <c r="AU33" s="31">
        <v>2</v>
      </c>
      <c r="AV33" s="31">
        <v>2</v>
      </c>
      <c r="AW33" s="31">
        <v>2</v>
      </c>
      <c r="AX33" s="31">
        <v>2</v>
      </c>
      <c r="AY33" s="31">
        <v>2</v>
      </c>
    </row>
    <row x14ac:dyDescent="0.25" r="34" customHeight="1" ht="18.7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x14ac:dyDescent="0.25" r="35" customHeight="1" ht="18.75">
      <c r="A35" s="30" t="s">
        <v>43</v>
      </c>
      <c r="B35" s="31" t="s">
        <v>562</v>
      </c>
      <c r="C35" s="31" t="s">
        <v>281</v>
      </c>
      <c r="D35" s="31" t="s">
        <v>281</v>
      </c>
      <c r="E35" s="31" t="s">
        <v>281</v>
      </c>
      <c r="F35" s="31" t="s">
        <v>281</v>
      </c>
      <c r="G35" s="139" t="s">
        <v>281</v>
      </c>
      <c r="H35" s="31" t="s">
        <v>281</v>
      </c>
      <c r="I35" s="31" t="s">
        <v>281</v>
      </c>
      <c r="J35" s="31" t="s">
        <v>281</v>
      </c>
      <c r="K35" s="31" t="s">
        <v>281</v>
      </c>
      <c r="L35" s="31" t="s">
        <v>281</v>
      </c>
      <c r="M35" s="31" t="s">
        <v>281</v>
      </c>
      <c r="N35" s="31" t="s">
        <v>281</v>
      </c>
      <c r="O35" s="31" t="s">
        <v>281</v>
      </c>
      <c r="P35" s="31" t="s">
        <v>281</v>
      </c>
      <c r="Q35" s="31" t="s">
        <v>281</v>
      </c>
      <c r="R35" s="115"/>
      <c r="S35" s="32"/>
      <c r="T35" s="32"/>
      <c r="U35" s="32"/>
      <c r="V35" s="32"/>
      <c r="W35" s="32"/>
      <c r="X35" s="32"/>
      <c r="Y35" s="32"/>
      <c r="Z35" s="32"/>
      <c r="AA35" s="218" t="s">
        <v>358</v>
      </c>
      <c r="AB35" s="32"/>
      <c r="AC35" s="32"/>
      <c r="AD35" s="32"/>
      <c r="AE35" s="32"/>
      <c r="AF35" s="32"/>
      <c r="AG35" s="31" t="s">
        <v>1043</v>
      </c>
      <c r="AH35" s="31" t="s">
        <v>1043</v>
      </c>
      <c r="AI35" s="3"/>
      <c r="AJ35" s="31" t="s">
        <v>1044</v>
      </c>
      <c r="AK35" s="31" t="s">
        <v>1044</v>
      </c>
      <c r="AL35" s="31" t="s">
        <v>1044</v>
      </c>
      <c r="AM35" s="31" t="s">
        <v>1044</v>
      </c>
      <c r="AN35" s="31" t="s">
        <v>1044</v>
      </c>
      <c r="AO35" s="31" t="s">
        <v>1044</v>
      </c>
      <c r="AP35" s="31" t="s">
        <v>1044</v>
      </c>
      <c r="AQ35" s="31" t="s">
        <v>1044</v>
      </c>
      <c r="AR35" s="31" t="s">
        <v>1044</v>
      </c>
      <c r="AS35" s="31" t="s">
        <v>1044</v>
      </c>
      <c r="AT35" s="31" t="s">
        <v>1044</v>
      </c>
      <c r="AU35" s="31" t="s">
        <v>1044</v>
      </c>
      <c r="AV35" s="31" t="s">
        <v>1044</v>
      </c>
      <c r="AW35" s="31" t="s">
        <v>1044</v>
      </c>
      <c r="AX35" s="31" t="s">
        <v>301</v>
      </c>
      <c r="AY35" s="31" t="s">
        <v>327</v>
      </c>
    </row>
    <row x14ac:dyDescent="0.25" r="36" customHeight="1" ht="18.75">
      <c r="A36" s="30" t="s">
        <v>45</v>
      </c>
      <c r="B36" s="31" t="s">
        <v>302</v>
      </c>
      <c r="C36" s="31" t="s">
        <v>207</v>
      </c>
      <c r="D36" s="31" t="s">
        <v>207</v>
      </c>
      <c r="E36" s="31" t="s">
        <v>289</v>
      </c>
      <c r="F36" s="31" t="s">
        <v>290</v>
      </c>
      <c r="G36" s="139" t="s">
        <v>290</v>
      </c>
      <c r="H36" s="31" t="s">
        <v>211</v>
      </c>
      <c r="I36" s="31" t="s">
        <v>207</v>
      </c>
      <c r="J36" s="31" t="s">
        <v>290</v>
      </c>
      <c r="K36" s="31" t="s">
        <v>210</v>
      </c>
      <c r="L36" s="31" t="s">
        <v>210</v>
      </c>
      <c r="M36" s="31" t="s">
        <v>210</v>
      </c>
      <c r="N36" s="31" t="s">
        <v>210</v>
      </c>
      <c r="O36" s="31" t="s">
        <v>210</v>
      </c>
      <c r="P36" s="31" t="s">
        <v>212</v>
      </c>
      <c r="Q36" s="31" t="s">
        <v>212</v>
      </c>
      <c r="R36" s="228"/>
      <c r="S36" s="34"/>
      <c r="T36" s="34"/>
      <c r="U36" s="34"/>
      <c r="V36" s="34"/>
      <c r="W36" s="34"/>
      <c r="X36" s="34"/>
      <c r="Y36" s="34"/>
      <c r="Z36" s="34"/>
      <c r="AA36" s="220" t="s">
        <v>358</v>
      </c>
      <c r="AB36" s="34"/>
      <c r="AC36" s="34"/>
      <c r="AD36" s="34"/>
      <c r="AE36" s="34"/>
      <c r="AF36" s="34"/>
      <c r="AG36" s="31" t="s">
        <v>302</v>
      </c>
      <c r="AH36" s="31" t="s">
        <v>302</v>
      </c>
      <c r="AI36" s="3"/>
      <c r="AJ36" s="31" t="s">
        <v>302</v>
      </c>
      <c r="AK36" s="31" t="s">
        <v>302</v>
      </c>
      <c r="AL36" s="31" t="s">
        <v>302</v>
      </c>
      <c r="AM36" s="31" t="s">
        <v>302</v>
      </c>
      <c r="AN36" s="31" t="s">
        <v>302</v>
      </c>
      <c r="AO36" s="31" t="s">
        <v>302</v>
      </c>
      <c r="AP36" s="31" t="s">
        <v>302</v>
      </c>
      <c r="AQ36" s="31" t="s">
        <v>302</v>
      </c>
      <c r="AR36" s="31" t="s">
        <v>302</v>
      </c>
      <c r="AS36" s="31" t="s">
        <v>302</v>
      </c>
      <c r="AT36" s="31" t="s">
        <v>302</v>
      </c>
      <c r="AU36" s="31" t="s">
        <v>302</v>
      </c>
      <c r="AV36" s="31" t="s">
        <v>302</v>
      </c>
      <c r="AW36" s="31" t="s">
        <v>302</v>
      </c>
      <c r="AX36" s="31" t="s">
        <v>302</v>
      </c>
      <c r="AY36" s="33" t="s">
        <v>142</v>
      </c>
    </row>
    <row x14ac:dyDescent="0.25" r="37" customHeight="1" ht="18.75">
      <c r="A37" s="35" t="s">
        <v>47</v>
      </c>
      <c r="B37" s="117">
        <v>19</v>
      </c>
      <c r="C37" s="117">
        <v>50</v>
      </c>
      <c r="D37" s="117">
        <v>50</v>
      </c>
      <c r="E37" s="117">
        <v>102</v>
      </c>
      <c r="F37" s="117">
        <v>44</v>
      </c>
      <c r="G37" s="167">
        <v>44</v>
      </c>
      <c r="H37" s="117">
        <v>46</v>
      </c>
      <c r="I37" s="117">
        <v>50</v>
      </c>
      <c r="J37" s="117">
        <v>44</v>
      </c>
      <c r="K37" s="117">
        <v>52</v>
      </c>
      <c r="L37" s="117">
        <v>52</v>
      </c>
      <c r="M37" s="117">
        <v>52</v>
      </c>
      <c r="N37" s="117">
        <v>52</v>
      </c>
      <c r="O37" s="117">
        <v>52</v>
      </c>
      <c r="P37" s="117">
        <v>48</v>
      </c>
      <c r="Q37" s="117">
        <v>48</v>
      </c>
      <c r="R37" s="229"/>
      <c r="S37" s="37"/>
      <c r="T37" s="37"/>
      <c r="U37" s="37"/>
      <c r="V37" s="37"/>
      <c r="W37" s="37"/>
      <c r="X37" s="37"/>
      <c r="Y37" s="37"/>
      <c r="Z37" s="37"/>
      <c r="AA37" s="144"/>
      <c r="AB37" s="37"/>
      <c r="AC37" s="37"/>
      <c r="AD37" s="37"/>
      <c r="AE37" s="37"/>
      <c r="AF37" s="37"/>
      <c r="AG37" s="117">
        <v>19</v>
      </c>
      <c r="AH37" s="117">
        <v>19</v>
      </c>
      <c r="AI37" s="3"/>
      <c r="AJ37" s="117">
        <v>19</v>
      </c>
      <c r="AK37" s="117">
        <v>19</v>
      </c>
      <c r="AL37" s="117">
        <v>19</v>
      </c>
      <c r="AM37" s="117">
        <v>19</v>
      </c>
      <c r="AN37" s="117">
        <v>19</v>
      </c>
      <c r="AO37" s="117">
        <v>19</v>
      </c>
      <c r="AP37" s="117">
        <v>19</v>
      </c>
      <c r="AQ37" s="117">
        <v>19</v>
      </c>
      <c r="AR37" s="117">
        <v>19</v>
      </c>
      <c r="AS37" s="117">
        <v>19</v>
      </c>
      <c r="AT37" s="117">
        <v>19</v>
      </c>
      <c r="AU37" s="117">
        <v>19</v>
      </c>
      <c r="AV37" s="117">
        <v>19</v>
      </c>
      <c r="AW37" s="117">
        <v>19</v>
      </c>
      <c r="AX37" s="117">
        <v>19</v>
      </c>
      <c r="AY37" s="117">
        <v>5</v>
      </c>
    </row>
    <row x14ac:dyDescent="0.25" r="38" customHeight="1" ht="18.75">
      <c r="A38" s="30" t="s">
        <v>123</v>
      </c>
      <c r="B38" s="33" t="s">
        <v>52</v>
      </c>
      <c r="C38" s="31" t="s">
        <v>52</v>
      </c>
      <c r="D38" s="31" t="s">
        <v>52</v>
      </c>
      <c r="E38" s="31" t="s">
        <v>52</v>
      </c>
      <c r="F38" s="31" t="s">
        <v>52</v>
      </c>
      <c r="G38" s="31" t="s">
        <v>52</v>
      </c>
      <c r="H38" s="33" t="s">
        <v>52</v>
      </c>
      <c r="I38" s="33" t="s">
        <v>52</v>
      </c>
      <c r="J38" s="33" t="s">
        <v>52</v>
      </c>
      <c r="K38" s="33" t="s">
        <v>52</v>
      </c>
      <c r="L38" s="33" t="s">
        <v>52</v>
      </c>
      <c r="M38" s="33" t="s">
        <v>52</v>
      </c>
      <c r="N38" s="33" t="s">
        <v>52</v>
      </c>
      <c r="O38" s="33" t="s">
        <v>52</v>
      </c>
      <c r="P38" s="33" t="s">
        <v>52</v>
      </c>
      <c r="Q38" s="33" t="s">
        <v>52</v>
      </c>
      <c r="R38" s="32"/>
      <c r="S38" s="32"/>
      <c r="T38" s="32"/>
      <c r="U38" s="32"/>
      <c r="V38" s="32"/>
      <c r="W38" s="32"/>
      <c r="X38" s="32"/>
      <c r="Y38" s="32"/>
      <c r="Z38" s="32"/>
      <c r="AA38" s="143" t="s">
        <v>49</v>
      </c>
      <c r="AB38" s="32"/>
      <c r="AC38" s="34"/>
      <c r="AD38" s="32"/>
      <c r="AE38" s="34"/>
      <c r="AF38" s="32"/>
      <c r="AG38" s="33" t="s">
        <v>52</v>
      </c>
      <c r="AH38" s="33" t="s">
        <v>52</v>
      </c>
      <c r="AI38" s="3"/>
      <c r="AJ38" s="33" t="s">
        <v>52</v>
      </c>
      <c r="AK38" s="33" t="s">
        <v>52</v>
      </c>
      <c r="AL38" s="33" t="s">
        <v>52</v>
      </c>
      <c r="AM38" s="33" t="s">
        <v>52</v>
      </c>
      <c r="AN38" s="33" t="s">
        <v>52</v>
      </c>
      <c r="AO38" s="33" t="s">
        <v>52</v>
      </c>
      <c r="AP38" s="33" t="s">
        <v>52</v>
      </c>
      <c r="AQ38" s="33" t="s">
        <v>52</v>
      </c>
      <c r="AR38" s="33" t="s">
        <v>52</v>
      </c>
      <c r="AS38" s="33" t="s">
        <v>52</v>
      </c>
      <c r="AT38" s="33" t="s">
        <v>52</v>
      </c>
      <c r="AU38" s="33" t="s">
        <v>52</v>
      </c>
      <c r="AV38" s="33" t="s">
        <v>52</v>
      </c>
      <c r="AW38" s="33" t="s">
        <v>52</v>
      </c>
      <c r="AX38" s="33" t="s">
        <v>52</v>
      </c>
      <c r="AY38" s="31" t="s">
        <v>52</v>
      </c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2"/>
      <c r="S39" s="32"/>
      <c r="T39" s="32"/>
      <c r="U39" s="32"/>
      <c r="V39" s="32"/>
      <c r="W39" s="32"/>
      <c r="X39" s="32"/>
      <c r="Y39" s="32"/>
      <c r="Z39" s="32"/>
      <c r="AA39" s="143" t="s">
        <v>49</v>
      </c>
      <c r="AB39" s="32"/>
      <c r="AC39" s="32"/>
      <c r="AD39" s="32"/>
      <c r="AE39" s="32"/>
      <c r="AF39" s="32"/>
      <c r="AG39" s="31" t="s">
        <v>49</v>
      </c>
      <c r="AH39" s="31" t="s">
        <v>49</v>
      </c>
      <c r="AI39" s="3"/>
      <c r="AJ39" s="31" t="s">
        <v>49</v>
      </c>
      <c r="AK39" s="31" t="s">
        <v>49</v>
      </c>
      <c r="AL39" s="31" t="s">
        <v>49</v>
      </c>
      <c r="AM39" s="31" t="s">
        <v>49</v>
      </c>
      <c r="AN39" s="31" t="s">
        <v>49</v>
      </c>
      <c r="AO39" s="31" t="s">
        <v>49</v>
      </c>
      <c r="AP39" s="31" t="s">
        <v>49</v>
      </c>
      <c r="AQ39" s="31" t="s">
        <v>49</v>
      </c>
      <c r="AR39" s="31" t="s">
        <v>49</v>
      </c>
      <c r="AS39" s="31" t="s">
        <v>49</v>
      </c>
      <c r="AT39" s="31" t="s">
        <v>49</v>
      </c>
      <c r="AU39" s="31" t="s">
        <v>49</v>
      </c>
      <c r="AV39" s="31" t="s">
        <v>49</v>
      </c>
      <c r="AW39" s="31" t="s">
        <v>49</v>
      </c>
      <c r="AX39" s="31" t="s">
        <v>49</v>
      </c>
      <c r="AY39" s="31" t="s">
        <v>49</v>
      </c>
    </row>
    <row x14ac:dyDescent="0.25" r="40" customHeight="1" ht="18.75">
      <c r="A40" s="30" t="s">
        <v>125</v>
      </c>
      <c r="B40" s="31" t="s">
        <v>49</v>
      </c>
      <c r="C40" s="31" t="s">
        <v>52</v>
      </c>
      <c r="D40" s="31" t="s">
        <v>52</v>
      </c>
      <c r="E40" s="48" t="s">
        <v>162</v>
      </c>
      <c r="F40" s="31" t="s">
        <v>49</v>
      </c>
      <c r="G40" s="31" t="s">
        <v>49</v>
      </c>
      <c r="H40" s="31" t="s">
        <v>52</v>
      </c>
      <c r="I40" s="31" t="s">
        <v>52</v>
      </c>
      <c r="J40" s="31" t="s">
        <v>49</v>
      </c>
      <c r="K40" s="31" t="s">
        <v>52</v>
      </c>
      <c r="L40" s="31" t="s">
        <v>52</v>
      </c>
      <c r="M40" s="31" t="s">
        <v>52</v>
      </c>
      <c r="N40" s="31" t="s">
        <v>52</v>
      </c>
      <c r="O40" s="31" t="s">
        <v>52</v>
      </c>
      <c r="P40" s="31" t="s">
        <v>52</v>
      </c>
      <c r="Q40" s="31" t="s">
        <v>52</v>
      </c>
      <c r="R40" s="32"/>
      <c r="S40" s="32"/>
      <c r="T40" s="32"/>
      <c r="U40" s="32"/>
      <c r="V40" s="32"/>
      <c r="W40" s="32"/>
      <c r="X40" s="32"/>
      <c r="Y40" s="32"/>
      <c r="Z40" s="32"/>
      <c r="AA40" s="143" t="s">
        <v>49</v>
      </c>
      <c r="AB40" s="32"/>
      <c r="AC40" s="32"/>
      <c r="AD40" s="32"/>
      <c r="AE40" s="32"/>
      <c r="AF40" s="32"/>
      <c r="AG40" s="31" t="s">
        <v>49</v>
      </c>
      <c r="AH40" s="31" t="s">
        <v>49</v>
      </c>
      <c r="AI40" s="3"/>
      <c r="AJ40" s="31" t="s">
        <v>49</v>
      </c>
      <c r="AK40" s="31" t="s">
        <v>49</v>
      </c>
      <c r="AL40" s="31" t="s">
        <v>49</v>
      </c>
      <c r="AM40" s="31" t="s">
        <v>49</v>
      </c>
      <c r="AN40" s="31" t="s">
        <v>49</v>
      </c>
      <c r="AO40" s="31" t="s">
        <v>49</v>
      </c>
      <c r="AP40" s="31" t="s">
        <v>49</v>
      </c>
      <c r="AQ40" s="31" t="s">
        <v>49</v>
      </c>
      <c r="AR40" s="31" t="s">
        <v>49</v>
      </c>
      <c r="AS40" s="31" t="s">
        <v>49</v>
      </c>
      <c r="AT40" s="31" t="s">
        <v>49</v>
      </c>
      <c r="AU40" s="31" t="s">
        <v>49</v>
      </c>
      <c r="AV40" s="31" t="s">
        <v>49</v>
      </c>
      <c r="AW40" s="31" t="s">
        <v>49</v>
      </c>
      <c r="AX40" s="31" t="s">
        <v>49</v>
      </c>
      <c r="AY40" s="31" t="s">
        <v>49</v>
      </c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2"/>
      <c r="S41" s="32"/>
      <c r="T41" s="32"/>
      <c r="U41" s="32"/>
      <c r="V41" s="32"/>
      <c r="W41" s="32"/>
      <c r="X41" s="32"/>
      <c r="Y41" s="32"/>
      <c r="Z41" s="32"/>
      <c r="AA41" s="143" t="s">
        <v>49</v>
      </c>
      <c r="AB41" s="32"/>
      <c r="AC41" s="32"/>
      <c r="AD41" s="32"/>
      <c r="AE41" s="32"/>
      <c r="AF41" s="32"/>
      <c r="AG41" s="31" t="s">
        <v>49</v>
      </c>
      <c r="AH41" s="31" t="s">
        <v>49</v>
      </c>
      <c r="AI41" s="3"/>
      <c r="AJ41" s="31" t="s">
        <v>49</v>
      </c>
      <c r="AK41" s="31" t="s">
        <v>49</v>
      </c>
      <c r="AL41" s="31" t="s">
        <v>49</v>
      </c>
      <c r="AM41" s="31" t="s">
        <v>49</v>
      </c>
      <c r="AN41" s="31" t="s">
        <v>49</v>
      </c>
      <c r="AO41" s="31" t="s">
        <v>49</v>
      </c>
      <c r="AP41" s="31" t="s">
        <v>49</v>
      </c>
      <c r="AQ41" s="31" t="s">
        <v>49</v>
      </c>
      <c r="AR41" s="31" t="s">
        <v>49</v>
      </c>
      <c r="AS41" s="31" t="s">
        <v>49</v>
      </c>
      <c r="AT41" s="31" t="s">
        <v>49</v>
      </c>
      <c r="AU41" s="31" t="s">
        <v>49</v>
      </c>
      <c r="AV41" s="31" t="s">
        <v>49</v>
      </c>
      <c r="AW41" s="31" t="s">
        <v>49</v>
      </c>
      <c r="AX41" s="31" t="s">
        <v>49</v>
      </c>
      <c r="AY41" s="31" t="s">
        <v>49</v>
      </c>
    </row>
    <row x14ac:dyDescent="0.25" r="42" customHeight="1" ht="18.75">
      <c r="A42" s="30" t="s">
        <v>127</v>
      </c>
      <c r="B42" s="31" t="s">
        <v>234</v>
      </c>
      <c r="C42" s="31" t="s">
        <v>143</v>
      </c>
      <c r="D42" s="31" t="s">
        <v>143</v>
      </c>
      <c r="E42" s="31" t="s">
        <v>143</v>
      </c>
      <c r="F42" s="31" t="s">
        <v>143</v>
      </c>
      <c r="G42" s="31" t="s">
        <v>143</v>
      </c>
      <c r="H42" s="31" t="s">
        <v>143</v>
      </c>
      <c r="I42" s="31" t="s">
        <v>143</v>
      </c>
      <c r="J42" s="31" t="s">
        <v>143</v>
      </c>
      <c r="K42" s="31" t="s">
        <v>143</v>
      </c>
      <c r="L42" s="31" t="s">
        <v>143</v>
      </c>
      <c r="M42" s="31" t="s">
        <v>143</v>
      </c>
      <c r="N42" s="31" t="s">
        <v>143</v>
      </c>
      <c r="O42" s="31" t="s">
        <v>143</v>
      </c>
      <c r="P42" s="31" t="s">
        <v>143</v>
      </c>
      <c r="Q42" s="31" t="s">
        <v>143</v>
      </c>
      <c r="R42" s="32"/>
      <c r="S42" s="32"/>
      <c r="T42" s="32"/>
      <c r="U42" s="32"/>
      <c r="V42" s="32"/>
      <c r="W42" s="32"/>
      <c r="X42" s="32"/>
      <c r="Y42" s="32"/>
      <c r="Z42" s="32"/>
      <c r="AA42" s="143" t="s">
        <v>133</v>
      </c>
      <c r="AB42" s="32"/>
      <c r="AC42" s="32"/>
      <c r="AD42" s="32"/>
      <c r="AE42" s="32"/>
      <c r="AF42" s="32"/>
      <c r="AG42" s="31" t="s">
        <v>234</v>
      </c>
      <c r="AH42" s="31" t="s">
        <v>234</v>
      </c>
      <c r="AI42" s="3"/>
      <c r="AJ42" s="31" t="s">
        <v>234</v>
      </c>
      <c r="AK42" s="31" t="s">
        <v>234</v>
      </c>
      <c r="AL42" s="31" t="s">
        <v>234</v>
      </c>
      <c r="AM42" s="31" t="s">
        <v>234</v>
      </c>
      <c r="AN42" s="31" t="s">
        <v>234</v>
      </c>
      <c r="AO42" s="31" t="s">
        <v>234</v>
      </c>
      <c r="AP42" s="31" t="s">
        <v>234</v>
      </c>
      <c r="AQ42" s="31" t="s">
        <v>234</v>
      </c>
      <c r="AR42" s="31" t="s">
        <v>234</v>
      </c>
      <c r="AS42" s="31" t="s">
        <v>234</v>
      </c>
      <c r="AT42" s="31" t="s">
        <v>234</v>
      </c>
      <c r="AU42" s="31" t="s">
        <v>234</v>
      </c>
      <c r="AV42" s="31" t="s">
        <v>234</v>
      </c>
      <c r="AW42" s="31" t="s">
        <v>234</v>
      </c>
      <c r="AX42" s="31" t="s">
        <v>234</v>
      </c>
      <c r="AY42" s="31" t="s">
        <v>143</v>
      </c>
    </row>
    <row x14ac:dyDescent="0.25" r="43" customHeight="1" ht="18.75">
      <c r="A43" s="30" t="s">
        <v>128</v>
      </c>
      <c r="B43" s="31">
        <v>-3</v>
      </c>
      <c r="C43" s="31">
        <v>1</v>
      </c>
      <c r="D43" s="31">
        <v>1</v>
      </c>
      <c r="E43" s="31">
        <f>AVERAGE(2,2,1)</f>
      </c>
      <c r="F43" s="31">
        <v>2</v>
      </c>
      <c r="G43" s="31">
        <v>2</v>
      </c>
      <c r="H43" s="31">
        <f>5/3</f>
      </c>
      <c r="I43" s="31">
        <v>1</v>
      </c>
      <c r="J43" s="31">
        <v>2</v>
      </c>
      <c r="K43" s="31">
        <v>0.5</v>
      </c>
      <c r="L43" s="31">
        <v>0.5</v>
      </c>
      <c r="M43" s="31">
        <v>0.5</v>
      </c>
      <c r="N43" s="31">
        <v>0.5</v>
      </c>
      <c r="O43" s="31">
        <v>0.5</v>
      </c>
      <c r="P43" s="31">
        <f>4/3</f>
      </c>
      <c r="Q43" s="31">
        <f>4/3</f>
      </c>
      <c r="R43" s="31"/>
      <c r="S43" s="31"/>
      <c r="T43" s="31"/>
      <c r="U43" s="31"/>
      <c r="V43" s="31"/>
      <c r="W43" s="31"/>
      <c r="X43" s="31"/>
      <c r="Y43" s="31"/>
      <c r="Z43" s="31"/>
      <c r="AA43" s="143">
        <v>-2</v>
      </c>
      <c r="AB43" s="31"/>
      <c r="AC43" s="31"/>
      <c r="AD43" s="31"/>
      <c r="AE43" s="31"/>
      <c r="AF43" s="31"/>
      <c r="AG43" s="31">
        <v>-3</v>
      </c>
      <c r="AH43" s="31">
        <v>-3</v>
      </c>
      <c r="AI43" s="3"/>
      <c r="AJ43" s="31">
        <v>-3</v>
      </c>
      <c r="AK43" s="31">
        <v>-3</v>
      </c>
      <c r="AL43" s="31">
        <v>-3</v>
      </c>
      <c r="AM43" s="31">
        <v>-3</v>
      </c>
      <c r="AN43" s="31">
        <v>-3</v>
      </c>
      <c r="AO43" s="31">
        <v>-3</v>
      </c>
      <c r="AP43" s="31">
        <v>-3</v>
      </c>
      <c r="AQ43" s="31">
        <v>-3</v>
      </c>
      <c r="AR43" s="31">
        <v>-3</v>
      </c>
      <c r="AS43" s="31">
        <v>-3</v>
      </c>
      <c r="AT43" s="31">
        <v>-3</v>
      </c>
      <c r="AU43" s="31">
        <v>-3</v>
      </c>
      <c r="AV43" s="31">
        <v>-3</v>
      </c>
      <c r="AW43" s="31">
        <v>-3</v>
      </c>
      <c r="AX43" s="31">
        <v>-3</v>
      </c>
      <c r="AY43" s="31">
        <f>5/3</f>
      </c>
    </row>
    <row x14ac:dyDescent="0.25" r="44" customHeight="1" ht="18.75">
      <c r="A44" s="30" t="s">
        <v>129</v>
      </c>
      <c r="B44" s="31" t="s">
        <v>138</v>
      </c>
      <c r="C44" s="31" t="s">
        <v>169</v>
      </c>
      <c r="D44" s="31" t="s">
        <v>169</v>
      </c>
      <c r="E44" s="31" t="s">
        <v>169</v>
      </c>
      <c r="F44" s="31" t="s">
        <v>169</v>
      </c>
      <c r="G44" s="31" t="s">
        <v>169</v>
      </c>
      <c r="H44" s="31" t="s">
        <v>169</v>
      </c>
      <c r="I44" s="31" t="s">
        <v>169</v>
      </c>
      <c r="J44" s="31" t="s">
        <v>169</v>
      </c>
      <c r="K44" s="31" t="s">
        <v>169</v>
      </c>
      <c r="L44" s="31" t="s">
        <v>169</v>
      </c>
      <c r="M44" s="31" t="s">
        <v>169</v>
      </c>
      <c r="N44" s="31" t="s">
        <v>169</v>
      </c>
      <c r="O44" s="31" t="s">
        <v>169</v>
      </c>
      <c r="P44" s="31" t="s">
        <v>169</v>
      </c>
      <c r="Q44" s="31" t="s">
        <v>169</v>
      </c>
      <c r="R44" s="32"/>
      <c r="S44" s="32"/>
      <c r="T44" s="32"/>
      <c r="U44" s="32"/>
      <c r="V44" s="32"/>
      <c r="W44" s="32"/>
      <c r="X44" s="32"/>
      <c r="Y44" s="32"/>
      <c r="Z44" s="32"/>
      <c r="AA44" s="143" t="s">
        <v>358</v>
      </c>
      <c r="AB44" s="32"/>
      <c r="AC44" s="32"/>
      <c r="AD44" s="32"/>
      <c r="AE44" s="32"/>
      <c r="AF44" s="32"/>
      <c r="AG44" s="31" t="s">
        <v>138</v>
      </c>
      <c r="AH44" s="31" t="s">
        <v>138</v>
      </c>
      <c r="AI44" s="3"/>
      <c r="AJ44" s="31" t="s">
        <v>138</v>
      </c>
      <c r="AK44" s="31" t="s">
        <v>138</v>
      </c>
      <c r="AL44" s="31" t="s">
        <v>138</v>
      </c>
      <c r="AM44" s="31" t="s">
        <v>138</v>
      </c>
      <c r="AN44" s="31" t="s">
        <v>138</v>
      </c>
      <c r="AO44" s="31" t="s">
        <v>138</v>
      </c>
      <c r="AP44" s="31" t="s">
        <v>138</v>
      </c>
      <c r="AQ44" s="31" t="s">
        <v>138</v>
      </c>
      <c r="AR44" s="31" t="s">
        <v>138</v>
      </c>
      <c r="AS44" s="31" t="s">
        <v>138</v>
      </c>
      <c r="AT44" s="31" t="s">
        <v>138</v>
      </c>
      <c r="AU44" s="31" t="s">
        <v>138</v>
      </c>
      <c r="AV44" s="31" t="s">
        <v>138</v>
      </c>
      <c r="AW44" s="31" t="s">
        <v>138</v>
      </c>
      <c r="AX44" s="31" t="s">
        <v>138</v>
      </c>
      <c r="AY44" s="31" t="s">
        <v>138</v>
      </c>
    </row>
    <row x14ac:dyDescent="0.25" r="45" customHeight="1" ht="18.75">
      <c r="A45" s="30" t="s">
        <v>130</v>
      </c>
      <c r="B45" s="31">
        <v>4</v>
      </c>
      <c r="C45" s="31">
        <v>2</v>
      </c>
      <c r="D45" s="31">
        <v>2</v>
      </c>
      <c r="E45" s="31">
        <v>2</v>
      </c>
      <c r="F45" s="31">
        <v>2</v>
      </c>
      <c r="G45" s="31">
        <v>2</v>
      </c>
      <c r="H45" s="31">
        <v>2</v>
      </c>
      <c r="I45" s="31">
        <v>2</v>
      </c>
      <c r="J45" s="31">
        <v>2</v>
      </c>
      <c r="K45" s="31">
        <v>2</v>
      </c>
      <c r="L45" s="31">
        <v>2</v>
      </c>
      <c r="M45" s="31">
        <v>2</v>
      </c>
      <c r="N45" s="31">
        <v>2</v>
      </c>
      <c r="O45" s="31">
        <v>2</v>
      </c>
      <c r="P45" s="31">
        <v>2</v>
      </c>
      <c r="Q45" s="31">
        <v>2</v>
      </c>
      <c r="R45" s="31"/>
      <c r="S45" s="31"/>
      <c r="T45" s="31"/>
      <c r="U45" s="31"/>
      <c r="V45" s="31"/>
      <c r="W45" s="31"/>
      <c r="X45" s="31"/>
      <c r="Y45" s="31"/>
      <c r="Z45" s="31"/>
      <c r="AA45" s="143">
        <v>0</v>
      </c>
      <c r="AB45" s="31"/>
      <c r="AC45" s="31"/>
      <c r="AD45" s="31"/>
      <c r="AE45" s="31"/>
      <c r="AF45" s="31"/>
      <c r="AG45" s="31">
        <v>4</v>
      </c>
      <c r="AH45" s="31">
        <v>4</v>
      </c>
      <c r="AI45" s="3"/>
      <c r="AJ45" s="31">
        <v>4</v>
      </c>
      <c r="AK45" s="31">
        <v>4</v>
      </c>
      <c r="AL45" s="31">
        <v>4</v>
      </c>
      <c r="AM45" s="31">
        <v>4</v>
      </c>
      <c r="AN45" s="31">
        <v>4</v>
      </c>
      <c r="AO45" s="31">
        <v>4</v>
      </c>
      <c r="AP45" s="31">
        <v>4</v>
      </c>
      <c r="AQ45" s="31">
        <v>4</v>
      </c>
      <c r="AR45" s="31">
        <v>4</v>
      </c>
      <c r="AS45" s="31">
        <v>4</v>
      </c>
      <c r="AT45" s="31">
        <v>4</v>
      </c>
      <c r="AU45" s="31">
        <v>4</v>
      </c>
      <c r="AV45" s="31">
        <v>4</v>
      </c>
      <c r="AW45" s="31">
        <v>4</v>
      </c>
      <c r="AX45" s="31">
        <v>4</v>
      </c>
      <c r="AY45" s="31">
        <v>4</v>
      </c>
    </row>
    <row x14ac:dyDescent="0.25" r="46" customHeight="1" ht="18.75">
      <c r="A46" s="46"/>
      <c r="B46" s="2"/>
      <c r="C46" s="138" t="s">
        <v>1045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2"/>
      <c r="AB46" s="3"/>
      <c r="AC46" s="3"/>
      <c r="AD46" s="3"/>
      <c r="AE46" s="3"/>
      <c r="AF46" s="3"/>
      <c r="AG46" s="2"/>
      <c r="AH46" s="2"/>
      <c r="AI46" s="3"/>
      <c r="AJ46" s="138" t="s">
        <v>1046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x14ac:dyDescent="0.25" r="47" customHeight="1" ht="18.75">
      <c r="A47" s="38" t="s">
        <v>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2"/>
      <c r="AB47" s="3"/>
      <c r="AC47" s="3"/>
      <c r="AD47" s="3"/>
      <c r="AE47" s="3"/>
      <c r="AF47" s="3"/>
      <c r="AG47" s="2"/>
      <c r="AH47" s="2"/>
      <c r="AI47" s="3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x14ac:dyDescent="0.25" r="48" customHeight="1" ht="18.75">
      <c r="A48" s="206" t="s">
        <v>1047</v>
      </c>
      <c r="B48" s="214" t="s">
        <v>1048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3"/>
      <c r="AA48" s="2"/>
      <c r="AB48" s="3"/>
      <c r="AC48" s="3"/>
      <c r="AD48" s="3"/>
      <c r="AE48" s="3"/>
      <c r="AF48" s="3"/>
      <c r="AG48" s="2"/>
      <c r="AH48" s="2"/>
      <c r="AI48" s="3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x14ac:dyDescent="0.25" r="49" customHeight="1" ht="18.75">
      <c r="A49" s="164"/>
      <c r="B49" s="214" t="s">
        <v>1049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3"/>
      <c r="AA49" s="2"/>
      <c r="AB49" s="3"/>
      <c r="AC49" s="3"/>
      <c r="AD49" s="3"/>
      <c r="AE49" s="3"/>
      <c r="AF49" s="3"/>
      <c r="AG49" s="2"/>
      <c r="AH49" s="2"/>
      <c r="AI49" s="3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x14ac:dyDescent="0.25" r="50" customHeight="1" ht="18.75">
      <c r="A50" s="164"/>
      <c r="B50" s="214" t="s">
        <v>1050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3"/>
      <c r="AA50" s="2"/>
      <c r="AB50" s="3"/>
      <c r="AC50" s="3"/>
      <c r="AD50" s="3"/>
      <c r="AE50" s="3"/>
      <c r="AF50" s="3"/>
      <c r="AG50" s="2"/>
      <c r="AH50" s="2"/>
      <c r="AI50" s="3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x14ac:dyDescent="0.25" r="51" customHeight="1" ht="18.75">
      <c r="A51" s="164"/>
      <c r="B51" s="214" t="s">
        <v>1051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3"/>
      <c r="AA51" s="2"/>
      <c r="AB51" s="3"/>
      <c r="AC51" s="3"/>
      <c r="AD51" s="3"/>
      <c r="AE51" s="3"/>
      <c r="AF51" s="3"/>
      <c r="AG51" s="2"/>
      <c r="AH51" s="2"/>
      <c r="AI51" s="3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x14ac:dyDescent="0.25" r="52" customHeight="1" ht="18.75">
      <c r="A52" s="209" t="s">
        <v>1052</v>
      </c>
      <c r="B52" s="214" t="s">
        <v>1053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3"/>
      <c r="AA52" s="2"/>
      <c r="AB52" s="3"/>
      <c r="AC52" s="3"/>
      <c r="AD52" s="3"/>
      <c r="AE52" s="3"/>
      <c r="AF52" s="3"/>
      <c r="AG52" s="2"/>
      <c r="AH52" s="2"/>
      <c r="AI52" s="3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x14ac:dyDescent="0.25" r="53" customHeight="1" ht="18.75">
      <c r="A53" s="30"/>
      <c r="B53" s="214" t="s">
        <v>1054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3"/>
      <c r="AA53" s="2"/>
      <c r="AB53" s="3"/>
      <c r="AC53" s="3"/>
      <c r="AD53" s="3"/>
      <c r="AE53" s="3"/>
      <c r="AF53" s="3"/>
      <c r="AG53" s="2"/>
      <c r="AH53" s="2"/>
      <c r="AI53" s="3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x14ac:dyDescent="0.25" r="54" customHeight="1" ht="18.75">
      <c r="A54" s="30"/>
      <c r="B54" s="214" t="s">
        <v>1055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3"/>
      <c r="AA54" s="2"/>
      <c r="AB54" s="3"/>
      <c r="AC54" s="3"/>
      <c r="AD54" s="3"/>
      <c r="AE54" s="3"/>
      <c r="AF54" s="3"/>
      <c r="AG54" s="2"/>
      <c r="AH54" s="2"/>
      <c r="AI54" s="3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</sheetData>
  <mergeCells count="7">
    <mergeCell ref="B3:D3"/>
    <mergeCell ref="F3:O3"/>
    <mergeCell ref="B4:D4"/>
    <mergeCell ref="F4:O5"/>
    <mergeCell ref="B5:D5"/>
    <mergeCell ref="A48:A51"/>
    <mergeCell ref="A52:A5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5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4" width="13.576428571428572" customWidth="1" bestFit="1"/>
    <col min="44" max="44" style="44" width="13.576428571428572" customWidth="1" bestFit="1"/>
    <col min="45" max="45" style="44" width="13.576428571428572" customWidth="1" bestFit="1"/>
    <col min="46" max="46" style="44" width="13.576428571428572" customWidth="1" bestFit="1"/>
    <col min="47" max="47" style="44" width="13.576428571428572" customWidth="1" bestFit="1"/>
    <col min="48" max="48" style="44" width="13.576428571428572" customWidth="1" bestFit="1"/>
    <col min="49" max="49" style="44" width="13.576428571428572" customWidth="1" bestFit="1"/>
    <col min="50" max="50" style="44" width="13.576428571428572" customWidth="1" bestFit="1"/>
    <col min="51" max="51" style="44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  <c r="AK1" s="2"/>
      <c r="AL1" s="2"/>
      <c r="AM1" s="2"/>
      <c r="AN1" s="2"/>
      <c r="AO1" s="2"/>
      <c r="AP1" s="2"/>
      <c r="AQ1" s="3"/>
      <c r="AR1" s="3"/>
      <c r="AS1" s="3"/>
      <c r="AT1" s="3"/>
      <c r="AU1" s="3"/>
      <c r="AV1" s="3"/>
      <c r="AW1" s="3"/>
      <c r="AX1" s="3"/>
      <c r="AY1" s="3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  <c r="AK2" s="2"/>
      <c r="AL2" s="2"/>
      <c r="AM2" s="2"/>
      <c r="AN2" s="2"/>
      <c r="AO2" s="2"/>
      <c r="AP2" s="2"/>
      <c r="AQ2" s="3"/>
      <c r="AR2" s="3"/>
      <c r="AS2" s="3"/>
      <c r="AT2" s="3"/>
      <c r="AU2" s="3"/>
      <c r="AV2" s="3"/>
      <c r="AW2" s="3"/>
      <c r="AX2" s="3"/>
      <c r="AY2" s="3"/>
    </row>
    <row x14ac:dyDescent="0.25" r="3" customHeight="1" ht="18.75">
      <c r="A3" s="1" t="s">
        <v>2</v>
      </c>
      <c r="B3" s="5">
        <v>50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2"/>
      <c r="AM3" s="2"/>
      <c r="AN3" s="2"/>
      <c r="AO3" s="2"/>
      <c r="AP3" s="2"/>
      <c r="AQ3" s="3"/>
      <c r="AR3" s="3"/>
      <c r="AS3" s="3"/>
      <c r="AT3" s="3"/>
      <c r="AU3" s="3"/>
      <c r="AV3" s="3"/>
      <c r="AW3" s="3"/>
      <c r="AX3" s="3"/>
      <c r="AY3" s="3"/>
    </row>
    <row x14ac:dyDescent="0.25" r="4" customHeight="1" ht="18.75">
      <c r="A4" s="1" t="s">
        <v>4</v>
      </c>
      <c r="B4" s="7" t="s">
        <v>961</v>
      </c>
      <c r="C4" s="7"/>
      <c r="D4" s="7"/>
      <c r="E4" s="2"/>
      <c r="F4" s="124" t="s">
        <v>962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2"/>
      <c r="AM4" s="2"/>
      <c r="AN4" s="2"/>
      <c r="AO4" s="2"/>
      <c r="AP4" s="2"/>
      <c r="AQ4" s="3"/>
      <c r="AR4" s="3"/>
      <c r="AS4" s="3"/>
      <c r="AT4" s="3"/>
      <c r="AU4" s="3"/>
      <c r="AV4" s="3"/>
      <c r="AW4" s="3"/>
      <c r="AX4" s="3"/>
      <c r="AY4" s="3"/>
    </row>
    <row x14ac:dyDescent="0.25" r="5" customHeight="1" ht="18.75">
      <c r="A5" s="1" t="s">
        <v>7</v>
      </c>
      <c r="B5" s="7" t="s">
        <v>963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2"/>
      <c r="AM5" s="2"/>
      <c r="AN5" s="2"/>
      <c r="AO5" s="2"/>
      <c r="AP5" s="2"/>
      <c r="AQ5" s="3"/>
      <c r="AR5" s="3"/>
      <c r="AS5" s="3"/>
      <c r="AT5" s="3"/>
      <c r="AU5" s="3"/>
      <c r="AV5" s="3"/>
      <c r="AW5" s="3"/>
      <c r="AX5" s="3"/>
      <c r="AY5" s="3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2"/>
      <c r="AM6" s="2"/>
      <c r="AN6" s="2"/>
      <c r="AO6" s="2"/>
      <c r="AP6" s="2"/>
      <c r="AQ6" s="3"/>
      <c r="AR6" s="3"/>
      <c r="AS6" s="3"/>
      <c r="AT6" s="3"/>
      <c r="AU6" s="3"/>
      <c r="AV6" s="3"/>
      <c r="AW6" s="3"/>
      <c r="AX6" s="3"/>
      <c r="AY6" s="3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189" t="s">
        <v>29</v>
      </c>
      <c r="V7" s="225" t="s">
        <v>30</v>
      </c>
      <c r="W7" s="225" t="s">
        <v>31</v>
      </c>
      <c r="X7" s="201" t="s">
        <v>32</v>
      </c>
      <c r="Y7" s="201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131" t="s">
        <v>22</v>
      </c>
      <c r="AK7" s="54" t="s">
        <v>24</v>
      </c>
      <c r="AL7" s="54" t="s">
        <v>25</v>
      </c>
      <c r="AM7" s="172" t="s">
        <v>26</v>
      </c>
      <c r="AN7" s="173" t="s">
        <v>27</v>
      </c>
      <c r="AO7" s="225" t="s">
        <v>30</v>
      </c>
      <c r="AP7" s="225" t="s">
        <v>31</v>
      </c>
      <c r="AQ7" s="3"/>
      <c r="AR7" s="3"/>
      <c r="AS7" s="3"/>
      <c r="AT7" s="30" t="s">
        <v>964</v>
      </c>
      <c r="AU7" s="30" t="s">
        <v>965</v>
      </c>
      <c r="AV7" s="30" t="s">
        <v>966</v>
      </c>
      <c r="AW7" s="30" t="s">
        <v>967</v>
      </c>
      <c r="AX7" s="30" t="s">
        <v>968</v>
      </c>
      <c r="AY7" s="3"/>
    </row>
    <row x14ac:dyDescent="0.25" r="8" customHeight="1" ht="18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31" t="s">
        <v>932</v>
      </c>
      <c r="J8" s="31" t="s">
        <v>932</v>
      </c>
      <c r="K8" s="31" t="s">
        <v>932</v>
      </c>
      <c r="L8" s="31" t="s">
        <v>932</v>
      </c>
      <c r="M8" s="139" t="s">
        <v>932</v>
      </c>
      <c r="N8" s="31" t="s">
        <v>932</v>
      </c>
      <c r="O8" s="31" t="s">
        <v>932</v>
      </c>
      <c r="P8" s="31" t="s">
        <v>933</v>
      </c>
      <c r="Q8" s="31" t="s">
        <v>933</v>
      </c>
      <c r="R8" s="143" t="s">
        <v>358</v>
      </c>
      <c r="S8" s="31" t="s">
        <v>934</v>
      </c>
      <c r="T8" s="143" t="s">
        <v>358</v>
      </c>
      <c r="U8" s="143" t="s">
        <v>358</v>
      </c>
      <c r="V8" s="143" t="s">
        <v>358</v>
      </c>
      <c r="W8" s="143" t="s">
        <v>358</v>
      </c>
      <c r="X8" s="31" t="s">
        <v>68</v>
      </c>
      <c r="Y8" s="143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  <c r="AI8" s="3"/>
      <c r="AJ8" s="31" t="s">
        <v>932</v>
      </c>
      <c r="AK8" s="139" t="s">
        <v>933</v>
      </c>
      <c r="AL8" s="31" t="s">
        <v>933</v>
      </c>
      <c r="AM8" s="143" t="s">
        <v>358</v>
      </c>
      <c r="AN8" s="31" t="s">
        <v>934</v>
      </c>
      <c r="AO8" s="143" t="s">
        <v>358</v>
      </c>
      <c r="AP8" s="143" t="s">
        <v>358</v>
      </c>
      <c r="AQ8" s="3"/>
      <c r="AR8" s="3"/>
      <c r="AS8" s="3"/>
      <c r="AT8" s="30" t="s">
        <v>969</v>
      </c>
      <c r="AU8" s="30" t="s">
        <v>970</v>
      </c>
      <c r="AV8" s="30" t="s">
        <v>971</v>
      </c>
      <c r="AW8" s="30" t="s">
        <v>972</v>
      </c>
      <c r="AX8" s="3"/>
      <c r="AY8" s="3"/>
    </row>
    <row x14ac:dyDescent="0.25" r="9" customHeight="1" ht="18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31" t="s">
        <v>937</v>
      </c>
      <c r="J9" s="31" t="s">
        <v>937</v>
      </c>
      <c r="K9" s="31" t="s">
        <v>939</v>
      </c>
      <c r="L9" s="31" t="s">
        <v>937</v>
      </c>
      <c r="M9" s="139" t="s">
        <v>940</v>
      </c>
      <c r="N9" s="31" t="s">
        <v>932</v>
      </c>
      <c r="O9" s="31" t="s">
        <v>932</v>
      </c>
      <c r="P9" s="31" t="s">
        <v>932</v>
      </c>
      <c r="Q9" s="31" t="s">
        <v>932</v>
      </c>
      <c r="R9" s="143" t="s">
        <v>358</v>
      </c>
      <c r="S9" s="31" t="s">
        <v>937</v>
      </c>
      <c r="T9" s="143" t="s">
        <v>358</v>
      </c>
      <c r="U9" s="143" t="s">
        <v>358</v>
      </c>
      <c r="V9" s="143" t="s">
        <v>358</v>
      </c>
      <c r="W9" s="143" t="s">
        <v>358</v>
      </c>
      <c r="X9" s="31" t="s">
        <v>68</v>
      </c>
      <c r="Y9" s="143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  <c r="AI9" s="3"/>
      <c r="AJ9" s="31" t="s">
        <v>932</v>
      </c>
      <c r="AK9" s="139" t="s">
        <v>932</v>
      </c>
      <c r="AL9" s="31" t="s">
        <v>932</v>
      </c>
      <c r="AM9" s="143" t="s">
        <v>358</v>
      </c>
      <c r="AN9" s="31" t="s">
        <v>937</v>
      </c>
      <c r="AO9" s="143" t="s">
        <v>358</v>
      </c>
      <c r="AP9" s="143" t="s">
        <v>358</v>
      </c>
      <c r="AQ9" s="3"/>
      <c r="AR9" s="3"/>
      <c r="AS9" s="3"/>
      <c r="AT9" s="30" t="s">
        <v>973</v>
      </c>
      <c r="AU9" s="30" t="s">
        <v>974</v>
      </c>
      <c r="AV9" s="3"/>
      <c r="AW9" s="30" t="s">
        <v>975</v>
      </c>
      <c r="AX9" s="30" t="s">
        <v>976</v>
      </c>
      <c r="AY9" s="3"/>
    </row>
    <row x14ac:dyDescent="0.25" r="10" customHeight="1" ht="18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17">
        <v>504</v>
      </c>
      <c r="J10" s="117">
        <v>504</v>
      </c>
      <c r="K10" s="117">
        <v>515</v>
      </c>
      <c r="L10" s="117">
        <v>504</v>
      </c>
      <c r="M10" s="167">
        <v>514</v>
      </c>
      <c r="N10" s="117">
        <v>503</v>
      </c>
      <c r="O10" s="117">
        <v>503</v>
      </c>
      <c r="P10" s="117">
        <v>503</v>
      </c>
      <c r="Q10" s="117">
        <v>503</v>
      </c>
      <c r="R10" s="144"/>
      <c r="S10" s="117">
        <v>504</v>
      </c>
      <c r="T10" s="144"/>
      <c r="U10" s="144"/>
      <c r="V10" s="144"/>
      <c r="W10" s="144"/>
      <c r="X10" s="117">
        <v>501</v>
      </c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3"/>
      <c r="AJ10" s="117">
        <v>503</v>
      </c>
      <c r="AK10" s="167">
        <v>503</v>
      </c>
      <c r="AL10" s="117">
        <v>503</v>
      </c>
      <c r="AM10" s="144"/>
      <c r="AN10" s="117">
        <v>504</v>
      </c>
      <c r="AO10" s="144"/>
      <c r="AP10" s="144"/>
      <c r="AQ10" s="3"/>
      <c r="AR10" s="3"/>
      <c r="AS10" s="3"/>
      <c r="AT10" s="30" t="s">
        <v>977</v>
      </c>
      <c r="AU10" s="3"/>
      <c r="AV10" s="3"/>
      <c r="AW10" s="3"/>
      <c r="AX10" s="3"/>
      <c r="AY10" s="3"/>
    </row>
    <row x14ac:dyDescent="0.25" r="11" customHeight="1" ht="18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31" t="s">
        <v>49</v>
      </c>
      <c r="J11" s="31" t="s">
        <v>49</v>
      </c>
      <c r="K11" s="31" t="s">
        <v>49</v>
      </c>
      <c r="L11" s="31" t="s">
        <v>49</v>
      </c>
      <c r="M11" s="139" t="s">
        <v>49</v>
      </c>
      <c r="N11" s="31" t="s">
        <v>49</v>
      </c>
      <c r="O11" s="31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143" t="s">
        <v>49</v>
      </c>
      <c r="V11" s="143" t="s">
        <v>49</v>
      </c>
      <c r="W11" s="143" t="s">
        <v>49</v>
      </c>
      <c r="X11" s="31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  <c r="AI11" s="3"/>
      <c r="AJ11" s="31" t="s">
        <v>49</v>
      </c>
      <c r="AK11" s="139" t="s">
        <v>49</v>
      </c>
      <c r="AL11" s="31" t="s">
        <v>49</v>
      </c>
      <c r="AM11" s="143" t="s">
        <v>49</v>
      </c>
      <c r="AN11" s="31" t="s">
        <v>49</v>
      </c>
      <c r="AO11" s="143" t="s">
        <v>49</v>
      </c>
      <c r="AP11" s="143" t="s">
        <v>49</v>
      </c>
      <c r="AQ11" s="3"/>
      <c r="AR11" s="3"/>
      <c r="AS11" s="3"/>
      <c r="AT11" s="30" t="s">
        <v>978</v>
      </c>
      <c r="AU11" s="30" t="s">
        <v>979</v>
      </c>
      <c r="AV11" s="30" t="s">
        <v>980</v>
      </c>
      <c r="AW11" s="30" t="s">
        <v>981</v>
      </c>
      <c r="AX11" s="30" t="s">
        <v>982</v>
      </c>
      <c r="AY11" s="3"/>
    </row>
    <row x14ac:dyDescent="0.25" r="12" customHeight="1" ht="18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139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31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  <c r="AI12" s="3"/>
      <c r="AJ12" s="31" t="s">
        <v>49</v>
      </c>
      <c r="AK12" s="139" t="s">
        <v>49</v>
      </c>
      <c r="AL12" s="31" t="s">
        <v>49</v>
      </c>
      <c r="AM12" s="143" t="s">
        <v>49</v>
      </c>
      <c r="AN12" s="31" t="s">
        <v>49</v>
      </c>
      <c r="AO12" s="143" t="s">
        <v>49</v>
      </c>
      <c r="AP12" s="143" t="s">
        <v>49</v>
      </c>
      <c r="AQ12" s="3"/>
      <c r="AR12" s="3"/>
      <c r="AS12" s="3"/>
      <c r="AT12" s="30" t="s">
        <v>983</v>
      </c>
      <c r="AU12" s="3"/>
      <c r="AV12" s="3"/>
      <c r="AW12" s="3"/>
      <c r="AX12" s="30" t="s">
        <v>984</v>
      </c>
      <c r="AY12" s="30" t="s">
        <v>985</v>
      </c>
    </row>
    <row x14ac:dyDescent="0.25" r="13" customHeight="1" ht="18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139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143" t="s">
        <v>49</v>
      </c>
      <c r="V13" s="143" t="s">
        <v>49</v>
      </c>
      <c r="W13" s="143" t="s">
        <v>49</v>
      </c>
      <c r="X13" s="31" t="s">
        <v>52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  <c r="AI13" s="3"/>
      <c r="AJ13" s="31" t="s">
        <v>52</v>
      </c>
      <c r="AK13" s="139" t="s">
        <v>52</v>
      </c>
      <c r="AL13" s="31" t="s">
        <v>52</v>
      </c>
      <c r="AM13" s="143" t="s">
        <v>49</v>
      </c>
      <c r="AN13" s="31" t="s">
        <v>52</v>
      </c>
      <c r="AO13" s="143" t="s">
        <v>49</v>
      </c>
      <c r="AP13" s="143" t="s">
        <v>49</v>
      </c>
      <c r="AQ13" s="3"/>
      <c r="AR13" s="3"/>
      <c r="AS13" s="3"/>
      <c r="AT13" s="30" t="s">
        <v>986</v>
      </c>
      <c r="AU13" s="30" t="s">
        <v>987</v>
      </c>
      <c r="AV13" s="30" t="s">
        <v>988</v>
      </c>
      <c r="AW13" s="30" t="s">
        <v>989</v>
      </c>
      <c r="AX13" s="3"/>
      <c r="AY13" s="3"/>
    </row>
    <row x14ac:dyDescent="0.25" r="14" customHeight="1" ht="18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139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143" t="s">
        <v>49</v>
      </c>
      <c r="V14" s="143" t="s">
        <v>49</v>
      </c>
      <c r="W14" s="143" t="s">
        <v>49</v>
      </c>
      <c r="X14" s="31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  <c r="AI14" s="3"/>
      <c r="AJ14" s="31" t="s">
        <v>49</v>
      </c>
      <c r="AK14" s="139" t="s">
        <v>49</v>
      </c>
      <c r="AL14" s="31" t="s">
        <v>49</v>
      </c>
      <c r="AM14" s="143" t="s">
        <v>49</v>
      </c>
      <c r="AN14" s="31" t="s">
        <v>49</v>
      </c>
      <c r="AO14" s="143" t="s">
        <v>49</v>
      </c>
      <c r="AP14" s="143" t="s">
        <v>49</v>
      </c>
      <c r="AQ14" s="3"/>
      <c r="AR14" s="3"/>
      <c r="AS14" s="3"/>
      <c r="AT14" s="30" t="s">
        <v>990</v>
      </c>
      <c r="AU14" s="3"/>
      <c r="AV14" s="3"/>
      <c r="AW14" s="30" t="s">
        <v>991</v>
      </c>
      <c r="AX14" s="3"/>
      <c r="AY14" s="3"/>
    </row>
    <row x14ac:dyDescent="0.25" r="15" customHeight="1" ht="18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31" t="s">
        <v>49</v>
      </c>
      <c r="J15" s="31" t="s">
        <v>49</v>
      </c>
      <c r="K15" s="31" t="s">
        <v>49</v>
      </c>
      <c r="L15" s="31" t="s">
        <v>49</v>
      </c>
      <c r="M15" s="139" t="s">
        <v>49</v>
      </c>
      <c r="N15" s="31" t="s">
        <v>49</v>
      </c>
      <c r="O15" s="31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143" t="s">
        <v>49</v>
      </c>
      <c r="V15" s="143" t="s">
        <v>49</v>
      </c>
      <c r="W15" s="143" t="s">
        <v>49</v>
      </c>
      <c r="X15" s="31" t="s">
        <v>49</v>
      </c>
      <c r="Y15" s="143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143" t="s">
        <v>49</v>
      </c>
      <c r="AE15" s="143" t="s">
        <v>49</v>
      </c>
      <c r="AF15" s="143" t="s">
        <v>49</v>
      </c>
      <c r="AG15" s="143" t="s">
        <v>49</v>
      </c>
      <c r="AH15" s="143" t="s">
        <v>49</v>
      </c>
      <c r="AI15" s="3"/>
      <c r="AJ15" s="31" t="s">
        <v>49</v>
      </c>
      <c r="AK15" s="139" t="s">
        <v>49</v>
      </c>
      <c r="AL15" s="31" t="s">
        <v>49</v>
      </c>
      <c r="AM15" s="143" t="s">
        <v>49</v>
      </c>
      <c r="AN15" s="31" t="s">
        <v>49</v>
      </c>
      <c r="AO15" s="143" t="s">
        <v>49</v>
      </c>
      <c r="AP15" s="143" t="s">
        <v>49</v>
      </c>
      <c r="AQ15" s="3"/>
      <c r="AR15" s="3"/>
      <c r="AS15" s="3"/>
      <c r="AT15" s="30" t="s">
        <v>992</v>
      </c>
      <c r="AU15" s="30" t="s">
        <v>993</v>
      </c>
      <c r="AV15" s="30" t="s">
        <v>994</v>
      </c>
      <c r="AW15" s="3"/>
      <c r="AX15" s="3"/>
      <c r="AY15" s="3"/>
    </row>
    <row x14ac:dyDescent="0.25" r="16" customHeight="1" ht="18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31" t="s">
        <v>49</v>
      </c>
      <c r="J16" s="31" t="s">
        <v>49</v>
      </c>
      <c r="K16" s="31" t="s">
        <v>49</v>
      </c>
      <c r="L16" s="31" t="s">
        <v>49</v>
      </c>
      <c r="M16" s="139" t="s">
        <v>49</v>
      </c>
      <c r="N16" s="31" t="s">
        <v>49</v>
      </c>
      <c r="O16" s="31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143" t="s">
        <v>49</v>
      </c>
      <c r="V16" s="143" t="s">
        <v>49</v>
      </c>
      <c r="W16" s="143" t="s">
        <v>49</v>
      </c>
      <c r="X16" s="31" t="s">
        <v>49</v>
      </c>
      <c r="Y16" s="143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143" t="s">
        <v>49</v>
      </c>
      <c r="AE16" s="143" t="s">
        <v>49</v>
      </c>
      <c r="AF16" s="143" t="s">
        <v>49</v>
      </c>
      <c r="AG16" s="143" t="s">
        <v>49</v>
      </c>
      <c r="AH16" s="143" t="s">
        <v>49</v>
      </c>
      <c r="AI16" s="3"/>
      <c r="AJ16" s="31" t="s">
        <v>49</v>
      </c>
      <c r="AK16" s="139" t="s">
        <v>49</v>
      </c>
      <c r="AL16" s="31" t="s">
        <v>49</v>
      </c>
      <c r="AM16" s="143" t="s">
        <v>49</v>
      </c>
      <c r="AN16" s="31" t="s">
        <v>49</v>
      </c>
      <c r="AO16" s="143" t="s">
        <v>49</v>
      </c>
      <c r="AP16" s="143" t="s">
        <v>49</v>
      </c>
      <c r="AQ16" s="3"/>
      <c r="AR16" s="3"/>
      <c r="AS16" s="3"/>
      <c r="AT16" s="30" t="s">
        <v>995</v>
      </c>
      <c r="AU16" s="3"/>
      <c r="AV16" s="3"/>
      <c r="AW16" s="30" t="s">
        <v>996</v>
      </c>
      <c r="AX16" s="3"/>
      <c r="AY16" s="3"/>
    </row>
    <row x14ac:dyDescent="0.25" r="17" customHeight="1" ht="18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31" t="s">
        <v>941</v>
      </c>
      <c r="J17" s="31" t="s">
        <v>941</v>
      </c>
      <c r="K17" s="31" t="s">
        <v>941</v>
      </c>
      <c r="L17" s="31" t="s">
        <v>941</v>
      </c>
      <c r="M17" s="139" t="s">
        <v>941</v>
      </c>
      <c r="N17" s="31"/>
      <c r="O17" s="31" t="s">
        <v>941</v>
      </c>
      <c r="P17" s="31" t="s">
        <v>57</v>
      </c>
      <c r="Q17" s="31" t="s">
        <v>57</v>
      </c>
      <c r="R17" s="143" t="s">
        <v>358</v>
      </c>
      <c r="S17" s="31" t="s">
        <v>941</v>
      </c>
      <c r="T17" s="143" t="s">
        <v>358</v>
      </c>
      <c r="U17" s="143" t="s">
        <v>358</v>
      </c>
      <c r="V17" s="143" t="s">
        <v>358</v>
      </c>
      <c r="W17" s="143" t="s">
        <v>358</v>
      </c>
      <c r="X17" s="31" t="s">
        <v>941</v>
      </c>
      <c r="Y17" s="143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  <c r="AI17" s="3"/>
      <c r="AJ17" s="31"/>
      <c r="AK17" s="139" t="s">
        <v>57</v>
      </c>
      <c r="AL17" s="31" t="s">
        <v>57</v>
      </c>
      <c r="AM17" s="143" t="s">
        <v>358</v>
      </c>
      <c r="AN17" s="31" t="s">
        <v>941</v>
      </c>
      <c r="AO17" s="143" t="s">
        <v>358</v>
      </c>
      <c r="AP17" s="143" t="s">
        <v>358</v>
      </c>
      <c r="AQ17" s="3"/>
      <c r="AR17" s="3"/>
      <c r="AS17" s="3"/>
      <c r="AT17" s="30" t="s">
        <v>997</v>
      </c>
      <c r="AU17" s="3"/>
      <c r="AV17" s="3"/>
      <c r="AW17" s="3"/>
      <c r="AX17" s="3"/>
      <c r="AY17" s="3"/>
    </row>
    <row x14ac:dyDescent="0.25" r="18" customHeight="1" ht="18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31" t="s">
        <v>942</v>
      </c>
      <c r="J18" s="31" t="s">
        <v>942</v>
      </c>
      <c r="K18" s="31" t="s">
        <v>942</v>
      </c>
      <c r="L18" s="31" t="s">
        <v>942</v>
      </c>
      <c r="M18" s="139" t="s">
        <v>942</v>
      </c>
      <c r="N18" s="31" t="s">
        <v>942</v>
      </c>
      <c r="O18" s="31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143" t="s">
        <v>942</v>
      </c>
      <c r="V18" s="143" t="s">
        <v>942</v>
      </c>
      <c r="W18" s="143" t="s">
        <v>942</v>
      </c>
      <c r="X18" s="31" t="s">
        <v>59</v>
      </c>
      <c r="Y18" s="143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143" t="s">
        <v>942</v>
      </c>
      <c r="AE18" s="143" t="s">
        <v>942</v>
      </c>
      <c r="AF18" s="143" t="s">
        <v>942</v>
      </c>
      <c r="AG18" s="143" t="s">
        <v>942</v>
      </c>
      <c r="AH18" s="143" t="s">
        <v>942</v>
      </c>
      <c r="AI18" s="3"/>
      <c r="AJ18" s="31" t="s">
        <v>942</v>
      </c>
      <c r="AK18" s="139" t="s">
        <v>942</v>
      </c>
      <c r="AL18" s="31" t="s">
        <v>942</v>
      </c>
      <c r="AM18" s="143" t="s">
        <v>942</v>
      </c>
      <c r="AN18" s="31" t="s">
        <v>942</v>
      </c>
      <c r="AO18" s="143" t="s">
        <v>942</v>
      </c>
      <c r="AP18" s="143" t="s">
        <v>942</v>
      </c>
      <c r="AQ18" s="3"/>
      <c r="AR18" s="3"/>
      <c r="AS18" s="3"/>
      <c r="AT18" s="30" t="s">
        <v>998</v>
      </c>
      <c r="AU18" s="30" t="s">
        <v>999</v>
      </c>
      <c r="AV18" s="30" t="s">
        <v>1000</v>
      </c>
      <c r="AW18" s="30" t="s">
        <v>1001</v>
      </c>
      <c r="AX18" s="30" t="s">
        <v>1002</v>
      </c>
      <c r="AY18" s="3"/>
    </row>
    <row x14ac:dyDescent="0.25" r="19" customHeight="1" ht="18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33">
        <v>3</v>
      </c>
      <c r="J19" s="33">
        <v>3</v>
      </c>
      <c r="K19" s="33">
        <v>2</v>
      </c>
      <c r="L19" s="33">
        <v>3</v>
      </c>
      <c r="M19" s="33">
        <v>3</v>
      </c>
      <c r="N19" s="33">
        <v>4</v>
      </c>
      <c r="O19" s="33">
        <v>4</v>
      </c>
      <c r="P19" s="33">
        <v>4</v>
      </c>
      <c r="Q19" s="33">
        <v>4</v>
      </c>
      <c r="R19" s="222">
        <v>3</v>
      </c>
      <c r="S19" s="33">
        <v>3</v>
      </c>
      <c r="T19" s="222">
        <v>3</v>
      </c>
      <c r="U19" s="222">
        <v>3</v>
      </c>
      <c r="V19" s="222">
        <v>3</v>
      </c>
      <c r="W19" s="222">
        <v>3</v>
      </c>
      <c r="X19" s="33">
        <v>6</v>
      </c>
      <c r="Y19" s="222">
        <v>3</v>
      </c>
      <c r="Z19" s="222">
        <v>3</v>
      </c>
      <c r="AA19" s="222">
        <v>3</v>
      </c>
      <c r="AB19" s="222">
        <v>3</v>
      </c>
      <c r="AC19" s="222">
        <v>3</v>
      </c>
      <c r="AD19" s="222">
        <v>3</v>
      </c>
      <c r="AE19" s="222">
        <v>3</v>
      </c>
      <c r="AF19" s="222">
        <v>3</v>
      </c>
      <c r="AG19" s="222">
        <v>3</v>
      </c>
      <c r="AH19" s="222">
        <v>3</v>
      </c>
      <c r="AI19" s="3"/>
      <c r="AJ19" s="33">
        <v>4</v>
      </c>
      <c r="AK19" s="140">
        <v>4</v>
      </c>
      <c r="AL19" s="31">
        <v>4</v>
      </c>
      <c r="AM19" s="224">
        <v>3</v>
      </c>
      <c r="AN19" s="31">
        <v>3</v>
      </c>
      <c r="AO19" s="224">
        <v>3</v>
      </c>
      <c r="AP19" s="224">
        <v>3</v>
      </c>
      <c r="AQ19" s="3"/>
      <c r="AR19" s="3"/>
      <c r="AS19" s="3"/>
      <c r="AT19" s="30" t="s">
        <v>1003</v>
      </c>
      <c r="AU19" s="30" t="s">
        <v>1004</v>
      </c>
      <c r="AV19" s="30" t="s">
        <v>1005</v>
      </c>
      <c r="AW19" s="30" t="s">
        <v>1006</v>
      </c>
      <c r="AX19" s="3"/>
      <c r="AY19" s="3"/>
    </row>
    <row x14ac:dyDescent="0.25" r="20" customHeight="1" ht="18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943</v>
      </c>
      <c r="L20" s="31" t="s">
        <v>62</v>
      </c>
      <c r="M20" s="31" t="s">
        <v>943</v>
      </c>
      <c r="N20" s="31" t="s">
        <v>62</v>
      </c>
      <c r="O20" s="31" t="s">
        <v>62</v>
      </c>
      <c r="P20" s="31" t="s">
        <v>62</v>
      </c>
      <c r="Q20" s="31" t="s">
        <v>62</v>
      </c>
      <c r="R20" s="143" t="s">
        <v>943</v>
      </c>
      <c r="S20" s="31" t="s">
        <v>62</v>
      </c>
      <c r="T20" s="143" t="s">
        <v>943</v>
      </c>
      <c r="U20" s="143" t="s">
        <v>943</v>
      </c>
      <c r="V20" s="143" t="s">
        <v>943</v>
      </c>
      <c r="W20" s="143" t="s">
        <v>943</v>
      </c>
      <c r="X20" s="31" t="s">
        <v>62</v>
      </c>
      <c r="Y20" s="143" t="s">
        <v>943</v>
      </c>
      <c r="Z20" s="143" t="s">
        <v>943</v>
      </c>
      <c r="AA20" s="143" t="s">
        <v>943</v>
      </c>
      <c r="AB20" s="143" t="s">
        <v>943</v>
      </c>
      <c r="AC20" s="143" t="s">
        <v>943</v>
      </c>
      <c r="AD20" s="143" t="s">
        <v>943</v>
      </c>
      <c r="AE20" s="143" t="s">
        <v>943</v>
      </c>
      <c r="AF20" s="143" t="s">
        <v>943</v>
      </c>
      <c r="AG20" s="143" t="s">
        <v>943</v>
      </c>
      <c r="AH20" s="143" t="s">
        <v>943</v>
      </c>
      <c r="AI20" s="3"/>
      <c r="AJ20" s="31" t="s">
        <v>62</v>
      </c>
      <c r="AK20" s="31" t="s">
        <v>62</v>
      </c>
      <c r="AL20" s="33" t="s">
        <v>62</v>
      </c>
      <c r="AM20" s="146" t="s">
        <v>943</v>
      </c>
      <c r="AN20" s="33" t="s">
        <v>62</v>
      </c>
      <c r="AO20" s="146" t="s">
        <v>943</v>
      </c>
      <c r="AP20" s="146" t="s">
        <v>943</v>
      </c>
      <c r="AQ20" s="3"/>
      <c r="AR20" s="3"/>
      <c r="AS20" s="3"/>
      <c r="AT20" s="30" t="s">
        <v>1007</v>
      </c>
      <c r="AU20" s="3"/>
      <c r="AV20" s="30" t="s">
        <v>1008</v>
      </c>
      <c r="AW20" s="3"/>
      <c r="AX20" s="30" t="s">
        <v>1009</v>
      </c>
      <c r="AY20" s="3"/>
    </row>
    <row x14ac:dyDescent="0.25" r="21" customHeight="1" ht="18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1">
        <v>1</v>
      </c>
      <c r="O21" s="31">
        <v>1</v>
      </c>
      <c r="P21" s="31">
        <v>1</v>
      </c>
      <c r="Q21" s="31">
        <v>1</v>
      </c>
      <c r="R21" s="143">
        <v>0</v>
      </c>
      <c r="S21" s="31">
        <v>1</v>
      </c>
      <c r="T21" s="143">
        <v>0</v>
      </c>
      <c r="U21" s="143">
        <v>0</v>
      </c>
      <c r="V21" s="143">
        <v>0</v>
      </c>
      <c r="W21" s="143">
        <v>0</v>
      </c>
      <c r="X21" s="31">
        <v>1</v>
      </c>
      <c r="Y21" s="143">
        <v>0</v>
      </c>
      <c r="Z21" s="143">
        <v>0</v>
      </c>
      <c r="AA21" s="143">
        <v>0</v>
      </c>
      <c r="AB21" s="143">
        <v>0</v>
      </c>
      <c r="AC21" s="143">
        <v>0</v>
      </c>
      <c r="AD21" s="143">
        <v>0</v>
      </c>
      <c r="AE21" s="143">
        <v>0</v>
      </c>
      <c r="AF21" s="143">
        <v>0</v>
      </c>
      <c r="AG21" s="143">
        <v>0</v>
      </c>
      <c r="AH21" s="143">
        <v>0</v>
      </c>
      <c r="AI21" s="3"/>
      <c r="AJ21" s="31">
        <v>1</v>
      </c>
      <c r="AK21" s="31">
        <v>1</v>
      </c>
      <c r="AL21" s="31">
        <v>1</v>
      </c>
      <c r="AM21" s="143">
        <v>0</v>
      </c>
      <c r="AN21" s="31">
        <v>1</v>
      </c>
      <c r="AO21" s="143">
        <v>0</v>
      </c>
      <c r="AP21" s="143">
        <v>0</v>
      </c>
      <c r="AQ21" s="3"/>
      <c r="AR21" s="3"/>
      <c r="AS21" s="3"/>
      <c r="AT21" s="30" t="s">
        <v>1010</v>
      </c>
      <c r="AU21" s="3"/>
      <c r="AV21" s="3"/>
      <c r="AW21" s="30" t="s">
        <v>1011</v>
      </c>
      <c r="AX21" s="3"/>
      <c r="AY21" s="30" t="s">
        <v>1012</v>
      </c>
    </row>
    <row x14ac:dyDescent="0.25" r="22" customHeight="1" ht="18.75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3"/>
      <c r="AR22" s="3"/>
      <c r="AS22" s="3"/>
      <c r="AT22" s="30" t="s">
        <v>1013</v>
      </c>
      <c r="AU22" s="3"/>
      <c r="AV22" s="3"/>
      <c r="AW22" s="3"/>
      <c r="AX22" s="30" t="s">
        <v>1014</v>
      </c>
      <c r="AY22" s="30" t="s">
        <v>1015</v>
      </c>
    </row>
    <row x14ac:dyDescent="0.25" r="23" customHeight="1" ht="18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31" t="s">
        <v>207</v>
      </c>
      <c r="N23" s="31" t="s">
        <v>207</v>
      </c>
      <c r="O23" s="31" t="s">
        <v>207</v>
      </c>
      <c r="P23" s="218" t="s">
        <v>358</v>
      </c>
      <c r="Q23" s="218" t="s">
        <v>358</v>
      </c>
      <c r="R23" s="139" t="s">
        <v>207</v>
      </c>
      <c r="S23" s="218" t="s">
        <v>358</v>
      </c>
      <c r="T23" s="31" t="s">
        <v>207</v>
      </c>
      <c r="U23" s="31" t="s">
        <v>207</v>
      </c>
      <c r="V23" s="31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31" t="s">
        <v>207</v>
      </c>
      <c r="AH23" s="114" t="s">
        <v>207</v>
      </c>
      <c r="AI23" s="3"/>
      <c r="AJ23" s="31" t="s">
        <v>207</v>
      </c>
      <c r="AK23" s="218" t="s">
        <v>358</v>
      </c>
      <c r="AL23" s="218" t="s">
        <v>358</v>
      </c>
      <c r="AM23" s="139" t="s">
        <v>207</v>
      </c>
      <c r="AN23" s="218" t="s">
        <v>358</v>
      </c>
      <c r="AO23" s="31" t="s">
        <v>207</v>
      </c>
      <c r="AP23" s="31" t="s">
        <v>207</v>
      </c>
      <c r="AQ23" s="3"/>
      <c r="AR23" s="3"/>
      <c r="AS23" s="3"/>
      <c r="AT23" s="3"/>
      <c r="AU23" s="3"/>
      <c r="AV23" s="3"/>
      <c r="AW23" s="3"/>
      <c r="AX23" s="3"/>
      <c r="AY23" s="3"/>
    </row>
    <row x14ac:dyDescent="0.25" r="24" customHeight="1" ht="15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31" t="s">
        <v>210</v>
      </c>
      <c r="N24" s="31" t="s">
        <v>210</v>
      </c>
      <c r="O24" s="31" t="s">
        <v>210</v>
      </c>
      <c r="P24" s="220" t="s">
        <v>358</v>
      </c>
      <c r="Q24" s="220" t="s">
        <v>358</v>
      </c>
      <c r="R24" s="139" t="s">
        <v>212</v>
      </c>
      <c r="S24" s="220" t="s">
        <v>358</v>
      </c>
      <c r="T24" s="31" t="s">
        <v>944</v>
      </c>
      <c r="U24" s="31" t="s">
        <v>210</v>
      </c>
      <c r="V24" s="31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31" t="s">
        <v>212</v>
      </c>
      <c r="AH24" s="116" t="s">
        <v>212</v>
      </c>
      <c r="AI24" s="3"/>
      <c r="AJ24" s="31" t="s">
        <v>210</v>
      </c>
      <c r="AK24" s="220" t="s">
        <v>358</v>
      </c>
      <c r="AL24" s="220" t="s">
        <v>358</v>
      </c>
      <c r="AM24" s="210" t="s">
        <v>1016</v>
      </c>
      <c r="AN24" s="220" t="s">
        <v>358</v>
      </c>
      <c r="AO24" s="31" t="s">
        <v>227</v>
      </c>
      <c r="AP24" s="31" t="s">
        <v>945</v>
      </c>
      <c r="AQ24" s="3"/>
      <c r="AR24" s="3"/>
      <c r="AS24" s="3"/>
      <c r="AT24" s="3"/>
      <c r="AU24" s="3"/>
      <c r="AV24" s="3"/>
      <c r="AW24" s="3"/>
      <c r="AX24" s="3"/>
      <c r="AY24" s="3"/>
    </row>
    <row x14ac:dyDescent="0.25" r="25" customHeight="1" ht="18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17">
        <v>52</v>
      </c>
      <c r="N25" s="117">
        <v>52</v>
      </c>
      <c r="O25" s="117">
        <v>52</v>
      </c>
      <c r="P25" s="144"/>
      <c r="Q25" s="144"/>
      <c r="R25" s="167">
        <v>48</v>
      </c>
      <c r="S25" s="144"/>
      <c r="T25" s="117">
        <v>159</v>
      </c>
      <c r="U25" s="117">
        <v>52</v>
      </c>
      <c r="V25" s="11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17">
        <v>48</v>
      </c>
      <c r="AH25" s="137">
        <v>48</v>
      </c>
      <c r="AI25" s="3"/>
      <c r="AJ25" s="117">
        <v>52</v>
      </c>
      <c r="AK25" s="144"/>
      <c r="AL25" s="144"/>
      <c r="AM25" s="167">
        <v>162</v>
      </c>
      <c r="AN25" s="144"/>
      <c r="AO25" s="117">
        <v>56</v>
      </c>
      <c r="AP25" s="117">
        <v>103</v>
      </c>
      <c r="AQ25" s="3"/>
      <c r="AR25" s="3"/>
      <c r="AS25" s="3"/>
      <c r="AT25" s="3"/>
      <c r="AU25" s="3"/>
      <c r="AV25" s="3"/>
      <c r="AW25" s="3"/>
      <c r="AX25" s="3"/>
      <c r="AY25" s="3"/>
    </row>
    <row x14ac:dyDescent="0.25" r="26" customHeight="1" ht="18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33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3" t="s">
        <v>52</v>
      </c>
      <c r="S26" s="143" t="s">
        <v>49</v>
      </c>
      <c r="T26" s="33" t="s">
        <v>52</v>
      </c>
      <c r="U26" s="33" t="s">
        <v>52</v>
      </c>
      <c r="V26" s="31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31" t="s">
        <v>52</v>
      </c>
      <c r="AH26" s="116" t="s">
        <v>52</v>
      </c>
      <c r="AI26" s="3"/>
      <c r="AJ26" s="31" t="s">
        <v>52</v>
      </c>
      <c r="AK26" s="143" t="s">
        <v>49</v>
      </c>
      <c r="AL26" s="143" t="s">
        <v>49</v>
      </c>
      <c r="AM26" s="33" t="s">
        <v>52</v>
      </c>
      <c r="AN26" s="143" t="s">
        <v>49</v>
      </c>
      <c r="AO26" s="31" t="s">
        <v>52</v>
      </c>
      <c r="AP26" s="31" t="s">
        <v>52</v>
      </c>
      <c r="AQ26" s="3"/>
      <c r="AR26" s="3"/>
      <c r="AS26" s="3"/>
      <c r="AT26" s="3"/>
      <c r="AU26" s="3"/>
      <c r="AV26" s="3"/>
      <c r="AW26" s="3"/>
      <c r="AX26" s="3"/>
      <c r="AY26" s="3"/>
    </row>
    <row x14ac:dyDescent="0.25" r="27" customHeight="1" ht="18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31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31" t="s">
        <v>49</v>
      </c>
      <c r="S27" s="143" t="s">
        <v>49</v>
      </c>
      <c r="T27" s="31" t="s">
        <v>49</v>
      </c>
      <c r="U27" s="31" t="s">
        <v>49</v>
      </c>
      <c r="V27" s="31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31" t="s">
        <v>49</v>
      </c>
      <c r="AH27" s="114" t="s">
        <v>49</v>
      </c>
      <c r="AI27" s="3"/>
      <c r="AJ27" s="31" t="s">
        <v>49</v>
      </c>
      <c r="AK27" s="143" t="s">
        <v>49</v>
      </c>
      <c r="AL27" s="143" t="s">
        <v>49</v>
      </c>
      <c r="AM27" s="142" t="s">
        <v>49</v>
      </c>
      <c r="AN27" s="143" t="s">
        <v>49</v>
      </c>
      <c r="AO27" s="31" t="s">
        <v>49</v>
      </c>
      <c r="AP27" s="31" t="s">
        <v>49</v>
      </c>
      <c r="AQ27" s="3"/>
      <c r="AR27" s="3"/>
      <c r="AS27" s="3"/>
      <c r="AT27" s="3"/>
      <c r="AU27" s="3"/>
      <c r="AV27" s="3"/>
      <c r="AW27" s="3"/>
      <c r="AX27" s="3"/>
      <c r="AY27" s="3"/>
    </row>
    <row x14ac:dyDescent="0.25" r="28" customHeight="1" ht="18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31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31" t="s">
        <v>52</v>
      </c>
      <c r="S28" s="143" t="s">
        <v>49</v>
      </c>
      <c r="T28" s="31" t="s">
        <v>52</v>
      </c>
      <c r="U28" s="31" t="s">
        <v>52</v>
      </c>
      <c r="V28" s="31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31" t="s">
        <v>52</v>
      </c>
      <c r="AH28" s="114" t="s">
        <v>52</v>
      </c>
      <c r="AI28" s="3"/>
      <c r="AJ28" s="31" t="s">
        <v>52</v>
      </c>
      <c r="AK28" s="143" t="s">
        <v>49</v>
      </c>
      <c r="AL28" s="143" t="s">
        <v>49</v>
      </c>
      <c r="AM28" s="119" t="s">
        <v>843</v>
      </c>
      <c r="AN28" s="143" t="s">
        <v>49</v>
      </c>
      <c r="AO28" s="31" t="s">
        <v>52</v>
      </c>
      <c r="AP28" s="31" t="s">
        <v>52</v>
      </c>
      <c r="AQ28" s="3"/>
      <c r="AR28" s="3"/>
      <c r="AS28" s="3"/>
      <c r="AT28" s="3"/>
      <c r="AU28" s="3"/>
      <c r="AV28" s="3"/>
      <c r="AW28" s="3"/>
      <c r="AX28" s="3"/>
      <c r="AY28" s="3"/>
    </row>
    <row x14ac:dyDescent="0.25" r="29" customHeight="1" ht="18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31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31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31" t="s">
        <v>49</v>
      </c>
      <c r="AH29" s="114" t="s">
        <v>49</v>
      </c>
      <c r="AI29" s="3"/>
      <c r="AJ29" s="31" t="s">
        <v>49</v>
      </c>
      <c r="AK29" s="143" t="s">
        <v>49</v>
      </c>
      <c r="AL29" s="143" t="s">
        <v>49</v>
      </c>
      <c r="AM29" s="31" t="s">
        <v>49</v>
      </c>
      <c r="AN29" s="143" t="s">
        <v>49</v>
      </c>
      <c r="AO29" s="31" t="s">
        <v>49</v>
      </c>
      <c r="AP29" s="31" t="s">
        <v>49</v>
      </c>
      <c r="AQ29" s="3"/>
      <c r="AR29" s="3"/>
      <c r="AS29" s="3"/>
      <c r="AT29" s="3"/>
      <c r="AU29" s="3"/>
      <c r="AV29" s="3"/>
      <c r="AW29" s="3"/>
      <c r="AX29" s="3"/>
      <c r="AY29" s="3"/>
    </row>
    <row x14ac:dyDescent="0.25" r="30" customHeight="1" ht="18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31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31" t="s">
        <v>143</v>
      </c>
      <c r="S30" s="143" t="s">
        <v>143</v>
      </c>
      <c r="T30" s="31" t="s">
        <v>143</v>
      </c>
      <c r="U30" s="31" t="s">
        <v>143</v>
      </c>
      <c r="V30" s="31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31" t="s">
        <v>143</v>
      </c>
      <c r="AH30" s="114" t="s">
        <v>143</v>
      </c>
      <c r="AI30" s="3"/>
      <c r="AJ30" s="31" t="s">
        <v>143</v>
      </c>
      <c r="AK30" s="143" t="s">
        <v>143</v>
      </c>
      <c r="AL30" s="143" t="s">
        <v>143</v>
      </c>
      <c r="AM30" s="118" t="s">
        <v>1017</v>
      </c>
      <c r="AN30" s="143" t="s">
        <v>143</v>
      </c>
      <c r="AO30" s="31" t="s">
        <v>133</v>
      </c>
      <c r="AP30" s="31" t="s">
        <v>163</v>
      </c>
      <c r="AQ30" s="3"/>
      <c r="AR30" s="3"/>
      <c r="AS30" s="3"/>
      <c r="AT30" s="3"/>
      <c r="AU30" s="3"/>
      <c r="AV30" s="3"/>
      <c r="AW30" s="3"/>
      <c r="AX30" s="3"/>
      <c r="AY30" s="3"/>
    </row>
    <row x14ac:dyDescent="0.25" r="31" customHeight="1" ht="18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31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4/3</f>
      </c>
      <c r="S31" s="143">
        <v>0</v>
      </c>
      <c r="T31" s="31">
        <f>AVERAGE(1,1,-0.5)</f>
      </c>
      <c r="U31" s="31">
        <v>0.5</v>
      </c>
      <c r="V31" s="31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31">
        <f>4/3</f>
      </c>
      <c r="AH31" s="114">
        <f>4/3</f>
      </c>
      <c r="AI31" s="3"/>
      <c r="AJ31" s="31">
        <v>0.5</v>
      </c>
      <c r="AK31" s="143">
        <v>0</v>
      </c>
      <c r="AL31" s="143">
        <v>0</v>
      </c>
      <c r="AM31" s="31">
        <f>AVERAGE(4/3,-0.5,-6)</f>
      </c>
      <c r="AN31" s="143">
        <v>0</v>
      </c>
      <c r="AO31" s="31">
        <v>-0.5</v>
      </c>
      <c r="AP31" s="31">
        <f>AVERAGE(0.5,-0.5)</f>
      </c>
      <c r="AQ31" s="3"/>
      <c r="AR31" s="3"/>
      <c r="AS31" s="3"/>
      <c r="AT31" s="3"/>
      <c r="AU31" s="3"/>
      <c r="AV31" s="3"/>
      <c r="AW31" s="3"/>
      <c r="AX31" s="3"/>
      <c r="AY31" s="3"/>
    </row>
    <row x14ac:dyDescent="0.25" r="32" customHeight="1" ht="18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31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31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31" t="s">
        <v>169</v>
      </c>
      <c r="AH32" s="114" t="s">
        <v>169</v>
      </c>
      <c r="AI32" s="3"/>
      <c r="AJ32" s="31" t="s">
        <v>169</v>
      </c>
      <c r="AK32" s="143" t="s">
        <v>358</v>
      </c>
      <c r="AL32" s="143" t="s">
        <v>358</v>
      </c>
      <c r="AM32" s="31" t="s">
        <v>169</v>
      </c>
      <c r="AN32" s="143" t="s">
        <v>358</v>
      </c>
      <c r="AO32" s="31" t="s">
        <v>169</v>
      </c>
      <c r="AP32" s="31" t="s">
        <v>169</v>
      </c>
      <c r="AQ32" s="3"/>
      <c r="AR32" s="3"/>
      <c r="AS32" s="3"/>
      <c r="AT32" s="3"/>
      <c r="AU32" s="3"/>
      <c r="AV32" s="3"/>
      <c r="AW32" s="3"/>
      <c r="AX32" s="3"/>
      <c r="AY32" s="3"/>
    </row>
    <row x14ac:dyDescent="0.25" r="33" customHeight="1" ht="18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143">
        <v>0</v>
      </c>
      <c r="Q33" s="143">
        <v>0</v>
      </c>
      <c r="R33" s="31">
        <v>2</v>
      </c>
      <c r="S33" s="143">
        <v>0</v>
      </c>
      <c r="T33" s="31">
        <v>2</v>
      </c>
      <c r="U33" s="31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31">
        <v>2</v>
      </c>
      <c r="AH33" s="114">
        <v>2</v>
      </c>
      <c r="AI33" s="3"/>
      <c r="AJ33" s="31">
        <v>2</v>
      </c>
      <c r="AK33" s="143">
        <v>0</v>
      </c>
      <c r="AL33" s="143">
        <v>0</v>
      </c>
      <c r="AM33" s="31">
        <v>2</v>
      </c>
      <c r="AN33" s="143">
        <v>0</v>
      </c>
      <c r="AO33" s="31">
        <v>2</v>
      </c>
      <c r="AP33" s="31">
        <v>2</v>
      </c>
      <c r="AQ33" s="3"/>
      <c r="AR33" s="3"/>
      <c r="AS33" s="3"/>
      <c r="AT33" s="3"/>
      <c r="AU33" s="3"/>
      <c r="AV33" s="3"/>
      <c r="AW33" s="3"/>
      <c r="AX33" s="3"/>
      <c r="AY33" s="3"/>
    </row>
    <row x14ac:dyDescent="0.25" r="34" customHeight="1" ht="18.7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3"/>
      <c r="AR34" s="3"/>
      <c r="AS34" s="3"/>
      <c r="AT34" s="3"/>
      <c r="AU34" s="3"/>
      <c r="AV34" s="3"/>
      <c r="AW34" s="3"/>
      <c r="AX34" s="3"/>
      <c r="AY34" s="3"/>
    </row>
    <row x14ac:dyDescent="0.25" r="35" customHeight="1" ht="18.75">
      <c r="A35" s="30" t="s">
        <v>43</v>
      </c>
      <c r="B35" s="31" t="s">
        <v>562</v>
      </c>
      <c r="C35" s="31" t="s">
        <v>281</v>
      </c>
      <c r="D35" s="31" t="s">
        <v>281</v>
      </c>
      <c r="E35" s="31" t="s">
        <v>281</v>
      </c>
      <c r="F35" s="31" t="s">
        <v>281</v>
      </c>
      <c r="G35" s="31" t="s">
        <v>281</v>
      </c>
      <c r="H35" s="31" t="s">
        <v>281</v>
      </c>
      <c r="I35" s="31" t="s">
        <v>281</v>
      </c>
      <c r="J35" s="31" t="s">
        <v>281</v>
      </c>
      <c r="K35" s="31" t="s">
        <v>281</v>
      </c>
      <c r="L35" s="31" t="s">
        <v>281</v>
      </c>
      <c r="M35" s="31" t="s">
        <v>281</v>
      </c>
      <c r="N35" s="31" t="s">
        <v>281</v>
      </c>
      <c r="O35" s="31" t="s">
        <v>281</v>
      </c>
      <c r="P35" s="31" t="s">
        <v>281</v>
      </c>
      <c r="Q35" s="31" t="s">
        <v>281</v>
      </c>
      <c r="R35" s="31" t="s">
        <v>281</v>
      </c>
      <c r="S35" s="31" t="s">
        <v>281</v>
      </c>
      <c r="T35" s="31" t="s">
        <v>281</v>
      </c>
      <c r="U35" s="31" t="s">
        <v>281</v>
      </c>
      <c r="V35" s="31" t="s">
        <v>281</v>
      </c>
      <c r="W35" s="31" t="s">
        <v>281</v>
      </c>
      <c r="X35" s="31" t="s">
        <v>281</v>
      </c>
      <c r="Y35" s="31" t="s">
        <v>281</v>
      </c>
      <c r="Z35" s="31" t="s">
        <v>281</v>
      </c>
      <c r="AA35" s="31" t="s">
        <v>281</v>
      </c>
      <c r="AB35" s="31" t="s">
        <v>281</v>
      </c>
      <c r="AC35" s="31" t="s">
        <v>281</v>
      </c>
      <c r="AD35" s="31" t="s">
        <v>281</v>
      </c>
      <c r="AE35" s="31" t="s">
        <v>281</v>
      </c>
      <c r="AF35" s="31" t="s">
        <v>281</v>
      </c>
      <c r="AG35" s="31" t="s">
        <v>281</v>
      </c>
      <c r="AH35" s="31" t="s">
        <v>281</v>
      </c>
      <c r="AI35" s="3"/>
      <c r="AJ35" s="31" t="s">
        <v>1018</v>
      </c>
      <c r="AK35" s="31" t="s">
        <v>301</v>
      </c>
      <c r="AL35" s="31" t="s">
        <v>301</v>
      </c>
      <c r="AM35" s="31" t="s">
        <v>301</v>
      </c>
      <c r="AN35" s="31" t="s">
        <v>301</v>
      </c>
      <c r="AO35" s="31" t="s">
        <v>301</v>
      </c>
      <c r="AP35" s="31" t="s">
        <v>1019</v>
      </c>
      <c r="AQ35" s="3"/>
      <c r="AR35" s="3"/>
      <c r="AS35" s="3"/>
      <c r="AT35" s="3"/>
      <c r="AU35" s="3"/>
      <c r="AV35" s="3"/>
      <c r="AW35" s="3"/>
      <c r="AX35" s="3"/>
      <c r="AY35" s="3"/>
    </row>
    <row x14ac:dyDescent="0.25" r="36" customHeight="1" ht="18.75">
      <c r="A36" s="30" t="s">
        <v>45</v>
      </c>
      <c r="B36" s="31" t="s">
        <v>302</v>
      </c>
      <c r="C36" s="31" t="s">
        <v>302</v>
      </c>
      <c r="D36" s="31" t="s">
        <v>302</v>
      </c>
      <c r="E36" s="31" t="s">
        <v>302</v>
      </c>
      <c r="F36" s="31" t="s">
        <v>302</v>
      </c>
      <c r="G36" s="31" t="s">
        <v>302</v>
      </c>
      <c r="H36" s="31" t="s">
        <v>302</v>
      </c>
      <c r="I36" s="31" t="s">
        <v>302</v>
      </c>
      <c r="J36" s="31" t="s">
        <v>302</v>
      </c>
      <c r="K36" s="31" t="s">
        <v>302</v>
      </c>
      <c r="L36" s="31" t="s">
        <v>302</v>
      </c>
      <c r="M36" s="31" t="s">
        <v>302</v>
      </c>
      <c r="N36" s="31" t="s">
        <v>302</v>
      </c>
      <c r="O36" s="31" t="s">
        <v>302</v>
      </c>
      <c r="P36" s="31" t="s">
        <v>302</v>
      </c>
      <c r="Q36" s="31" t="s">
        <v>302</v>
      </c>
      <c r="R36" s="31" t="s">
        <v>302</v>
      </c>
      <c r="S36" s="31" t="s">
        <v>302</v>
      </c>
      <c r="T36" s="31" t="s">
        <v>302</v>
      </c>
      <c r="U36" s="31" t="s">
        <v>302</v>
      </c>
      <c r="V36" s="31" t="s">
        <v>302</v>
      </c>
      <c r="W36" s="31" t="s">
        <v>302</v>
      </c>
      <c r="X36" s="31" t="s">
        <v>302</v>
      </c>
      <c r="Y36" s="31" t="s">
        <v>302</v>
      </c>
      <c r="Z36" s="31" t="s">
        <v>302</v>
      </c>
      <c r="AA36" s="31" t="s">
        <v>302</v>
      </c>
      <c r="AB36" s="31" t="s">
        <v>302</v>
      </c>
      <c r="AC36" s="31" t="s">
        <v>302</v>
      </c>
      <c r="AD36" s="31" t="s">
        <v>302</v>
      </c>
      <c r="AE36" s="31" t="s">
        <v>302</v>
      </c>
      <c r="AF36" s="31" t="s">
        <v>302</v>
      </c>
      <c r="AG36" s="31" t="s">
        <v>302</v>
      </c>
      <c r="AH36" s="31" t="s">
        <v>302</v>
      </c>
      <c r="AI36" s="3"/>
      <c r="AJ36" s="33" t="s">
        <v>1020</v>
      </c>
      <c r="AK36" s="33" t="s">
        <v>227</v>
      </c>
      <c r="AL36" s="33" t="s">
        <v>227</v>
      </c>
      <c r="AM36" s="186" t="s">
        <v>1021</v>
      </c>
      <c r="AN36" s="33" t="s">
        <v>1022</v>
      </c>
      <c r="AO36" s="33" t="s">
        <v>303</v>
      </c>
      <c r="AP36" s="33" t="s">
        <v>1023</v>
      </c>
      <c r="AQ36" s="3"/>
      <c r="AR36" s="3"/>
      <c r="AS36" s="3"/>
      <c r="AT36" s="3"/>
      <c r="AU36" s="3"/>
      <c r="AV36" s="3"/>
      <c r="AW36" s="3"/>
      <c r="AX36" s="3"/>
      <c r="AY36" s="3"/>
    </row>
    <row x14ac:dyDescent="0.25" r="37" customHeight="1" ht="18.75">
      <c r="A37" s="35" t="s">
        <v>47</v>
      </c>
      <c r="B37" s="117">
        <v>19</v>
      </c>
      <c r="C37" s="117">
        <v>19</v>
      </c>
      <c r="D37" s="117">
        <v>19</v>
      </c>
      <c r="E37" s="117">
        <v>19</v>
      </c>
      <c r="F37" s="117">
        <v>19</v>
      </c>
      <c r="G37" s="117">
        <v>19</v>
      </c>
      <c r="H37" s="117">
        <v>19</v>
      </c>
      <c r="I37" s="117">
        <v>19</v>
      </c>
      <c r="J37" s="117">
        <v>19</v>
      </c>
      <c r="K37" s="117">
        <v>19</v>
      </c>
      <c r="L37" s="117">
        <v>19</v>
      </c>
      <c r="M37" s="117">
        <v>19</v>
      </c>
      <c r="N37" s="117">
        <v>19</v>
      </c>
      <c r="O37" s="117">
        <v>19</v>
      </c>
      <c r="P37" s="117">
        <v>19</v>
      </c>
      <c r="Q37" s="117">
        <v>19</v>
      </c>
      <c r="R37" s="117">
        <v>19</v>
      </c>
      <c r="S37" s="117">
        <v>19</v>
      </c>
      <c r="T37" s="117">
        <v>19</v>
      </c>
      <c r="U37" s="117">
        <v>19</v>
      </c>
      <c r="V37" s="117">
        <v>19</v>
      </c>
      <c r="W37" s="117">
        <v>19</v>
      </c>
      <c r="X37" s="117">
        <v>19</v>
      </c>
      <c r="Y37" s="117">
        <v>19</v>
      </c>
      <c r="Z37" s="117">
        <v>19</v>
      </c>
      <c r="AA37" s="117">
        <v>19</v>
      </c>
      <c r="AB37" s="117">
        <v>19</v>
      </c>
      <c r="AC37" s="117">
        <v>19</v>
      </c>
      <c r="AD37" s="117">
        <v>19</v>
      </c>
      <c r="AE37" s="117">
        <v>19</v>
      </c>
      <c r="AF37" s="117">
        <v>19</v>
      </c>
      <c r="AG37" s="117">
        <v>19</v>
      </c>
      <c r="AH37" s="117">
        <v>19</v>
      </c>
      <c r="AI37" s="3"/>
      <c r="AJ37" s="117">
        <v>105</v>
      </c>
      <c r="AK37" s="117">
        <v>56</v>
      </c>
      <c r="AL37" s="117">
        <v>56</v>
      </c>
      <c r="AM37" s="117">
        <v>163</v>
      </c>
      <c r="AN37" s="196">
        <v>106</v>
      </c>
      <c r="AO37" s="196">
        <v>150</v>
      </c>
      <c r="AP37" s="196">
        <v>152</v>
      </c>
      <c r="AQ37" s="3"/>
      <c r="AR37" s="3"/>
      <c r="AS37" s="3"/>
      <c r="AT37" s="3"/>
      <c r="AU37" s="3"/>
      <c r="AV37" s="3"/>
      <c r="AW37" s="3"/>
      <c r="AX37" s="3"/>
      <c r="AY37" s="3"/>
    </row>
    <row x14ac:dyDescent="0.25" r="38" customHeight="1" ht="18.75">
      <c r="A38" s="30" t="s">
        <v>123</v>
      </c>
      <c r="B38" s="33" t="s">
        <v>52</v>
      </c>
      <c r="C38" s="33" t="s">
        <v>52</v>
      </c>
      <c r="D38" s="33" t="s">
        <v>52</v>
      </c>
      <c r="E38" s="33" t="s">
        <v>52</v>
      </c>
      <c r="F38" s="33" t="s">
        <v>52</v>
      </c>
      <c r="G38" s="33" t="s">
        <v>52</v>
      </c>
      <c r="H38" s="33" t="s">
        <v>52</v>
      </c>
      <c r="I38" s="33" t="s">
        <v>52</v>
      </c>
      <c r="J38" s="33" t="s">
        <v>52</v>
      </c>
      <c r="K38" s="33" t="s">
        <v>52</v>
      </c>
      <c r="L38" s="33" t="s">
        <v>52</v>
      </c>
      <c r="M38" s="33" t="s">
        <v>52</v>
      </c>
      <c r="N38" s="33" t="s">
        <v>52</v>
      </c>
      <c r="O38" s="33" t="s">
        <v>52</v>
      </c>
      <c r="P38" s="33" t="s">
        <v>52</v>
      </c>
      <c r="Q38" s="33" t="s">
        <v>52</v>
      </c>
      <c r="R38" s="33" t="s">
        <v>52</v>
      </c>
      <c r="S38" s="33" t="s">
        <v>52</v>
      </c>
      <c r="T38" s="33" t="s">
        <v>52</v>
      </c>
      <c r="U38" s="33" t="s">
        <v>52</v>
      </c>
      <c r="V38" s="33" t="s">
        <v>52</v>
      </c>
      <c r="W38" s="33" t="s">
        <v>52</v>
      </c>
      <c r="X38" s="33" t="s">
        <v>52</v>
      </c>
      <c r="Y38" s="33" t="s">
        <v>52</v>
      </c>
      <c r="Z38" s="33" t="s">
        <v>52</v>
      </c>
      <c r="AA38" s="33" t="s">
        <v>52</v>
      </c>
      <c r="AB38" s="33" t="s">
        <v>52</v>
      </c>
      <c r="AC38" s="33" t="s">
        <v>52</v>
      </c>
      <c r="AD38" s="33" t="s">
        <v>52</v>
      </c>
      <c r="AE38" s="33" t="s">
        <v>52</v>
      </c>
      <c r="AF38" s="33" t="s">
        <v>52</v>
      </c>
      <c r="AG38" s="33" t="s">
        <v>52</v>
      </c>
      <c r="AH38" s="33" t="s">
        <v>52</v>
      </c>
      <c r="AI38" s="3"/>
      <c r="AJ38" s="31" t="s">
        <v>52</v>
      </c>
      <c r="AK38" s="31" t="s">
        <v>52</v>
      </c>
      <c r="AL38" s="31" t="s">
        <v>52</v>
      </c>
      <c r="AM38" s="33" t="s">
        <v>52</v>
      </c>
      <c r="AN38" s="31" t="s">
        <v>52</v>
      </c>
      <c r="AO38" s="31" t="s">
        <v>52</v>
      </c>
      <c r="AP38" s="31" t="s">
        <v>52</v>
      </c>
      <c r="AQ38" s="3"/>
      <c r="AR38" s="3"/>
      <c r="AS38" s="3"/>
      <c r="AT38" s="3"/>
      <c r="AU38" s="3"/>
      <c r="AV38" s="3"/>
      <c r="AW38" s="3"/>
      <c r="AX38" s="3"/>
      <c r="AY38" s="3"/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31" t="s">
        <v>49</v>
      </c>
      <c r="T39" s="31" t="s">
        <v>49</v>
      </c>
      <c r="U39" s="31" t="s">
        <v>49</v>
      </c>
      <c r="V39" s="31" t="s">
        <v>49</v>
      </c>
      <c r="W39" s="31" t="s">
        <v>49</v>
      </c>
      <c r="X39" s="31" t="s">
        <v>49</v>
      </c>
      <c r="Y39" s="31" t="s">
        <v>49</v>
      </c>
      <c r="Z39" s="31" t="s">
        <v>49</v>
      </c>
      <c r="AA39" s="31" t="s">
        <v>49</v>
      </c>
      <c r="AB39" s="31" t="s">
        <v>49</v>
      </c>
      <c r="AC39" s="31" t="s">
        <v>49</v>
      </c>
      <c r="AD39" s="31" t="s">
        <v>49</v>
      </c>
      <c r="AE39" s="31" t="s">
        <v>49</v>
      </c>
      <c r="AF39" s="31" t="s">
        <v>49</v>
      </c>
      <c r="AG39" s="31" t="s">
        <v>49</v>
      </c>
      <c r="AH39" s="31" t="s">
        <v>49</v>
      </c>
      <c r="AI39" s="3"/>
      <c r="AJ39" s="31" t="s">
        <v>49</v>
      </c>
      <c r="AK39" s="31" t="s">
        <v>49</v>
      </c>
      <c r="AL39" s="31" t="s">
        <v>49</v>
      </c>
      <c r="AM39" s="31" t="s">
        <v>49</v>
      </c>
      <c r="AN39" s="142" t="s">
        <v>49</v>
      </c>
      <c r="AO39" s="31" t="s">
        <v>49</v>
      </c>
      <c r="AP39" s="31" t="s">
        <v>49</v>
      </c>
      <c r="AQ39" s="3"/>
      <c r="AR39" s="3"/>
      <c r="AS39" s="3"/>
      <c r="AT39" s="3"/>
      <c r="AU39" s="3"/>
      <c r="AV39" s="3"/>
      <c r="AW39" s="3"/>
      <c r="AX39" s="3"/>
      <c r="AY39" s="3"/>
    </row>
    <row x14ac:dyDescent="0.25" r="40" customHeight="1" ht="18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49</v>
      </c>
      <c r="Q40" s="31" t="s">
        <v>49</v>
      </c>
      <c r="R40" s="31" t="s">
        <v>49</v>
      </c>
      <c r="S40" s="31" t="s">
        <v>49</v>
      </c>
      <c r="T40" s="31" t="s">
        <v>49</v>
      </c>
      <c r="U40" s="31" t="s">
        <v>49</v>
      </c>
      <c r="V40" s="31" t="s">
        <v>49</v>
      </c>
      <c r="W40" s="31" t="s">
        <v>49</v>
      </c>
      <c r="X40" s="31" t="s">
        <v>49</v>
      </c>
      <c r="Y40" s="31" t="s">
        <v>49</v>
      </c>
      <c r="Z40" s="31" t="s">
        <v>49</v>
      </c>
      <c r="AA40" s="31" t="s">
        <v>49</v>
      </c>
      <c r="AB40" s="31" t="s">
        <v>49</v>
      </c>
      <c r="AC40" s="31" t="s">
        <v>49</v>
      </c>
      <c r="AD40" s="31" t="s">
        <v>49</v>
      </c>
      <c r="AE40" s="31" t="s">
        <v>49</v>
      </c>
      <c r="AF40" s="31" t="s">
        <v>49</v>
      </c>
      <c r="AG40" s="31" t="s">
        <v>49</v>
      </c>
      <c r="AH40" s="31" t="s">
        <v>49</v>
      </c>
      <c r="AI40" s="3"/>
      <c r="AJ40" s="31" t="s">
        <v>295</v>
      </c>
      <c r="AK40" s="31" t="s">
        <v>52</v>
      </c>
      <c r="AL40" s="31" t="s">
        <v>52</v>
      </c>
      <c r="AM40" s="170" t="s">
        <v>1024</v>
      </c>
      <c r="AN40" s="31" t="s">
        <v>1025</v>
      </c>
      <c r="AO40" s="31" t="s">
        <v>49</v>
      </c>
      <c r="AP40" s="31" t="s">
        <v>295</v>
      </c>
      <c r="AQ40" s="3"/>
      <c r="AR40" s="3"/>
      <c r="AS40" s="3"/>
      <c r="AT40" s="3"/>
      <c r="AU40" s="3"/>
      <c r="AV40" s="3"/>
      <c r="AW40" s="3"/>
      <c r="AX40" s="3"/>
      <c r="AY40" s="3"/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  <c r="W41" s="31" t="s">
        <v>49</v>
      </c>
      <c r="X41" s="31" t="s">
        <v>49</v>
      </c>
      <c r="Y41" s="31" t="s">
        <v>49</v>
      </c>
      <c r="Z41" s="31" t="s">
        <v>49</v>
      </c>
      <c r="AA41" s="31" t="s">
        <v>49</v>
      </c>
      <c r="AB41" s="31" t="s">
        <v>49</v>
      </c>
      <c r="AC41" s="31" t="s">
        <v>49</v>
      </c>
      <c r="AD41" s="31" t="s">
        <v>49</v>
      </c>
      <c r="AE41" s="31" t="s">
        <v>49</v>
      </c>
      <c r="AF41" s="31" t="s">
        <v>49</v>
      </c>
      <c r="AG41" s="31" t="s">
        <v>49</v>
      </c>
      <c r="AH41" s="31" t="s">
        <v>49</v>
      </c>
      <c r="AI41" s="3"/>
      <c r="AJ41" s="31" t="s">
        <v>49</v>
      </c>
      <c r="AK41" s="31" t="s">
        <v>49</v>
      </c>
      <c r="AL41" s="31" t="s">
        <v>49</v>
      </c>
      <c r="AM41" s="31" t="s">
        <v>49</v>
      </c>
      <c r="AN41" s="33" t="s">
        <v>49</v>
      </c>
      <c r="AO41" s="31" t="s">
        <v>49</v>
      </c>
      <c r="AP41" s="31" t="s">
        <v>49</v>
      </c>
      <c r="AQ41" s="3"/>
      <c r="AR41" s="3"/>
      <c r="AS41" s="3"/>
      <c r="AT41" s="3"/>
      <c r="AU41" s="3"/>
      <c r="AV41" s="3"/>
      <c r="AW41" s="3"/>
      <c r="AX41" s="3"/>
      <c r="AY41" s="3"/>
    </row>
    <row x14ac:dyDescent="0.25" r="42" customHeight="1" ht="18.75">
      <c r="A42" s="30" t="s">
        <v>127</v>
      </c>
      <c r="B42" s="31" t="s">
        <v>234</v>
      </c>
      <c r="C42" s="31" t="s">
        <v>234</v>
      </c>
      <c r="D42" s="31" t="s">
        <v>234</v>
      </c>
      <c r="E42" s="31" t="s">
        <v>234</v>
      </c>
      <c r="F42" s="31" t="s">
        <v>234</v>
      </c>
      <c r="G42" s="31" t="s">
        <v>234</v>
      </c>
      <c r="H42" s="31" t="s">
        <v>234</v>
      </c>
      <c r="I42" s="31" t="s">
        <v>234</v>
      </c>
      <c r="J42" s="31" t="s">
        <v>234</v>
      </c>
      <c r="K42" s="31" t="s">
        <v>234</v>
      </c>
      <c r="L42" s="31" t="s">
        <v>234</v>
      </c>
      <c r="M42" s="31" t="s">
        <v>234</v>
      </c>
      <c r="N42" s="31" t="s">
        <v>234</v>
      </c>
      <c r="O42" s="31" t="s">
        <v>234</v>
      </c>
      <c r="P42" s="31" t="s">
        <v>234</v>
      </c>
      <c r="Q42" s="31" t="s">
        <v>234</v>
      </c>
      <c r="R42" s="31" t="s">
        <v>234</v>
      </c>
      <c r="S42" s="31" t="s">
        <v>234</v>
      </c>
      <c r="T42" s="31" t="s">
        <v>234</v>
      </c>
      <c r="U42" s="31" t="s">
        <v>234</v>
      </c>
      <c r="V42" s="31" t="s">
        <v>234</v>
      </c>
      <c r="W42" s="31" t="s">
        <v>234</v>
      </c>
      <c r="X42" s="31" t="s">
        <v>234</v>
      </c>
      <c r="Y42" s="31" t="s">
        <v>234</v>
      </c>
      <c r="Z42" s="31" t="s">
        <v>234</v>
      </c>
      <c r="AA42" s="31" t="s">
        <v>234</v>
      </c>
      <c r="AB42" s="31" t="s">
        <v>234</v>
      </c>
      <c r="AC42" s="31" t="s">
        <v>234</v>
      </c>
      <c r="AD42" s="31" t="s">
        <v>234</v>
      </c>
      <c r="AE42" s="31" t="s">
        <v>234</v>
      </c>
      <c r="AF42" s="31" t="s">
        <v>234</v>
      </c>
      <c r="AG42" s="31" t="s">
        <v>234</v>
      </c>
      <c r="AH42" s="31" t="s">
        <v>234</v>
      </c>
      <c r="AI42" s="3"/>
      <c r="AJ42" s="31" t="s">
        <v>1026</v>
      </c>
      <c r="AK42" s="31" t="s">
        <v>133</v>
      </c>
      <c r="AL42" s="31" t="s">
        <v>133</v>
      </c>
      <c r="AM42" s="118" t="s">
        <v>1027</v>
      </c>
      <c r="AN42" s="31" t="s">
        <v>194</v>
      </c>
      <c r="AO42" s="31" t="s">
        <v>304</v>
      </c>
      <c r="AP42" s="31" t="s">
        <v>133</v>
      </c>
      <c r="AQ42" s="3"/>
      <c r="AR42" s="3"/>
      <c r="AS42" s="3"/>
      <c r="AT42" s="3"/>
      <c r="AU42" s="3"/>
      <c r="AV42" s="3"/>
      <c r="AW42" s="3"/>
      <c r="AX42" s="3"/>
      <c r="AY42" s="3"/>
    </row>
    <row x14ac:dyDescent="0.25" r="43" customHeight="1" ht="18.75">
      <c r="A43" s="30" t="s">
        <v>128</v>
      </c>
      <c r="B43" s="31">
        <v>-3</v>
      </c>
      <c r="C43" s="31">
        <v>-3</v>
      </c>
      <c r="D43" s="31">
        <v>-3</v>
      </c>
      <c r="E43" s="31">
        <v>-3</v>
      </c>
      <c r="F43" s="31">
        <v>-3</v>
      </c>
      <c r="G43" s="31">
        <v>-3</v>
      </c>
      <c r="H43" s="31">
        <v>-3</v>
      </c>
      <c r="I43" s="31">
        <v>-3</v>
      </c>
      <c r="J43" s="31">
        <v>-3</v>
      </c>
      <c r="K43" s="31">
        <v>-3</v>
      </c>
      <c r="L43" s="31">
        <v>-3</v>
      </c>
      <c r="M43" s="31">
        <v>-3</v>
      </c>
      <c r="N43" s="31">
        <v>-3</v>
      </c>
      <c r="O43" s="31">
        <v>-3</v>
      </c>
      <c r="P43" s="31">
        <v>-3</v>
      </c>
      <c r="Q43" s="31">
        <v>-3</v>
      </c>
      <c r="R43" s="31">
        <v>-3</v>
      </c>
      <c r="S43" s="31">
        <v>-3</v>
      </c>
      <c r="T43" s="31">
        <v>-3</v>
      </c>
      <c r="U43" s="31">
        <v>-3</v>
      </c>
      <c r="V43" s="31">
        <v>-3</v>
      </c>
      <c r="W43" s="31">
        <v>-3</v>
      </c>
      <c r="X43" s="31">
        <v>-3</v>
      </c>
      <c r="Y43" s="31">
        <v>-3</v>
      </c>
      <c r="Z43" s="31">
        <v>-3</v>
      </c>
      <c r="AA43" s="31">
        <v>-3</v>
      </c>
      <c r="AB43" s="31">
        <v>-3</v>
      </c>
      <c r="AC43" s="31">
        <v>-3</v>
      </c>
      <c r="AD43" s="31">
        <v>-3</v>
      </c>
      <c r="AE43" s="31">
        <v>-3</v>
      </c>
      <c r="AF43" s="31">
        <v>-3</v>
      </c>
      <c r="AG43" s="31">
        <v>-3</v>
      </c>
      <c r="AH43" s="31">
        <v>-3</v>
      </c>
      <c r="AI43" s="3"/>
      <c r="AJ43" s="31">
        <f>AVERAGE(3,3,1)</f>
      </c>
      <c r="AK43" s="31">
        <v>-0.5</v>
      </c>
      <c r="AL43" s="31">
        <v>-0.5</v>
      </c>
      <c r="AM43" s="31">
        <f>AVERAGE(-0.5,-3,-6)</f>
      </c>
      <c r="AN43" s="31">
        <f>AVERAGE(-0.5,2)</f>
      </c>
      <c r="AO43" s="31">
        <v>-2.5</v>
      </c>
      <c r="AP43" s="31">
        <f>AVERAGE(-2,-0.5)</f>
      </c>
      <c r="AQ43" s="3"/>
      <c r="AR43" s="3"/>
      <c r="AS43" s="3"/>
      <c r="AT43" s="3"/>
      <c r="AU43" s="3"/>
      <c r="AV43" s="3"/>
      <c r="AW43" s="3"/>
      <c r="AX43" s="3"/>
      <c r="AY43" s="3"/>
    </row>
    <row x14ac:dyDescent="0.25" r="44" customHeight="1" ht="18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138</v>
      </c>
      <c r="Q44" s="31" t="s">
        <v>138</v>
      </c>
      <c r="R44" s="31" t="s">
        <v>138</v>
      </c>
      <c r="S44" s="31" t="s">
        <v>138</v>
      </c>
      <c r="T44" s="31" t="s">
        <v>138</v>
      </c>
      <c r="U44" s="31" t="s">
        <v>138</v>
      </c>
      <c r="V44" s="31" t="s">
        <v>138</v>
      </c>
      <c r="W44" s="31" t="s">
        <v>138</v>
      </c>
      <c r="X44" s="31" t="s">
        <v>138</v>
      </c>
      <c r="Y44" s="31" t="s">
        <v>138</v>
      </c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31" t="s">
        <v>138</v>
      </c>
      <c r="AF44" s="31" t="s">
        <v>138</v>
      </c>
      <c r="AG44" s="31" t="s">
        <v>138</v>
      </c>
      <c r="AH44" s="31" t="s">
        <v>138</v>
      </c>
      <c r="AI44" s="3"/>
      <c r="AJ44" s="31" t="s">
        <v>1028</v>
      </c>
      <c r="AK44" s="31" t="s">
        <v>169</v>
      </c>
      <c r="AL44" s="31" t="s">
        <v>169</v>
      </c>
      <c r="AM44" s="31" t="s">
        <v>1029</v>
      </c>
      <c r="AN44" s="31" t="s">
        <v>813</v>
      </c>
      <c r="AO44" s="31" t="s">
        <v>138</v>
      </c>
      <c r="AP44" s="31" t="s">
        <v>814</v>
      </c>
      <c r="AQ44" s="3"/>
      <c r="AR44" s="3"/>
      <c r="AS44" s="3"/>
      <c r="AT44" s="3"/>
      <c r="AU44" s="3"/>
      <c r="AV44" s="3"/>
      <c r="AW44" s="3"/>
      <c r="AX44" s="3"/>
      <c r="AY44" s="3"/>
    </row>
    <row x14ac:dyDescent="0.25" r="45" customHeight="1" ht="18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4</v>
      </c>
      <c r="W45" s="31">
        <v>4</v>
      </c>
      <c r="X45" s="31">
        <v>4</v>
      </c>
      <c r="Y45" s="31">
        <v>4</v>
      </c>
      <c r="Z45" s="31">
        <v>4</v>
      </c>
      <c r="AA45" s="31">
        <v>4</v>
      </c>
      <c r="AB45" s="31">
        <v>4</v>
      </c>
      <c r="AC45" s="31">
        <v>4</v>
      </c>
      <c r="AD45" s="31">
        <v>4</v>
      </c>
      <c r="AE45" s="31">
        <v>4</v>
      </c>
      <c r="AF45" s="31">
        <v>4</v>
      </c>
      <c r="AG45" s="31">
        <v>4</v>
      </c>
      <c r="AH45" s="31">
        <v>4</v>
      </c>
      <c r="AI45" s="3"/>
      <c r="AJ45" s="31">
        <f>AVERAGE(4,4,3)</f>
      </c>
      <c r="AK45" s="31">
        <v>2</v>
      </c>
      <c r="AL45" s="31">
        <v>2</v>
      </c>
      <c r="AM45" s="31">
        <f>AVERAGE(2,4,2)</f>
      </c>
      <c r="AN45" s="31">
        <f>AVERAGE(3,2)</f>
      </c>
      <c r="AO45" s="31">
        <v>4</v>
      </c>
      <c r="AP45" s="31">
        <f>AVERAGE(4,3)</f>
      </c>
      <c r="AQ45" s="3"/>
      <c r="AR45" s="3"/>
      <c r="AS45" s="3"/>
      <c r="AT45" s="3"/>
      <c r="AU45" s="3"/>
      <c r="AV45" s="3"/>
      <c r="AW45" s="3"/>
      <c r="AX45" s="3"/>
      <c r="AY45" s="3"/>
    </row>
    <row x14ac:dyDescent="0.25" r="46" customHeight="1" ht="15.75">
      <c r="A46" s="4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38" t="s">
        <v>1030</v>
      </c>
      <c r="O46" s="2"/>
      <c r="P46" s="226" t="s">
        <v>1030</v>
      </c>
      <c r="Q46" s="226"/>
      <c r="R46" s="226"/>
      <c r="S46" s="226"/>
      <c r="T46" s="2"/>
      <c r="U46" s="2"/>
      <c r="V46" s="226" t="s">
        <v>1030</v>
      </c>
      <c r="W46" s="226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"/>
      <c r="AJ46" s="121" t="s">
        <v>1031</v>
      </c>
      <c r="AK46" s="121"/>
      <c r="AL46" s="121"/>
      <c r="AM46" s="121"/>
      <c r="AN46" s="121"/>
      <c r="AO46" s="121"/>
      <c r="AP46" s="121"/>
      <c r="AQ46" s="3"/>
      <c r="AR46" s="3"/>
      <c r="AS46" s="3"/>
      <c r="AT46" s="3"/>
      <c r="AU46" s="3"/>
      <c r="AV46" s="3"/>
      <c r="AW46" s="3"/>
      <c r="AX46" s="3"/>
      <c r="AY46" s="3"/>
    </row>
    <row x14ac:dyDescent="0.25" r="47" customHeight="1" ht="18.75">
      <c r="A47" s="38" t="s">
        <v>64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/>
      <c r="AJ47" s="2"/>
      <c r="AK47" s="2"/>
      <c r="AL47" s="2"/>
      <c r="AM47" s="2"/>
      <c r="AN47" s="2"/>
      <c r="AO47" s="2"/>
      <c r="AP47" s="2"/>
      <c r="AQ47" s="3"/>
      <c r="AR47" s="3"/>
      <c r="AS47" s="3"/>
      <c r="AT47" s="3"/>
      <c r="AU47" s="3"/>
      <c r="AV47" s="3"/>
      <c r="AW47" s="3"/>
      <c r="AX47" s="3"/>
      <c r="AY47" s="3"/>
    </row>
    <row x14ac:dyDescent="0.25" r="48" customHeight="1" ht="18.75">
      <c r="A48" s="209" t="s">
        <v>1032</v>
      </c>
      <c r="B48" s="40" t="s">
        <v>1033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3"/>
      <c r="AJ48" s="2"/>
      <c r="AK48" s="2"/>
      <c r="AL48" s="2"/>
      <c r="AM48" s="2"/>
      <c r="AN48" s="2"/>
      <c r="AO48" s="2"/>
      <c r="AP48" s="2"/>
      <c r="AQ48" s="3"/>
      <c r="AR48" s="3"/>
      <c r="AS48" s="3"/>
      <c r="AT48" s="3"/>
      <c r="AU48" s="3"/>
      <c r="AV48" s="3"/>
      <c r="AW48" s="3"/>
      <c r="AX48" s="3"/>
      <c r="AY48" s="3"/>
    </row>
    <row x14ac:dyDescent="0.25" r="49" customHeight="1" ht="18.75">
      <c r="A49" s="30"/>
      <c r="B49" s="40" t="s">
        <v>1034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3"/>
      <c r="AJ49" s="2"/>
      <c r="AK49" s="2"/>
      <c r="AL49" s="2"/>
      <c r="AM49" s="2"/>
      <c r="AN49" s="2"/>
      <c r="AO49" s="2"/>
      <c r="AP49" s="2"/>
      <c r="AQ49" s="3"/>
      <c r="AR49" s="3"/>
      <c r="AS49" s="3"/>
      <c r="AT49" s="3"/>
      <c r="AU49" s="3"/>
      <c r="AV49" s="3"/>
      <c r="AW49" s="3"/>
      <c r="AX49" s="3"/>
      <c r="AY49" s="3"/>
    </row>
    <row x14ac:dyDescent="0.25" r="50" customHeight="1" ht="18.75">
      <c r="A50" s="30"/>
      <c r="B50" s="40" t="s">
        <v>1035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3"/>
      <c r="AJ50" s="2"/>
      <c r="AK50" s="2"/>
      <c r="AL50" s="2"/>
      <c r="AM50" s="2"/>
      <c r="AN50" s="2"/>
      <c r="AO50" s="2"/>
      <c r="AP50" s="2"/>
      <c r="AQ50" s="3"/>
      <c r="AR50" s="3"/>
      <c r="AS50" s="3"/>
      <c r="AT50" s="3"/>
      <c r="AU50" s="3"/>
      <c r="AV50" s="3"/>
      <c r="AW50" s="3"/>
      <c r="AX50" s="3"/>
      <c r="AY50" s="3"/>
    </row>
    <row x14ac:dyDescent="0.25" r="51" customHeight="1" ht="18.75">
      <c r="A51" s="209" t="s">
        <v>1036</v>
      </c>
      <c r="B51" s="40" t="s">
        <v>1033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3"/>
      <c r="AJ51" s="2"/>
      <c r="AK51" s="2"/>
      <c r="AL51" s="2"/>
      <c r="AM51" s="2"/>
      <c r="AN51" s="2"/>
      <c r="AO51" s="2"/>
      <c r="AP51" s="2"/>
      <c r="AQ51" s="3"/>
      <c r="AR51" s="3"/>
      <c r="AS51" s="3"/>
      <c r="AT51" s="3"/>
      <c r="AU51" s="3"/>
      <c r="AV51" s="3"/>
      <c r="AW51" s="3"/>
      <c r="AX51" s="3"/>
      <c r="AY51" s="3"/>
    </row>
    <row x14ac:dyDescent="0.25" r="52" customHeight="1" ht="18.75">
      <c r="A52" s="30"/>
      <c r="B52" s="40" t="s">
        <v>1037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3"/>
      <c r="AJ52" s="2"/>
      <c r="AK52" s="2"/>
      <c r="AL52" s="2"/>
      <c r="AM52" s="2"/>
      <c r="AN52" s="2"/>
      <c r="AO52" s="2"/>
      <c r="AP52" s="2"/>
      <c r="AQ52" s="3"/>
      <c r="AR52" s="3"/>
      <c r="AS52" s="3"/>
      <c r="AT52" s="3"/>
      <c r="AU52" s="3"/>
      <c r="AV52" s="3"/>
      <c r="AW52" s="3"/>
      <c r="AX52" s="3"/>
      <c r="AY52" s="3"/>
    </row>
    <row x14ac:dyDescent="0.25" r="53" customHeight="1" ht="18.75">
      <c r="A53" s="30"/>
      <c r="B53" s="40" t="s">
        <v>1035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3"/>
      <c r="AJ53" s="2"/>
      <c r="AK53" s="2"/>
      <c r="AL53" s="2"/>
      <c r="AM53" s="2"/>
      <c r="AN53" s="2"/>
      <c r="AO53" s="2"/>
      <c r="AP53" s="2"/>
      <c r="AQ53" s="3"/>
      <c r="AR53" s="3"/>
      <c r="AS53" s="3"/>
      <c r="AT53" s="3"/>
      <c r="AU53" s="3"/>
      <c r="AV53" s="3"/>
      <c r="AW53" s="3"/>
      <c r="AX53" s="3"/>
      <c r="AY53" s="3"/>
    </row>
  </sheetData>
  <mergeCells count="10">
    <mergeCell ref="B3:D3"/>
    <mergeCell ref="F3:O3"/>
    <mergeCell ref="B4:D4"/>
    <mergeCell ref="F4:O5"/>
    <mergeCell ref="B5:D5"/>
    <mergeCell ref="P46:S46"/>
    <mergeCell ref="V46:W46"/>
    <mergeCell ref="AJ46:AP46"/>
    <mergeCell ref="A48:A50"/>
    <mergeCell ref="A51:A5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6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51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952</v>
      </c>
      <c r="C4" s="7"/>
      <c r="D4" s="7"/>
      <c r="E4" s="2"/>
      <c r="F4" s="124" t="s">
        <v>953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5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31" t="s">
        <v>932</v>
      </c>
      <c r="J8" s="31" t="s">
        <v>932</v>
      </c>
      <c r="K8" s="31" t="s">
        <v>932</v>
      </c>
      <c r="L8" s="31" t="s">
        <v>932</v>
      </c>
      <c r="M8" s="31" t="s">
        <v>932</v>
      </c>
      <c r="N8" s="31" t="s">
        <v>932</v>
      </c>
      <c r="O8" s="31" t="s">
        <v>932</v>
      </c>
      <c r="P8" s="31" t="s">
        <v>933</v>
      </c>
      <c r="Q8" s="31" t="s">
        <v>933</v>
      </c>
      <c r="R8" s="218" t="s">
        <v>358</v>
      </c>
      <c r="S8" s="31" t="s">
        <v>934</v>
      </c>
      <c r="T8" s="218" t="s">
        <v>358</v>
      </c>
      <c r="U8" s="218" t="s">
        <v>358</v>
      </c>
      <c r="V8" s="218" t="s">
        <v>358</v>
      </c>
      <c r="W8" s="218" t="s">
        <v>358</v>
      </c>
      <c r="X8" s="31" t="s">
        <v>68</v>
      </c>
      <c r="Y8" s="218" t="s">
        <v>358</v>
      </c>
      <c r="Z8" s="143" t="s">
        <v>358</v>
      </c>
      <c r="AA8" s="143" t="s">
        <v>358</v>
      </c>
      <c r="AB8" s="143" t="s">
        <v>358</v>
      </c>
      <c r="AC8" s="143" t="s">
        <v>358</v>
      </c>
      <c r="AD8" s="143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</row>
    <row x14ac:dyDescent="0.25" r="9" customHeight="1" ht="18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31" t="s">
        <v>937</v>
      </c>
      <c r="J9" s="31" t="s">
        <v>937</v>
      </c>
      <c r="K9" s="31" t="s">
        <v>939</v>
      </c>
      <c r="L9" s="31" t="s">
        <v>937</v>
      </c>
      <c r="M9" s="31" t="s">
        <v>940</v>
      </c>
      <c r="N9" s="31" t="s">
        <v>932</v>
      </c>
      <c r="O9" s="31" t="s">
        <v>932</v>
      </c>
      <c r="P9" s="31" t="s">
        <v>932</v>
      </c>
      <c r="Q9" s="31" t="s">
        <v>932</v>
      </c>
      <c r="R9" s="220" t="s">
        <v>358</v>
      </c>
      <c r="S9" s="31" t="s">
        <v>937</v>
      </c>
      <c r="T9" s="220" t="s">
        <v>358</v>
      </c>
      <c r="U9" s="220" t="s">
        <v>358</v>
      </c>
      <c r="V9" s="220" t="s">
        <v>358</v>
      </c>
      <c r="W9" s="220" t="s">
        <v>358</v>
      </c>
      <c r="X9" s="33" t="s">
        <v>68</v>
      </c>
      <c r="Y9" s="220" t="s">
        <v>358</v>
      </c>
      <c r="Z9" s="143" t="s">
        <v>358</v>
      </c>
      <c r="AA9" s="143" t="s">
        <v>358</v>
      </c>
      <c r="AB9" s="143" t="s">
        <v>358</v>
      </c>
      <c r="AC9" s="143" t="s">
        <v>358</v>
      </c>
      <c r="AD9" s="143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</row>
    <row x14ac:dyDescent="0.25" r="10" customHeight="1" ht="18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17">
        <v>504</v>
      </c>
      <c r="J10" s="117">
        <v>504</v>
      </c>
      <c r="K10" s="117">
        <v>515</v>
      </c>
      <c r="L10" s="117">
        <v>504</v>
      </c>
      <c r="M10" s="117">
        <v>514</v>
      </c>
      <c r="N10" s="117">
        <v>503</v>
      </c>
      <c r="O10" s="117">
        <v>503</v>
      </c>
      <c r="P10" s="117">
        <v>503</v>
      </c>
      <c r="Q10" s="117">
        <v>503</v>
      </c>
      <c r="R10" s="144"/>
      <c r="S10" s="117">
        <v>504</v>
      </c>
      <c r="T10" s="144"/>
      <c r="U10" s="144"/>
      <c r="V10" s="144"/>
      <c r="W10" s="144"/>
      <c r="X10" s="117">
        <v>501</v>
      </c>
      <c r="Y10" s="221"/>
      <c r="Z10" s="144"/>
      <c r="AA10" s="144"/>
      <c r="AB10" s="144"/>
      <c r="AC10" s="144"/>
      <c r="AD10" s="144"/>
      <c r="AE10" s="144"/>
      <c r="AF10" s="144"/>
      <c r="AG10" s="144"/>
      <c r="AH10" s="144"/>
    </row>
    <row x14ac:dyDescent="0.25" r="11" customHeight="1" ht="18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31" t="s">
        <v>49</v>
      </c>
      <c r="J11" s="31" t="s">
        <v>49</v>
      </c>
      <c r="K11" s="31" t="s">
        <v>49</v>
      </c>
      <c r="L11" s="31" t="s">
        <v>49</v>
      </c>
      <c r="M11" s="31" t="s">
        <v>49</v>
      </c>
      <c r="N11" s="31" t="s">
        <v>49</v>
      </c>
      <c r="O11" s="31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143" t="s">
        <v>49</v>
      </c>
      <c r="V11" s="143" t="s">
        <v>49</v>
      </c>
      <c r="W11" s="143" t="s">
        <v>49</v>
      </c>
      <c r="X11" s="31" t="s">
        <v>49</v>
      </c>
      <c r="Y11" s="218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143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</row>
    <row x14ac:dyDescent="0.25" r="12" customHeight="1" ht="18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31" t="s">
        <v>49</v>
      </c>
      <c r="Y12" s="218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143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</row>
    <row x14ac:dyDescent="0.25" r="13" customHeight="1" ht="18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143" t="s">
        <v>49</v>
      </c>
      <c r="V13" s="143" t="s">
        <v>49</v>
      </c>
      <c r="W13" s="143" t="s">
        <v>49</v>
      </c>
      <c r="X13" s="31" t="s">
        <v>52</v>
      </c>
      <c r="Y13" s="218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143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</row>
    <row x14ac:dyDescent="0.25" r="14" customHeight="1" ht="18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143" t="s">
        <v>49</v>
      </c>
      <c r="V14" s="143" t="s">
        <v>49</v>
      </c>
      <c r="W14" s="143" t="s">
        <v>49</v>
      </c>
      <c r="X14" s="31" t="s">
        <v>49</v>
      </c>
      <c r="Y14" s="218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143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</row>
    <row x14ac:dyDescent="0.25" r="15" customHeight="1" ht="18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31" t="s">
        <v>49</v>
      </c>
      <c r="J15" s="31" t="s">
        <v>49</v>
      </c>
      <c r="K15" s="31" t="s">
        <v>49</v>
      </c>
      <c r="L15" s="31" t="s">
        <v>49</v>
      </c>
      <c r="M15" s="31" t="s">
        <v>49</v>
      </c>
      <c r="N15" s="31" t="s">
        <v>49</v>
      </c>
      <c r="O15" s="31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143" t="s">
        <v>49</v>
      </c>
      <c r="V15" s="143" t="s">
        <v>49</v>
      </c>
      <c r="W15" s="143" t="s">
        <v>49</v>
      </c>
      <c r="X15" s="31" t="s">
        <v>49</v>
      </c>
      <c r="Y15" s="218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143" t="s">
        <v>49</v>
      </c>
      <c r="AE15" s="143" t="s">
        <v>49</v>
      </c>
      <c r="AF15" s="143" t="s">
        <v>49</v>
      </c>
      <c r="AG15" s="143" t="s">
        <v>49</v>
      </c>
      <c r="AH15" s="143" t="s">
        <v>49</v>
      </c>
    </row>
    <row x14ac:dyDescent="0.25" r="16" customHeight="1" ht="18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31" t="s">
        <v>49</v>
      </c>
      <c r="J16" s="31" t="s">
        <v>49</v>
      </c>
      <c r="K16" s="31" t="s">
        <v>49</v>
      </c>
      <c r="L16" s="31" t="s">
        <v>49</v>
      </c>
      <c r="M16" s="31" t="s">
        <v>49</v>
      </c>
      <c r="N16" s="31" t="s">
        <v>49</v>
      </c>
      <c r="O16" s="31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143" t="s">
        <v>49</v>
      </c>
      <c r="V16" s="143" t="s">
        <v>49</v>
      </c>
      <c r="W16" s="143" t="s">
        <v>49</v>
      </c>
      <c r="X16" s="31" t="s">
        <v>49</v>
      </c>
      <c r="Y16" s="218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143" t="s">
        <v>49</v>
      </c>
      <c r="AE16" s="143" t="s">
        <v>49</v>
      </c>
      <c r="AF16" s="143" t="s">
        <v>49</v>
      </c>
      <c r="AG16" s="143" t="s">
        <v>49</v>
      </c>
      <c r="AH16" s="143" t="s">
        <v>49</v>
      </c>
    </row>
    <row x14ac:dyDescent="0.25" r="17" customHeight="1" ht="18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31" t="s">
        <v>941</v>
      </c>
      <c r="J17" s="31" t="s">
        <v>941</v>
      </c>
      <c r="K17" s="31" t="s">
        <v>941</v>
      </c>
      <c r="L17" s="31" t="s">
        <v>941</v>
      </c>
      <c r="M17" s="31" t="s">
        <v>941</v>
      </c>
      <c r="N17" s="31"/>
      <c r="O17" s="31" t="s">
        <v>941</v>
      </c>
      <c r="P17" s="31" t="s">
        <v>57</v>
      </c>
      <c r="Q17" s="31" t="s">
        <v>57</v>
      </c>
      <c r="R17" s="220" t="s">
        <v>358</v>
      </c>
      <c r="S17" s="31" t="s">
        <v>941</v>
      </c>
      <c r="T17" s="220" t="s">
        <v>358</v>
      </c>
      <c r="U17" s="220" t="s">
        <v>358</v>
      </c>
      <c r="V17" s="220" t="s">
        <v>358</v>
      </c>
      <c r="W17" s="220" t="s">
        <v>358</v>
      </c>
      <c r="X17" s="31" t="s">
        <v>941</v>
      </c>
      <c r="Y17" s="220" t="s">
        <v>358</v>
      </c>
      <c r="Z17" s="143" t="s">
        <v>358</v>
      </c>
      <c r="AA17" s="143" t="s">
        <v>358</v>
      </c>
      <c r="AB17" s="143" t="s">
        <v>358</v>
      </c>
      <c r="AC17" s="143" t="s">
        <v>358</v>
      </c>
      <c r="AD17" s="143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</row>
    <row x14ac:dyDescent="0.25" r="18" customHeight="1" ht="18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31" t="s">
        <v>942</v>
      </c>
      <c r="J18" s="31" t="s">
        <v>942</v>
      </c>
      <c r="K18" s="31" t="s">
        <v>942</v>
      </c>
      <c r="L18" s="31" t="s">
        <v>942</v>
      </c>
      <c r="M18" s="31" t="s">
        <v>942</v>
      </c>
      <c r="N18" s="31" t="s">
        <v>942</v>
      </c>
      <c r="O18" s="31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143" t="s">
        <v>942</v>
      </c>
      <c r="V18" s="143" t="s">
        <v>942</v>
      </c>
      <c r="W18" s="143" t="s">
        <v>942</v>
      </c>
      <c r="X18" s="31" t="s">
        <v>59</v>
      </c>
      <c r="Y18" s="218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143" t="s">
        <v>942</v>
      </c>
      <c r="AE18" s="143" t="s">
        <v>942</v>
      </c>
      <c r="AF18" s="143" t="s">
        <v>942</v>
      </c>
      <c r="AG18" s="143" t="s">
        <v>942</v>
      </c>
      <c r="AH18" s="143" t="s">
        <v>942</v>
      </c>
    </row>
    <row x14ac:dyDescent="0.25" r="19" customHeight="1" ht="18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33">
        <v>3</v>
      </c>
      <c r="J19" s="33">
        <v>3</v>
      </c>
      <c r="K19" s="33">
        <v>2</v>
      </c>
      <c r="L19" s="33">
        <v>3</v>
      </c>
      <c r="M19" s="33">
        <v>3</v>
      </c>
      <c r="N19" s="33">
        <v>4</v>
      </c>
      <c r="O19" s="33">
        <v>4</v>
      </c>
      <c r="P19" s="33">
        <v>4</v>
      </c>
      <c r="Q19" s="33">
        <v>4</v>
      </c>
      <c r="R19" s="222">
        <v>3</v>
      </c>
      <c r="S19" s="33">
        <v>3</v>
      </c>
      <c r="T19" s="222">
        <v>3</v>
      </c>
      <c r="U19" s="222">
        <v>3</v>
      </c>
      <c r="V19" s="222">
        <v>3</v>
      </c>
      <c r="W19" s="222">
        <v>3</v>
      </c>
      <c r="X19" s="31">
        <v>6</v>
      </c>
      <c r="Y19" s="223">
        <v>3</v>
      </c>
      <c r="Z19" s="224">
        <v>3</v>
      </c>
      <c r="AA19" s="224">
        <v>3</v>
      </c>
      <c r="AB19" s="224">
        <v>3</v>
      </c>
      <c r="AC19" s="224">
        <v>3</v>
      </c>
      <c r="AD19" s="224">
        <v>3</v>
      </c>
      <c r="AE19" s="224">
        <v>3</v>
      </c>
      <c r="AF19" s="224">
        <v>3</v>
      </c>
      <c r="AG19" s="224">
        <v>3</v>
      </c>
      <c r="AH19" s="224">
        <v>3</v>
      </c>
    </row>
    <row x14ac:dyDescent="0.25" r="20" customHeight="1" ht="18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943</v>
      </c>
      <c r="L20" s="31" t="s">
        <v>62</v>
      </c>
      <c r="M20" s="31" t="s">
        <v>943</v>
      </c>
      <c r="N20" s="31" t="s">
        <v>62</v>
      </c>
      <c r="O20" s="31" t="s">
        <v>62</v>
      </c>
      <c r="P20" s="31" t="s">
        <v>62</v>
      </c>
      <c r="Q20" s="31" t="s">
        <v>62</v>
      </c>
      <c r="R20" s="143" t="s">
        <v>943</v>
      </c>
      <c r="S20" s="31" t="s">
        <v>62</v>
      </c>
      <c r="T20" s="143" t="s">
        <v>943</v>
      </c>
      <c r="U20" s="143" t="s">
        <v>943</v>
      </c>
      <c r="V20" s="143" t="s">
        <v>943</v>
      </c>
      <c r="W20" s="143" t="s">
        <v>943</v>
      </c>
      <c r="X20" s="31" t="s">
        <v>62</v>
      </c>
      <c r="Y20" s="143" t="s">
        <v>943</v>
      </c>
      <c r="Z20" s="146" t="s">
        <v>943</v>
      </c>
      <c r="AA20" s="146" t="s">
        <v>943</v>
      </c>
      <c r="AB20" s="146" t="s">
        <v>943</v>
      </c>
      <c r="AC20" s="146" t="s">
        <v>943</v>
      </c>
      <c r="AD20" s="146" t="s">
        <v>943</v>
      </c>
      <c r="AE20" s="146" t="s">
        <v>943</v>
      </c>
      <c r="AF20" s="146" t="s">
        <v>943</v>
      </c>
      <c r="AG20" s="146" t="s">
        <v>943</v>
      </c>
      <c r="AH20" s="146" t="s">
        <v>943</v>
      </c>
    </row>
    <row x14ac:dyDescent="0.25" r="21" customHeight="1" ht="18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1">
        <v>1</v>
      </c>
      <c r="O21" s="31">
        <v>1</v>
      </c>
      <c r="P21" s="31">
        <v>1</v>
      </c>
      <c r="Q21" s="31">
        <v>1</v>
      </c>
      <c r="R21" s="143">
        <v>0</v>
      </c>
      <c r="S21" s="31">
        <v>1</v>
      </c>
      <c r="T21" s="143">
        <v>0</v>
      </c>
      <c r="U21" s="143">
        <v>0</v>
      </c>
      <c r="V21" s="143">
        <v>0</v>
      </c>
      <c r="W21" s="143">
        <v>0</v>
      </c>
      <c r="X21" s="31">
        <v>1</v>
      </c>
      <c r="Y21" s="143">
        <v>0</v>
      </c>
      <c r="Z21" s="143">
        <v>0</v>
      </c>
      <c r="AA21" s="143">
        <v>0</v>
      </c>
      <c r="AB21" s="143">
        <v>0</v>
      </c>
      <c r="AC21" s="143">
        <v>0</v>
      </c>
      <c r="AD21" s="143">
        <v>0</v>
      </c>
      <c r="AE21" s="143">
        <v>0</v>
      </c>
      <c r="AF21" s="143">
        <v>0</v>
      </c>
      <c r="AG21" s="143">
        <v>0</v>
      </c>
      <c r="AH21" s="143">
        <v>0</v>
      </c>
    </row>
    <row x14ac:dyDescent="0.25" r="22" customHeight="1" ht="18.75">
      <c r="A22" s="4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x14ac:dyDescent="0.25" r="23" customHeight="1" ht="18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31" t="s">
        <v>207</v>
      </c>
      <c r="N23" s="31" t="s">
        <v>207</v>
      </c>
      <c r="O23" s="31" t="s">
        <v>207</v>
      </c>
      <c r="P23" s="218" t="s">
        <v>358</v>
      </c>
      <c r="Q23" s="218" t="s">
        <v>358</v>
      </c>
      <c r="R23" s="139" t="s">
        <v>207</v>
      </c>
      <c r="S23" s="218" t="s">
        <v>358</v>
      </c>
      <c r="T23" s="31" t="s">
        <v>207</v>
      </c>
      <c r="U23" s="31" t="s">
        <v>207</v>
      </c>
      <c r="V23" s="31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31" t="s">
        <v>207</v>
      </c>
      <c r="AH23" s="114" t="s">
        <v>207</v>
      </c>
    </row>
    <row x14ac:dyDescent="0.25" r="24" customHeight="1" ht="18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31" t="s">
        <v>210</v>
      </c>
      <c r="N24" s="31" t="s">
        <v>210</v>
      </c>
      <c r="O24" s="31" t="s">
        <v>210</v>
      </c>
      <c r="P24" s="220" t="s">
        <v>358</v>
      </c>
      <c r="Q24" s="220" t="s">
        <v>358</v>
      </c>
      <c r="R24" s="139" t="s">
        <v>212</v>
      </c>
      <c r="S24" s="220" t="s">
        <v>358</v>
      </c>
      <c r="T24" s="31" t="s">
        <v>944</v>
      </c>
      <c r="U24" s="31" t="s">
        <v>210</v>
      </c>
      <c r="V24" s="31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31" t="s">
        <v>212</v>
      </c>
      <c r="AH24" s="116" t="s">
        <v>212</v>
      </c>
    </row>
    <row x14ac:dyDescent="0.25" r="25" customHeight="1" ht="18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17">
        <v>52</v>
      </c>
      <c r="N25" s="117">
        <v>52</v>
      </c>
      <c r="O25" s="117">
        <v>52</v>
      </c>
      <c r="P25" s="144"/>
      <c r="Q25" s="144"/>
      <c r="R25" s="167">
        <v>48</v>
      </c>
      <c r="S25" s="144"/>
      <c r="T25" s="117">
        <v>159</v>
      </c>
      <c r="U25" s="117">
        <v>52</v>
      </c>
      <c r="V25" s="11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17">
        <v>48</v>
      </c>
      <c r="AH25" s="137">
        <v>48</v>
      </c>
    </row>
    <row x14ac:dyDescent="0.25" r="26" customHeight="1" ht="18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33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3" t="s">
        <v>52</v>
      </c>
      <c r="S26" s="143" t="s">
        <v>49</v>
      </c>
      <c r="T26" s="33" t="s">
        <v>52</v>
      </c>
      <c r="U26" s="33" t="s">
        <v>52</v>
      </c>
      <c r="V26" s="31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31" t="s">
        <v>52</v>
      </c>
      <c r="AH26" s="116" t="s">
        <v>52</v>
      </c>
    </row>
    <row x14ac:dyDescent="0.25" r="27" customHeight="1" ht="18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31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31" t="s">
        <v>49</v>
      </c>
      <c r="S27" s="143" t="s">
        <v>49</v>
      </c>
      <c r="T27" s="31" t="s">
        <v>49</v>
      </c>
      <c r="U27" s="31" t="s">
        <v>49</v>
      </c>
      <c r="V27" s="31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31" t="s">
        <v>49</v>
      </c>
      <c r="AH27" s="114" t="s">
        <v>49</v>
      </c>
    </row>
    <row x14ac:dyDescent="0.25" r="28" customHeight="1" ht="18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31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31" t="s">
        <v>52</v>
      </c>
      <c r="S28" s="143" t="s">
        <v>49</v>
      </c>
      <c r="T28" s="31" t="s">
        <v>52</v>
      </c>
      <c r="U28" s="31" t="s">
        <v>52</v>
      </c>
      <c r="V28" s="31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31" t="s">
        <v>52</v>
      </c>
      <c r="AH28" s="114" t="s">
        <v>52</v>
      </c>
    </row>
    <row x14ac:dyDescent="0.25" r="29" customHeight="1" ht="18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31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31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31" t="s">
        <v>49</v>
      </c>
      <c r="AH29" s="114" t="s">
        <v>49</v>
      </c>
    </row>
    <row x14ac:dyDescent="0.25" r="30" customHeight="1" ht="18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31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31" t="s">
        <v>143</v>
      </c>
      <c r="S30" s="143" t="s">
        <v>143</v>
      </c>
      <c r="T30" s="31" t="s">
        <v>143</v>
      </c>
      <c r="U30" s="31" t="s">
        <v>143</v>
      </c>
      <c r="V30" s="31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31" t="s">
        <v>143</v>
      </c>
      <c r="AH30" s="114" t="s">
        <v>143</v>
      </c>
    </row>
    <row x14ac:dyDescent="0.25" r="31" customHeight="1" ht="18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31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4/3</f>
      </c>
      <c r="S31" s="143">
        <v>0</v>
      </c>
      <c r="T31" s="31">
        <f>AVERAGE(1,1,-0.5)</f>
      </c>
      <c r="U31" s="31">
        <v>0.5</v>
      </c>
      <c r="V31" s="31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31">
        <f>4/3</f>
      </c>
      <c r="AH31" s="114">
        <f>4/3</f>
      </c>
    </row>
    <row x14ac:dyDescent="0.25" r="32" customHeight="1" ht="18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31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31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31" t="s">
        <v>169</v>
      </c>
      <c r="AH32" s="114" t="s">
        <v>169</v>
      </c>
    </row>
    <row x14ac:dyDescent="0.25" r="33" customHeight="1" ht="18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143">
        <v>0</v>
      </c>
      <c r="Q33" s="143">
        <v>0</v>
      </c>
      <c r="R33" s="31">
        <v>2</v>
      </c>
      <c r="S33" s="143">
        <v>0</v>
      </c>
      <c r="T33" s="31">
        <v>2</v>
      </c>
      <c r="U33" s="31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31">
        <v>2</v>
      </c>
      <c r="AH33" s="114">
        <v>2</v>
      </c>
    </row>
    <row x14ac:dyDescent="0.25" r="34" customHeight="1" ht="18.75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x14ac:dyDescent="0.25" r="35" customHeight="1" ht="18.75">
      <c r="A35" s="30" t="s">
        <v>43</v>
      </c>
      <c r="B35" s="31" t="s">
        <v>141</v>
      </c>
      <c r="C35" s="31" t="s">
        <v>327</v>
      </c>
      <c r="D35" s="31" t="s">
        <v>327</v>
      </c>
      <c r="E35" s="31" t="s">
        <v>327</v>
      </c>
      <c r="F35" s="31" t="s">
        <v>327</v>
      </c>
      <c r="G35" s="31" t="s">
        <v>327</v>
      </c>
      <c r="H35" s="31" t="s">
        <v>327</v>
      </c>
      <c r="I35" s="31" t="s">
        <v>327</v>
      </c>
      <c r="J35" s="31" t="s">
        <v>327</v>
      </c>
      <c r="K35" s="31" t="s">
        <v>327</v>
      </c>
      <c r="L35" s="31" t="s">
        <v>327</v>
      </c>
      <c r="M35" s="31" t="s">
        <v>327</v>
      </c>
      <c r="N35" s="31" t="s">
        <v>327</v>
      </c>
      <c r="O35" s="31" t="s">
        <v>327</v>
      </c>
      <c r="P35" s="31" t="s">
        <v>327</v>
      </c>
      <c r="Q35" s="31" t="s">
        <v>327</v>
      </c>
      <c r="R35" s="31" t="s">
        <v>327</v>
      </c>
      <c r="S35" s="31" t="s">
        <v>327</v>
      </c>
      <c r="T35" s="31" t="s">
        <v>327</v>
      </c>
      <c r="U35" s="31" t="s">
        <v>327</v>
      </c>
      <c r="V35" s="31" t="s">
        <v>327</v>
      </c>
      <c r="W35" s="31" t="s">
        <v>327</v>
      </c>
      <c r="X35" s="31" t="s">
        <v>327</v>
      </c>
      <c r="Y35" s="31" t="s">
        <v>327</v>
      </c>
      <c r="Z35" s="31" t="s">
        <v>327</v>
      </c>
      <c r="AA35" s="31" t="s">
        <v>327</v>
      </c>
      <c r="AB35" s="31" t="s">
        <v>327</v>
      </c>
      <c r="AC35" s="31" t="s">
        <v>327</v>
      </c>
      <c r="AD35" s="31" t="s">
        <v>327</v>
      </c>
      <c r="AE35" s="31" t="s">
        <v>327</v>
      </c>
      <c r="AF35" s="31" t="s">
        <v>327</v>
      </c>
      <c r="AG35" s="31" t="s">
        <v>327</v>
      </c>
      <c r="AH35" s="31" t="s">
        <v>327</v>
      </c>
    </row>
    <row x14ac:dyDescent="0.25" r="36" customHeight="1" ht="18.75">
      <c r="A36" s="30" t="s">
        <v>45</v>
      </c>
      <c r="B36" s="31" t="s">
        <v>142</v>
      </c>
      <c r="C36" s="31" t="s">
        <v>142</v>
      </c>
      <c r="D36" s="31" t="s">
        <v>142</v>
      </c>
      <c r="E36" s="31" t="s">
        <v>142</v>
      </c>
      <c r="F36" s="31" t="s">
        <v>142</v>
      </c>
      <c r="G36" s="31" t="s">
        <v>142</v>
      </c>
      <c r="H36" s="31" t="s">
        <v>142</v>
      </c>
      <c r="I36" s="31" t="s">
        <v>142</v>
      </c>
      <c r="J36" s="31" t="s">
        <v>142</v>
      </c>
      <c r="K36" s="31" t="s">
        <v>142</v>
      </c>
      <c r="L36" s="31" t="s">
        <v>142</v>
      </c>
      <c r="M36" s="31" t="s">
        <v>142</v>
      </c>
      <c r="N36" s="31" t="s">
        <v>142</v>
      </c>
      <c r="O36" s="31" t="s">
        <v>142</v>
      </c>
      <c r="P36" s="31" t="s">
        <v>142</v>
      </c>
      <c r="Q36" s="31" t="s">
        <v>142</v>
      </c>
      <c r="R36" s="31" t="s">
        <v>142</v>
      </c>
      <c r="S36" s="31" t="s">
        <v>142</v>
      </c>
      <c r="T36" s="31" t="s">
        <v>142</v>
      </c>
      <c r="U36" s="31" t="s">
        <v>142</v>
      </c>
      <c r="V36" s="31" t="s">
        <v>142</v>
      </c>
      <c r="W36" s="31" t="s">
        <v>142</v>
      </c>
      <c r="X36" s="31" t="s">
        <v>142</v>
      </c>
      <c r="Y36" s="31" t="s">
        <v>142</v>
      </c>
      <c r="Z36" s="31" t="s">
        <v>142</v>
      </c>
      <c r="AA36" s="31" t="s">
        <v>142</v>
      </c>
      <c r="AB36" s="31" t="s">
        <v>142</v>
      </c>
      <c r="AC36" s="31" t="s">
        <v>142</v>
      </c>
      <c r="AD36" s="31" t="s">
        <v>142</v>
      </c>
      <c r="AE36" s="31" t="s">
        <v>954</v>
      </c>
      <c r="AF36" s="31" t="s">
        <v>142</v>
      </c>
      <c r="AG36" s="31" t="s">
        <v>142</v>
      </c>
      <c r="AH36" s="31" t="s">
        <v>142</v>
      </c>
    </row>
    <row x14ac:dyDescent="0.25" r="37" customHeight="1" ht="18.75">
      <c r="A37" s="35" t="s">
        <v>47</v>
      </c>
      <c r="B37" s="117">
        <v>5</v>
      </c>
      <c r="C37" s="117">
        <v>5</v>
      </c>
      <c r="D37" s="117">
        <v>5</v>
      </c>
      <c r="E37" s="117">
        <v>5</v>
      </c>
      <c r="F37" s="117">
        <v>5</v>
      </c>
      <c r="G37" s="117">
        <v>5</v>
      </c>
      <c r="H37" s="117">
        <v>5</v>
      </c>
      <c r="I37" s="117">
        <v>5</v>
      </c>
      <c r="J37" s="117">
        <v>5</v>
      </c>
      <c r="K37" s="117">
        <v>5</v>
      </c>
      <c r="L37" s="117">
        <v>5</v>
      </c>
      <c r="M37" s="117">
        <v>5</v>
      </c>
      <c r="N37" s="117">
        <v>5</v>
      </c>
      <c r="O37" s="117">
        <v>5</v>
      </c>
      <c r="P37" s="117">
        <v>5</v>
      </c>
      <c r="Q37" s="117">
        <v>5</v>
      </c>
      <c r="R37" s="117">
        <v>5</v>
      </c>
      <c r="S37" s="117">
        <v>5</v>
      </c>
      <c r="T37" s="117">
        <v>5</v>
      </c>
      <c r="U37" s="117">
        <v>5</v>
      </c>
      <c r="V37" s="117">
        <v>5</v>
      </c>
      <c r="W37" s="117">
        <v>5</v>
      </c>
      <c r="X37" s="117">
        <v>5</v>
      </c>
      <c r="Y37" s="117">
        <v>5</v>
      </c>
      <c r="Z37" s="117">
        <v>5</v>
      </c>
      <c r="AA37" s="117">
        <v>5</v>
      </c>
      <c r="AB37" s="117">
        <v>5</v>
      </c>
      <c r="AC37" s="117">
        <v>5</v>
      </c>
      <c r="AD37" s="117">
        <v>5</v>
      </c>
      <c r="AE37" s="117">
        <v>13</v>
      </c>
      <c r="AF37" s="117">
        <v>5</v>
      </c>
      <c r="AG37" s="117">
        <v>5</v>
      </c>
      <c r="AH37" s="117">
        <v>5</v>
      </c>
    </row>
    <row x14ac:dyDescent="0.25" r="38" customHeight="1" ht="18.75">
      <c r="A38" s="30" t="s">
        <v>123</v>
      </c>
      <c r="B38" s="33" t="s">
        <v>52</v>
      </c>
      <c r="C38" s="33" t="s">
        <v>52</v>
      </c>
      <c r="D38" s="33" t="s">
        <v>52</v>
      </c>
      <c r="E38" s="33" t="s">
        <v>52</v>
      </c>
      <c r="F38" s="33" t="s">
        <v>52</v>
      </c>
      <c r="G38" s="33" t="s">
        <v>52</v>
      </c>
      <c r="H38" s="33" t="s">
        <v>52</v>
      </c>
      <c r="I38" s="33" t="s">
        <v>52</v>
      </c>
      <c r="J38" s="33" t="s">
        <v>52</v>
      </c>
      <c r="K38" s="33" t="s">
        <v>52</v>
      </c>
      <c r="L38" s="33" t="s">
        <v>52</v>
      </c>
      <c r="M38" s="33" t="s">
        <v>52</v>
      </c>
      <c r="N38" s="33" t="s">
        <v>52</v>
      </c>
      <c r="O38" s="33" t="s">
        <v>52</v>
      </c>
      <c r="P38" s="33" t="s">
        <v>52</v>
      </c>
      <c r="Q38" s="33" t="s">
        <v>52</v>
      </c>
      <c r="R38" s="33" t="s">
        <v>52</v>
      </c>
      <c r="S38" s="33" t="s">
        <v>52</v>
      </c>
      <c r="T38" s="33" t="s">
        <v>52</v>
      </c>
      <c r="U38" s="33" t="s">
        <v>52</v>
      </c>
      <c r="V38" s="33" t="s">
        <v>52</v>
      </c>
      <c r="W38" s="33" t="s">
        <v>52</v>
      </c>
      <c r="X38" s="33" t="s">
        <v>52</v>
      </c>
      <c r="Y38" s="33" t="s">
        <v>52</v>
      </c>
      <c r="Z38" s="33" t="s">
        <v>52</v>
      </c>
      <c r="AA38" s="33" t="s">
        <v>52</v>
      </c>
      <c r="AB38" s="33" t="s">
        <v>52</v>
      </c>
      <c r="AC38" s="33" t="s">
        <v>52</v>
      </c>
      <c r="AD38" s="33" t="s">
        <v>52</v>
      </c>
      <c r="AE38" s="140" t="s">
        <v>52</v>
      </c>
      <c r="AF38" s="33" t="s">
        <v>52</v>
      </c>
      <c r="AG38" s="33" t="s">
        <v>52</v>
      </c>
      <c r="AH38" s="33" t="s">
        <v>52</v>
      </c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31" t="s">
        <v>49</v>
      </c>
      <c r="T39" s="31" t="s">
        <v>49</v>
      </c>
      <c r="U39" s="31" t="s">
        <v>49</v>
      </c>
      <c r="V39" s="31" t="s">
        <v>49</v>
      </c>
      <c r="W39" s="31" t="s">
        <v>49</v>
      </c>
      <c r="X39" s="31" t="s">
        <v>49</v>
      </c>
      <c r="Y39" s="31" t="s">
        <v>49</v>
      </c>
      <c r="Z39" s="31" t="s">
        <v>49</v>
      </c>
      <c r="AA39" s="31" t="s">
        <v>49</v>
      </c>
      <c r="AB39" s="31" t="s">
        <v>49</v>
      </c>
      <c r="AC39" s="31" t="s">
        <v>49</v>
      </c>
      <c r="AD39" s="31" t="s">
        <v>49</v>
      </c>
      <c r="AE39" s="139" t="s">
        <v>49</v>
      </c>
      <c r="AF39" s="31" t="s">
        <v>49</v>
      </c>
      <c r="AG39" s="31" t="s">
        <v>49</v>
      </c>
      <c r="AH39" s="31" t="s">
        <v>49</v>
      </c>
    </row>
    <row x14ac:dyDescent="0.25" r="40" customHeight="1" ht="18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49</v>
      </c>
      <c r="Q40" s="31" t="s">
        <v>49</v>
      </c>
      <c r="R40" s="31" t="s">
        <v>49</v>
      </c>
      <c r="S40" s="31" t="s">
        <v>49</v>
      </c>
      <c r="T40" s="31" t="s">
        <v>49</v>
      </c>
      <c r="U40" s="31" t="s">
        <v>49</v>
      </c>
      <c r="V40" s="31" t="s">
        <v>49</v>
      </c>
      <c r="W40" s="31" t="s">
        <v>49</v>
      </c>
      <c r="X40" s="31" t="s">
        <v>49</v>
      </c>
      <c r="Y40" s="31" t="s">
        <v>49</v>
      </c>
      <c r="Z40" s="31" t="s">
        <v>49</v>
      </c>
      <c r="AA40" s="31" t="s">
        <v>49</v>
      </c>
      <c r="AB40" s="31" t="s">
        <v>49</v>
      </c>
      <c r="AC40" s="31" t="s">
        <v>49</v>
      </c>
      <c r="AD40" s="31" t="s">
        <v>49</v>
      </c>
      <c r="AE40" s="139" t="s">
        <v>49</v>
      </c>
      <c r="AF40" s="31" t="s">
        <v>49</v>
      </c>
      <c r="AG40" s="31" t="s">
        <v>49</v>
      </c>
      <c r="AH40" s="31" t="s">
        <v>49</v>
      </c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  <c r="W41" s="31" t="s">
        <v>49</v>
      </c>
      <c r="X41" s="31" t="s">
        <v>49</v>
      </c>
      <c r="Y41" s="31" t="s">
        <v>49</v>
      </c>
      <c r="Z41" s="31" t="s">
        <v>49</v>
      </c>
      <c r="AA41" s="31" t="s">
        <v>49</v>
      </c>
      <c r="AB41" s="31" t="s">
        <v>49</v>
      </c>
      <c r="AC41" s="31" t="s">
        <v>49</v>
      </c>
      <c r="AD41" s="31" t="s">
        <v>49</v>
      </c>
      <c r="AE41" s="139" t="s">
        <v>49</v>
      </c>
      <c r="AF41" s="31" t="s">
        <v>49</v>
      </c>
      <c r="AG41" s="31" t="s">
        <v>49</v>
      </c>
      <c r="AH41" s="31" t="s">
        <v>49</v>
      </c>
    </row>
    <row x14ac:dyDescent="0.25" r="42" customHeight="1" ht="18.75">
      <c r="A42" s="30" t="s">
        <v>127</v>
      </c>
      <c r="B42" s="31" t="s">
        <v>143</v>
      </c>
      <c r="C42" s="31" t="s">
        <v>143</v>
      </c>
      <c r="D42" s="31" t="s">
        <v>143</v>
      </c>
      <c r="E42" s="31" t="s">
        <v>143</v>
      </c>
      <c r="F42" s="31" t="s">
        <v>143</v>
      </c>
      <c r="G42" s="31" t="s">
        <v>143</v>
      </c>
      <c r="H42" s="31" t="s">
        <v>143</v>
      </c>
      <c r="I42" s="31" t="s">
        <v>143</v>
      </c>
      <c r="J42" s="31" t="s">
        <v>143</v>
      </c>
      <c r="K42" s="31" t="s">
        <v>143</v>
      </c>
      <c r="L42" s="31" t="s">
        <v>143</v>
      </c>
      <c r="M42" s="31" t="s">
        <v>143</v>
      </c>
      <c r="N42" s="31" t="s">
        <v>143</v>
      </c>
      <c r="O42" s="31" t="s">
        <v>143</v>
      </c>
      <c r="P42" s="31" t="s">
        <v>143</v>
      </c>
      <c r="Q42" s="31" t="s">
        <v>143</v>
      </c>
      <c r="R42" s="31" t="s">
        <v>143</v>
      </c>
      <c r="S42" s="31" t="s">
        <v>143</v>
      </c>
      <c r="T42" s="31" t="s">
        <v>143</v>
      </c>
      <c r="U42" s="31" t="s">
        <v>143</v>
      </c>
      <c r="V42" s="31" t="s">
        <v>143</v>
      </c>
      <c r="W42" s="31" t="s">
        <v>143</v>
      </c>
      <c r="X42" s="31" t="s">
        <v>143</v>
      </c>
      <c r="Y42" s="31" t="s">
        <v>143</v>
      </c>
      <c r="Z42" s="31" t="s">
        <v>143</v>
      </c>
      <c r="AA42" s="31" t="s">
        <v>143</v>
      </c>
      <c r="AB42" s="31" t="s">
        <v>143</v>
      </c>
      <c r="AC42" s="31" t="s">
        <v>143</v>
      </c>
      <c r="AD42" s="31" t="s">
        <v>143</v>
      </c>
      <c r="AE42" s="139" t="s">
        <v>133</v>
      </c>
      <c r="AF42" s="31" t="s">
        <v>143</v>
      </c>
      <c r="AG42" s="31" t="s">
        <v>143</v>
      </c>
      <c r="AH42" s="31" t="s">
        <v>143</v>
      </c>
    </row>
    <row x14ac:dyDescent="0.25" r="43" customHeight="1" ht="18.75">
      <c r="A43" s="30" t="s">
        <v>128</v>
      </c>
      <c r="B43" s="31">
        <f>5/3</f>
      </c>
      <c r="C43" s="31">
        <f>5/3</f>
      </c>
      <c r="D43" s="31">
        <f>5/3</f>
      </c>
      <c r="E43" s="31">
        <f>5/3</f>
      </c>
      <c r="F43" s="31">
        <f>5/3</f>
      </c>
      <c r="G43" s="31">
        <f>5/3</f>
      </c>
      <c r="H43" s="31">
        <f>5/3</f>
      </c>
      <c r="I43" s="31">
        <f>5/3</f>
      </c>
      <c r="J43" s="31">
        <f>5/3</f>
      </c>
      <c r="K43" s="31">
        <f>5/3</f>
      </c>
      <c r="L43" s="31">
        <f>5/3</f>
      </c>
      <c r="M43" s="31">
        <f>5/3</f>
      </c>
      <c r="N43" s="31">
        <f>5/3</f>
      </c>
      <c r="O43" s="31">
        <f>5/3</f>
      </c>
      <c r="P43" s="31">
        <f>5/3</f>
      </c>
      <c r="Q43" s="31">
        <f>5/3</f>
      </c>
      <c r="R43" s="31">
        <f>5/3</f>
      </c>
      <c r="S43" s="31">
        <f>5/3</f>
      </c>
      <c r="T43" s="31">
        <f>5/3</f>
      </c>
      <c r="U43" s="31">
        <f>5/3</f>
      </c>
      <c r="V43" s="31">
        <f>5/3</f>
      </c>
      <c r="W43" s="31">
        <f>5/3</f>
      </c>
      <c r="X43" s="31">
        <f>5/3</f>
      </c>
      <c r="Y43" s="31">
        <f>5/3</f>
      </c>
      <c r="Z43" s="31">
        <f>5/3</f>
      </c>
      <c r="AA43" s="31">
        <f>5/3</f>
      </c>
      <c r="AB43" s="31">
        <f>5/3</f>
      </c>
      <c r="AC43" s="31">
        <f>5/3</f>
      </c>
      <c r="AD43" s="31">
        <f>5/3</f>
      </c>
      <c r="AE43" s="139">
        <v>-1.25</v>
      </c>
      <c r="AF43" s="31">
        <f>5/3</f>
      </c>
      <c r="AG43" s="31">
        <f>5/3</f>
      </c>
      <c r="AH43" s="31">
        <f>5/3</f>
      </c>
    </row>
    <row x14ac:dyDescent="0.25" r="44" customHeight="1" ht="18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138</v>
      </c>
      <c r="Q44" s="31" t="s">
        <v>138</v>
      </c>
      <c r="R44" s="31" t="s">
        <v>138</v>
      </c>
      <c r="S44" s="31" t="s">
        <v>138</v>
      </c>
      <c r="T44" s="31" t="s">
        <v>138</v>
      </c>
      <c r="U44" s="31" t="s">
        <v>138</v>
      </c>
      <c r="V44" s="31" t="s">
        <v>138</v>
      </c>
      <c r="W44" s="31" t="s">
        <v>138</v>
      </c>
      <c r="X44" s="31" t="s">
        <v>138</v>
      </c>
      <c r="Y44" s="31" t="s">
        <v>138</v>
      </c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139" t="s">
        <v>138</v>
      </c>
      <c r="AF44" s="31" t="s">
        <v>138</v>
      </c>
      <c r="AG44" s="31" t="s">
        <v>138</v>
      </c>
      <c r="AH44" s="31" t="s">
        <v>138</v>
      </c>
    </row>
    <row x14ac:dyDescent="0.25" r="45" customHeight="1" ht="18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4</v>
      </c>
      <c r="W45" s="31">
        <v>4</v>
      </c>
      <c r="X45" s="31">
        <v>4</v>
      </c>
      <c r="Y45" s="31">
        <v>4</v>
      </c>
      <c r="Z45" s="31">
        <v>4</v>
      </c>
      <c r="AA45" s="31">
        <v>4</v>
      </c>
      <c r="AB45" s="31">
        <v>4</v>
      </c>
      <c r="AC45" s="31">
        <v>4</v>
      </c>
      <c r="AD45" s="31">
        <v>4</v>
      </c>
      <c r="AE45" s="139">
        <v>4</v>
      </c>
      <c r="AF45" s="31">
        <v>4</v>
      </c>
      <c r="AG45" s="31">
        <v>4</v>
      </c>
      <c r="AH45" s="31">
        <v>4</v>
      </c>
    </row>
    <row x14ac:dyDescent="0.25" r="46" customHeight="1" ht="18.75">
      <c r="A46" s="46"/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x14ac:dyDescent="0.25" r="47" customHeight="1" ht="15.75">
      <c r="A47" s="30" t="s">
        <v>43</v>
      </c>
      <c r="B47" s="31" t="s">
        <v>373</v>
      </c>
      <c r="C47" s="31" t="s">
        <v>180</v>
      </c>
      <c r="D47" s="31" t="s">
        <v>180</v>
      </c>
      <c r="E47" s="31" t="s">
        <v>180</v>
      </c>
      <c r="F47" s="31" t="s">
        <v>180</v>
      </c>
      <c r="G47" s="31" t="s">
        <v>180</v>
      </c>
      <c r="H47" s="31" t="s">
        <v>180</v>
      </c>
      <c r="I47" s="31" t="s">
        <v>180</v>
      </c>
      <c r="J47" s="31" t="s">
        <v>180</v>
      </c>
      <c r="K47" s="31" t="s">
        <v>180</v>
      </c>
      <c r="L47" s="31" t="s">
        <v>180</v>
      </c>
      <c r="M47" s="31" t="s">
        <v>180</v>
      </c>
      <c r="N47" s="31" t="s">
        <v>180</v>
      </c>
      <c r="O47" s="31" t="s">
        <v>180</v>
      </c>
      <c r="P47" s="31" t="s">
        <v>180</v>
      </c>
      <c r="Q47" s="31" t="s">
        <v>180</v>
      </c>
      <c r="R47" s="31" t="s">
        <v>180</v>
      </c>
      <c r="S47" s="31" t="s">
        <v>180</v>
      </c>
      <c r="T47" s="31" t="s">
        <v>180</v>
      </c>
      <c r="U47" s="31" t="s">
        <v>180</v>
      </c>
      <c r="V47" s="31" t="s">
        <v>180</v>
      </c>
      <c r="W47" s="31" t="s">
        <v>180</v>
      </c>
      <c r="X47" s="31" t="s">
        <v>180</v>
      </c>
      <c r="Y47" s="31" t="s">
        <v>180</v>
      </c>
      <c r="Z47" s="31" t="s">
        <v>180</v>
      </c>
      <c r="AA47" s="31" t="s">
        <v>180</v>
      </c>
      <c r="AB47" s="31" t="s">
        <v>180</v>
      </c>
      <c r="AC47" s="31" t="s">
        <v>180</v>
      </c>
      <c r="AD47" s="31" t="s">
        <v>180</v>
      </c>
      <c r="AE47" s="31" t="s">
        <v>180</v>
      </c>
      <c r="AF47" s="31" t="s">
        <v>180</v>
      </c>
      <c r="AG47" s="31" t="s">
        <v>180</v>
      </c>
      <c r="AH47" s="31" t="s">
        <v>180</v>
      </c>
    </row>
    <row x14ac:dyDescent="0.25" r="48" customHeight="1" ht="15.75">
      <c r="A48" s="30" t="s">
        <v>45</v>
      </c>
      <c r="B48" s="33" t="s">
        <v>374</v>
      </c>
      <c r="C48" s="33" t="s">
        <v>374</v>
      </c>
      <c r="D48" s="33" t="s">
        <v>374</v>
      </c>
      <c r="E48" s="33" t="s">
        <v>374</v>
      </c>
      <c r="F48" s="33" t="s">
        <v>374</v>
      </c>
      <c r="G48" s="33" t="s">
        <v>374</v>
      </c>
      <c r="H48" s="33" t="s">
        <v>374</v>
      </c>
      <c r="I48" s="33" t="s">
        <v>374</v>
      </c>
      <c r="J48" s="33" t="s">
        <v>374</v>
      </c>
      <c r="K48" s="33" t="s">
        <v>374</v>
      </c>
      <c r="L48" s="33" t="s">
        <v>374</v>
      </c>
      <c r="M48" s="33" t="s">
        <v>374</v>
      </c>
      <c r="N48" s="31" t="s">
        <v>947</v>
      </c>
      <c r="O48" s="33" t="s">
        <v>374</v>
      </c>
      <c r="P48" s="31" t="s">
        <v>186</v>
      </c>
      <c r="Q48" s="31" t="s">
        <v>186</v>
      </c>
      <c r="R48" s="33" t="s">
        <v>187</v>
      </c>
      <c r="S48" s="31" t="s">
        <v>947</v>
      </c>
      <c r="T48" s="33" t="s">
        <v>374</v>
      </c>
      <c r="U48" s="33" t="s">
        <v>374</v>
      </c>
      <c r="V48" s="33" t="s">
        <v>374</v>
      </c>
      <c r="W48" s="33" t="s">
        <v>374</v>
      </c>
      <c r="X48" s="33" t="s">
        <v>374</v>
      </c>
      <c r="Y48" s="33" t="s">
        <v>374</v>
      </c>
      <c r="Z48" s="33" t="s">
        <v>374</v>
      </c>
      <c r="AA48" s="33" t="s">
        <v>374</v>
      </c>
      <c r="AB48" s="33" t="s">
        <v>374</v>
      </c>
      <c r="AC48" s="33" t="s">
        <v>374</v>
      </c>
      <c r="AD48" s="33" t="s">
        <v>374</v>
      </c>
      <c r="AE48" s="33" t="s">
        <v>955</v>
      </c>
      <c r="AF48" s="33" t="s">
        <v>374</v>
      </c>
      <c r="AG48" s="31" t="s">
        <v>189</v>
      </c>
      <c r="AH48" s="31" t="s">
        <v>189</v>
      </c>
    </row>
    <row x14ac:dyDescent="0.25" r="49" customHeight="1" ht="15.75">
      <c r="A49" s="35" t="s">
        <v>47</v>
      </c>
      <c r="B49" s="117">
        <v>83</v>
      </c>
      <c r="C49" s="117">
        <v>83</v>
      </c>
      <c r="D49" s="117">
        <v>83</v>
      </c>
      <c r="E49" s="117">
        <v>83</v>
      </c>
      <c r="F49" s="117">
        <v>83</v>
      </c>
      <c r="G49" s="117">
        <v>83</v>
      </c>
      <c r="H49" s="117">
        <v>83</v>
      </c>
      <c r="I49" s="117">
        <v>83</v>
      </c>
      <c r="J49" s="117">
        <v>83</v>
      </c>
      <c r="K49" s="117">
        <v>83</v>
      </c>
      <c r="L49" s="117">
        <v>83</v>
      </c>
      <c r="M49" s="117">
        <v>83</v>
      </c>
      <c r="N49" s="117">
        <v>143</v>
      </c>
      <c r="O49" s="117">
        <v>83</v>
      </c>
      <c r="P49" s="117">
        <v>142</v>
      </c>
      <c r="Q49" s="117">
        <v>142</v>
      </c>
      <c r="R49" s="117">
        <v>81</v>
      </c>
      <c r="S49" s="117">
        <v>143</v>
      </c>
      <c r="T49" s="117">
        <v>83</v>
      </c>
      <c r="U49" s="117">
        <v>83</v>
      </c>
      <c r="V49" s="117">
        <v>83</v>
      </c>
      <c r="W49" s="117">
        <v>83</v>
      </c>
      <c r="X49" s="117">
        <v>83</v>
      </c>
      <c r="Y49" s="117">
        <v>83</v>
      </c>
      <c r="Z49" s="117">
        <v>83</v>
      </c>
      <c r="AA49" s="117">
        <v>83</v>
      </c>
      <c r="AB49" s="117">
        <v>83</v>
      </c>
      <c r="AC49" s="117">
        <v>83</v>
      </c>
      <c r="AD49" s="117">
        <v>83</v>
      </c>
      <c r="AE49" s="117">
        <v>144</v>
      </c>
      <c r="AF49" s="117">
        <v>83</v>
      </c>
      <c r="AG49" s="117">
        <v>82</v>
      </c>
      <c r="AH49" s="117">
        <v>82</v>
      </c>
    </row>
    <row x14ac:dyDescent="0.25" r="50" customHeight="1" ht="15.75">
      <c r="A50" s="30" t="s">
        <v>123</v>
      </c>
      <c r="B50" s="31" t="s">
        <v>52</v>
      </c>
      <c r="C50" s="31" t="s">
        <v>52</v>
      </c>
      <c r="D50" s="31" t="s">
        <v>52</v>
      </c>
      <c r="E50" s="31" t="s">
        <v>52</v>
      </c>
      <c r="F50" s="31" t="s">
        <v>52</v>
      </c>
      <c r="G50" s="31" t="s">
        <v>52</v>
      </c>
      <c r="H50" s="31" t="s">
        <v>52</v>
      </c>
      <c r="I50" s="31" t="s">
        <v>52</v>
      </c>
      <c r="J50" s="31" t="s">
        <v>52</v>
      </c>
      <c r="K50" s="31" t="s">
        <v>52</v>
      </c>
      <c r="L50" s="31" t="s">
        <v>52</v>
      </c>
      <c r="M50" s="31" t="s">
        <v>52</v>
      </c>
      <c r="N50" s="31" t="s">
        <v>52</v>
      </c>
      <c r="O50" s="31" t="s">
        <v>52</v>
      </c>
      <c r="P50" s="31" t="s">
        <v>52</v>
      </c>
      <c r="Q50" s="31" t="s">
        <v>52</v>
      </c>
      <c r="R50" s="31" t="s">
        <v>52</v>
      </c>
      <c r="S50" s="31" t="s">
        <v>52</v>
      </c>
      <c r="T50" s="31" t="s">
        <v>52</v>
      </c>
      <c r="U50" s="31" t="s">
        <v>52</v>
      </c>
      <c r="V50" s="31" t="s">
        <v>52</v>
      </c>
      <c r="W50" s="31" t="s">
        <v>52</v>
      </c>
      <c r="X50" s="31" t="s">
        <v>52</v>
      </c>
      <c r="Y50" s="31" t="s">
        <v>52</v>
      </c>
      <c r="Z50" s="31" t="s">
        <v>52</v>
      </c>
      <c r="AA50" s="31" t="s">
        <v>52</v>
      </c>
      <c r="AB50" s="31" t="s">
        <v>52</v>
      </c>
      <c r="AC50" s="31" t="s">
        <v>52</v>
      </c>
      <c r="AD50" s="31" t="s">
        <v>52</v>
      </c>
      <c r="AE50" s="31" t="s">
        <v>162</v>
      </c>
      <c r="AF50" s="31" t="s">
        <v>52</v>
      </c>
      <c r="AG50" s="31" t="s">
        <v>52</v>
      </c>
      <c r="AH50" s="31" t="s">
        <v>52</v>
      </c>
    </row>
    <row x14ac:dyDescent="0.25" r="51" customHeight="1" ht="15.75">
      <c r="A51" s="30" t="s">
        <v>124</v>
      </c>
      <c r="B51" s="31" t="s">
        <v>52</v>
      </c>
      <c r="C51" s="31" t="s">
        <v>52</v>
      </c>
      <c r="D51" s="31" t="s">
        <v>52</v>
      </c>
      <c r="E51" s="31" t="s">
        <v>52</v>
      </c>
      <c r="F51" s="31" t="s">
        <v>52</v>
      </c>
      <c r="G51" s="31" t="s">
        <v>52</v>
      </c>
      <c r="H51" s="31" t="s">
        <v>52</v>
      </c>
      <c r="I51" s="31" t="s">
        <v>52</v>
      </c>
      <c r="J51" s="31" t="s">
        <v>52</v>
      </c>
      <c r="K51" s="31" t="s">
        <v>52</v>
      </c>
      <c r="L51" s="31" t="s">
        <v>52</v>
      </c>
      <c r="M51" s="31" t="s">
        <v>52</v>
      </c>
      <c r="N51" s="31" t="s">
        <v>52</v>
      </c>
      <c r="O51" s="31" t="s">
        <v>52</v>
      </c>
      <c r="P51" s="31" t="s">
        <v>52</v>
      </c>
      <c r="Q51" s="31" t="s">
        <v>52</v>
      </c>
      <c r="R51" s="31" t="s">
        <v>52</v>
      </c>
      <c r="S51" s="31" t="s">
        <v>52</v>
      </c>
      <c r="T51" s="31" t="s">
        <v>52</v>
      </c>
      <c r="U51" s="31" t="s">
        <v>52</v>
      </c>
      <c r="V51" s="31" t="s">
        <v>52</v>
      </c>
      <c r="W51" s="31" t="s">
        <v>52</v>
      </c>
      <c r="X51" s="31" t="s">
        <v>52</v>
      </c>
      <c r="Y51" s="31" t="s">
        <v>52</v>
      </c>
      <c r="Z51" s="31" t="s">
        <v>52</v>
      </c>
      <c r="AA51" s="31" t="s">
        <v>52</v>
      </c>
      <c r="AB51" s="31" t="s">
        <v>52</v>
      </c>
      <c r="AC51" s="31" t="s">
        <v>52</v>
      </c>
      <c r="AD51" s="31" t="s">
        <v>52</v>
      </c>
      <c r="AE51" s="31" t="s">
        <v>162</v>
      </c>
      <c r="AF51" s="31" t="s">
        <v>52</v>
      </c>
      <c r="AG51" s="31" t="s">
        <v>52</v>
      </c>
      <c r="AH51" s="31" t="s">
        <v>52</v>
      </c>
    </row>
    <row x14ac:dyDescent="0.25" r="52" customHeight="1" ht="15.75">
      <c r="A52" s="30" t="s">
        <v>125</v>
      </c>
      <c r="B52" s="31" t="s">
        <v>49</v>
      </c>
      <c r="C52" s="31" t="s">
        <v>49</v>
      </c>
      <c r="D52" s="31" t="s">
        <v>49</v>
      </c>
      <c r="E52" s="31" t="s">
        <v>49</v>
      </c>
      <c r="F52" s="31" t="s">
        <v>49</v>
      </c>
      <c r="G52" s="31" t="s">
        <v>49</v>
      </c>
      <c r="H52" s="31" t="s">
        <v>49</v>
      </c>
      <c r="I52" s="31" t="s">
        <v>49</v>
      </c>
      <c r="J52" s="31" t="s">
        <v>49</v>
      </c>
      <c r="K52" s="31" t="s">
        <v>49</v>
      </c>
      <c r="L52" s="31" t="s">
        <v>49</v>
      </c>
      <c r="M52" s="31" t="s">
        <v>49</v>
      </c>
      <c r="N52" s="31" t="s">
        <v>49</v>
      </c>
      <c r="O52" s="31" t="s">
        <v>49</v>
      </c>
      <c r="P52" s="31" t="s">
        <v>49</v>
      </c>
      <c r="Q52" s="31" t="s">
        <v>49</v>
      </c>
      <c r="R52" s="31" t="s">
        <v>49</v>
      </c>
      <c r="S52" s="31" t="s">
        <v>49</v>
      </c>
      <c r="T52" s="31" t="s">
        <v>49</v>
      </c>
      <c r="U52" s="31" t="s">
        <v>49</v>
      </c>
      <c r="V52" s="31" t="s">
        <v>49</v>
      </c>
      <c r="W52" s="31" t="s">
        <v>49</v>
      </c>
      <c r="X52" s="31" t="s">
        <v>49</v>
      </c>
      <c r="Y52" s="31" t="s">
        <v>49</v>
      </c>
      <c r="Z52" s="31" t="s">
        <v>49</v>
      </c>
      <c r="AA52" s="31" t="s">
        <v>49</v>
      </c>
      <c r="AB52" s="31" t="s">
        <v>49</v>
      </c>
      <c r="AC52" s="31" t="s">
        <v>49</v>
      </c>
      <c r="AD52" s="31" t="s">
        <v>49</v>
      </c>
      <c r="AE52" s="31" t="s">
        <v>49</v>
      </c>
      <c r="AF52" s="31" t="s">
        <v>49</v>
      </c>
      <c r="AG52" s="31" t="s">
        <v>49</v>
      </c>
      <c r="AH52" s="31" t="s">
        <v>49</v>
      </c>
    </row>
    <row x14ac:dyDescent="0.25" r="53" customHeight="1" ht="15.75">
      <c r="A53" s="30" t="s">
        <v>126</v>
      </c>
      <c r="B53" s="31" t="s">
        <v>49</v>
      </c>
      <c r="C53" s="31" t="s">
        <v>49</v>
      </c>
      <c r="D53" s="31" t="s">
        <v>49</v>
      </c>
      <c r="E53" s="31" t="s">
        <v>49</v>
      </c>
      <c r="F53" s="31" t="s">
        <v>49</v>
      </c>
      <c r="G53" s="31" t="s">
        <v>49</v>
      </c>
      <c r="H53" s="31" t="s">
        <v>49</v>
      </c>
      <c r="I53" s="31" t="s">
        <v>49</v>
      </c>
      <c r="J53" s="31" t="s">
        <v>49</v>
      </c>
      <c r="K53" s="31" t="s">
        <v>49</v>
      </c>
      <c r="L53" s="31" t="s">
        <v>49</v>
      </c>
      <c r="M53" s="31" t="s">
        <v>49</v>
      </c>
      <c r="N53" s="31" t="s">
        <v>49</v>
      </c>
      <c r="O53" s="31" t="s">
        <v>49</v>
      </c>
      <c r="P53" s="31" t="s">
        <v>49</v>
      </c>
      <c r="Q53" s="31" t="s">
        <v>49</v>
      </c>
      <c r="R53" s="31" t="s">
        <v>49</v>
      </c>
      <c r="S53" s="31" t="s">
        <v>49</v>
      </c>
      <c r="T53" s="31" t="s">
        <v>49</v>
      </c>
      <c r="U53" s="31" t="s">
        <v>49</v>
      </c>
      <c r="V53" s="31" t="s">
        <v>49</v>
      </c>
      <c r="W53" s="31" t="s">
        <v>49</v>
      </c>
      <c r="X53" s="31" t="s">
        <v>49</v>
      </c>
      <c r="Y53" s="31" t="s">
        <v>49</v>
      </c>
      <c r="Z53" s="31" t="s">
        <v>49</v>
      </c>
      <c r="AA53" s="31" t="s">
        <v>49</v>
      </c>
      <c r="AB53" s="31" t="s">
        <v>49</v>
      </c>
      <c r="AC53" s="31" t="s">
        <v>49</v>
      </c>
      <c r="AD53" s="31" t="s">
        <v>49</v>
      </c>
      <c r="AE53" s="31" t="s">
        <v>49</v>
      </c>
      <c r="AF53" s="31" t="s">
        <v>49</v>
      </c>
      <c r="AG53" s="31" t="s">
        <v>49</v>
      </c>
      <c r="AH53" s="31" t="s">
        <v>49</v>
      </c>
    </row>
    <row x14ac:dyDescent="0.25" r="54" customHeight="1" ht="15.75">
      <c r="A54" s="30" t="s">
        <v>127</v>
      </c>
      <c r="B54" s="31" t="s">
        <v>143</v>
      </c>
      <c r="C54" s="31" t="s">
        <v>143</v>
      </c>
      <c r="D54" s="31" t="s">
        <v>143</v>
      </c>
      <c r="E54" s="31" t="s">
        <v>143</v>
      </c>
      <c r="F54" s="31" t="s">
        <v>143</v>
      </c>
      <c r="G54" s="31" t="s">
        <v>143</v>
      </c>
      <c r="H54" s="31" t="s">
        <v>143</v>
      </c>
      <c r="I54" s="31" t="s">
        <v>143</v>
      </c>
      <c r="J54" s="31" t="s">
        <v>143</v>
      </c>
      <c r="K54" s="31" t="s">
        <v>143</v>
      </c>
      <c r="L54" s="31" t="s">
        <v>143</v>
      </c>
      <c r="M54" s="31" t="s">
        <v>143</v>
      </c>
      <c r="N54" s="31" t="s">
        <v>192</v>
      </c>
      <c r="O54" s="31" t="s">
        <v>143</v>
      </c>
      <c r="P54" s="31" t="s">
        <v>193</v>
      </c>
      <c r="Q54" s="31" t="s">
        <v>193</v>
      </c>
      <c r="R54" s="31" t="s">
        <v>193</v>
      </c>
      <c r="S54" s="31" t="s">
        <v>192</v>
      </c>
      <c r="T54" s="31" t="s">
        <v>143</v>
      </c>
      <c r="U54" s="31" t="s">
        <v>143</v>
      </c>
      <c r="V54" s="31" t="s">
        <v>143</v>
      </c>
      <c r="W54" s="31" t="s">
        <v>143</v>
      </c>
      <c r="X54" s="31" t="s">
        <v>143</v>
      </c>
      <c r="Y54" s="31" t="s">
        <v>143</v>
      </c>
      <c r="Z54" s="31" t="s">
        <v>143</v>
      </c>
      <c r="AA54" s="31" t="s">
        <v>143</v>
      </c>
      <c r="AB54" s="31" t="s">
        <v>143</v>
      </c>
      <c r="AC54" s="31" t="s">
        <v>143</v>
      </c>
      <c r="AD54" s="31" t="s">
        <v>143</v>
      </c>
      <c r="AE54" s="31" t="s">
        <v>133</v>
      </c>
      <c r="AF54" s="31" t="s">
        <v>143</v>
      </c>
      <c r="AG54" s="31" t="s">
        <v>143</v>
      </c>
      <c r="AH54" s="31" t="s">
        <v>143</v>
      </c>
    </row>
    <row x14ac:dyDescent="0.25" r="55" customHeight="1" ht="15.75">
      <c r="A55" s="30" t="s">
        <v>128</v>
      </c>
      <c r="B55" s="31">
        <v>0.75</v>
      </c>
      <c r="C55" s="31">
        <v>0.75</v>
      </c>
      <c r="D55" s="31">
        <v>0.75</v>
      </c>
      <c r="E55" s="31">
        <v>0.75</v>
      </c>
      <c r="F55" s="31">
        <v>0.75</v>
      </c>
      <c r="G55" s="31">
        <v>0.75</v>
      </c>
      <c r="H55" s="31">
        <v>0.75</v>
      </c>
      <c r="I55" s="31">
        <v>0.75</v>
      </c>
      <c r="J55" s="31">
        <v>0.75</v>
      </c>
      <c r="K55" s="31">
        <v>0.75</v>
      </c>
      <c r="L55" s="31">
        <v>0.75</v>
      </c>
      <c r="M55" s="31">
        <v>0.75</v>
      </c>
      <c r="N55" s="31">
        <f>AVERAGE(0.75,0.75,-4)</f>
      </c>
      <c r="O55" s="31">
        <v>0.75</v>
      </c>
      <c r="P55" s="31">
        <v>-4</v>
      </c>
      <c r="Q55" s="31">
        <v>-4</v>
      </c>
      <c r="R55" s="31">
        <v>-4</v>
      </c>
      <c r="S55" s="31">
        <f>AVERAGE(0.75,0.75,-4)</f>
      </c>
      <c r="T55" s="31">
        <v>0.75</v>
      </c>
      <c r="U55" s="31">
        <v>0.75</v>
      </c>
      <c r="V55" s="31">
        <v>0.75</v>
      </c>
      <c r="W55" s="31">
        <v>0.75</v>
      </c>
      <c r="X55" s="31">
        <v>0.75</v>
      </c>
      <c r="Y55" s="31">
        <v>0.75</v>
      </c>
      <c r="Z55" s="31">
        <v>0.75</v>
      </c>
      <c r="AA55" s="31">
        <v>0.75</v>
      </c>
      <c r="AB55" s="31">
        <v>0.75</v>
      </c>
      <c r="AC55" s="31">
        <v>0.75</v>
      </c>
      <c r="AD55" s="31">
        <v>0.75</v>
      </c>
      <c r="AE55" s="31">
        <v>-1.25</v>
      </c>
      <c r="AF55" s="31">
        <v>0.75</v>
      </c>
      <c r="AG55" s="31">
        <f>5/3</f>
      </c>
      <c r="AH55" s="31">
        <f>5/3</f>
      </c>
    </row>
    <row x14ac:dyDescent="0.25" r="56" customHeight="1" ht="15.75">
      <c r="A56" s="30" t="s">
        <v>129</v>
      </c>
      <c r="B56" s="31" t="s">
        <v>198</v>
      </c>
      <c r="C56" s="31" t="s">
        <v>198</v>
      </c>
      <c r="D56" s="31" t="s">
        <v>198</v>
      </c>
      <c r="E56" s="31" t="s">
        <v>198</v>
      </c>
      <c r="F56" s="31" t="s">
        <v>198</v>
      </c>
      <c r="G56" s="31" t="s">
        <v>198</v>
      </c>
      <c r="H56" s="31" t="s">
        <v>198</v>
      </c>
      <c r="I56" s="31" t="s">
        <v>198</v>
      </c>
      <c r="J56" s="31" t="s">
        <v>198</v>
      </c>
      <c r="K56" s="31" t="s">
        <v>198</v>
      </c>
      <c r="L56" s="31" t="s">
        <v>198</v>
      </c>
      <c r="M56" s="31" t="s">
        <v>198</v>
      </c>
      <c r="N56" s="31" t="s">
        <v>198</v>
      </c>
      <c r="O56" s="31" t="s">
        <v>198</v>
      </c>
      <c r="P56" s="31" t="s">
        <v>197</v>
      </c>
      <c r="Q56" s="31" t="s">
        <v>197</v>
      </c>
      <c r="R56" s="31" t="s">
        <v>198</v>
      </c>
      <c r="S56" s="31" t="s">
        <v>198</v>
      </c>
      <c r="T56" s="31" t="s">
        <v>198</v>
      </c>
      <c r="U56" s="31" t="s">
        <v>198</v>
      </c>
      <c r="V56" s="31" t="s">
        <v>198</v>
      </c>
      <c r="W56" s="31" t="s">
        <v>198</v>
      </c>
      <c r="X56" s="31" t="s">
        <v>198</v>
      </c>
      <c r="Y56" s="31" t="s">
        <v>198</v>
      </c>
      <c r="Z56" s="31" t="s">
        <v>198</v>
      </c>
      <c r="AA56" s="31" t="s">
        <v>198</v>
      </c>
      <c r="AB56" s="31" t="s">
        <v>198</v>
      </c>
      <c r="AC56" s="31" t="s">
        <v>198</v>
      </c>
      <c r="AD56" s="31" t="s">
        <v>198</v>
      </c>
      <c r="AE56" s="31" t="s">
        <v>956</v>
      </c>
      <c r="AF56" s="31" t="s">
        <v>198</v>
      </c>
      <c r="AG56" s="31" t="s">
        <v>198</v>
      </c>
      <c r="AH56" s="31" t="s">
        <v>198</v>
      </c>
    </row>
    <row x14ac:dyDescent="0.25" r="57" customHeight="1" ht="15.75">
      <c r="A57" s="30" t="s">
        <v>130</v>
      </c>
      <c r="B57" s="31">
        <v>1</v>
      </c>
      <c r="C57" s="31">
        <v>1</v>
      </c>
      <c r="D57" s="31">
        <v>1</v>
      </c>
      <c r="E57" s="31">
        <v>1</v>
      </c>
      <c r="F57" s="31">
        <v>1</v>
      </c>
      <c r="G57" s="31">
        <v>1</v>
      </c>
      <c r="H57" s="31">
        <v>1</v>
      </c>
      <c r="I57" s="31">
        <v>1</v>
      </c>
      <c r="J57" s="31">
        <v>1</v>
      </c>
      <c r="K57" s="31">
        <v>1</v>
      </c>
      <c r="L57" s="31">
        <v>1</v>
      </c>
      <c r="M57" s="31">
        <v>1</v>
      </c>
      <c r="N57" s="31">
        <f>AVERAGE(1,1,1.25)</f>
      </c>
      <c r="O57" s="31">
        <v>1</v>
      </c>
      <c r="P57" s="31">
        <f>AVERAGE(2,2,1.25)</f>
      </c>
      <c r="Q57" s="31">
        <f>AVERAGE(2,2,1.25)</f>
      </c>
      <c r="R57" s="31">
        <v>1.25</v>
      </c>
      <c r="S57" s="31">
        <f>AVERAGE(1,1,1.25)</f>
      </c>
      <c r="T57" s="31">
        <v>1</v>
      </c>
      <c r="U57" s="31">
        <v>1</v>
      </c>
      <c r="V57" s="31">
        <v>1</v>
      </c>
      <c r="W57" s="31">
        <v>1</v>
      </c>
      <c r="X57" s="31">
        <v>1</v>
      </c>
      <c r="Y57" s="31">
        <v>1</v>
      </c>
      <c r="Z57" s="31">
        <v>1</v>
      </c>
      <c r="AA57" s="31">
        <v>1</v>
      </c>
      <c r="AB57" s="31">
        <v>1</v>
      </c>
      <c r="AC57" s="31">
        <v>1</v>
      </c>
      <c r="AD57" s="31">
        <v>1</v>
      </c>
      <c r="AE57" s="31">
        <v>1</v>
      </c>
      <c r="AF57" s="31">
        <v>1</v>
      </c>
      <c r="AG57" s="31">
        <v>1</v>
      </c>
      <c r="AH57" s="31">
        <v>1</v>
      </c>
    </row>
    <row x14ac:dyDescent="0.25" r="58" customHeight="1" ht="18.75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x14ac:dyDescent="0.25" r="59" customHeight="1" ht="18.75">
      <c r="A59" s="38" t="s">
        <v>64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x14ac:dyDescent="0.25" r="60" customHeight="1" ht="18.75">
      <c r="A60" s="209" t="s">
        <v>135</v>
      </c>
      <c r="B60" s="40" t="s">
        <v>957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x14ac:dyDescent="0.25" r="61" customHeight="1" ht="18.75">
      <c r="A61" s="30"/>
      <c r="B61" s="40" t="s">
        <v>958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x14ac:dyDescent="0.25" r="62" customHeight="1" ht="18.75">
      <c r="A62" s="30"/>
      <c r="B62" s="40" t="s">
        <v>959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</sheetData>
  <mergeCells count="6">
    <mergeCell ref="B3:D3"/>
    <mergeCell ref="F3:O3"/>
    <mergeCell ref="B4:D4"/>
    <mergeCell ref="F4:O5"/>
    <mergeCell ref="B5:D5"/>
    <mergeCell ref="A60:A6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6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927</v>
      </c>
      <c r="E1" s="2"/>
      <c r="F1" s="2"/>
      <c r="G1" s="2"/>
      <c r="H1" s="2"/>
      <c r="I1" s="45" t="s">
        <v>928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52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929</v>
      </c>
      <c r="C4" s="7"/>
      <c r="D4" s="7"/>
      <c r="E4" s="2"/>
      <c r="F4" s="124" t="s">
        <v>930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931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177"/>
      <c r="C8" s="114" t="s">
        <v>932</v>
      </c>
      <c r="D8" s="31" t="s">
        <v>932</v>
      </c>
      <c r="E8" s="31" t="s">
        <v>932</v>
      </c>
      <c r="F8" s="31" t="s">
        <v>932</v>
      </c>
      <c r="G8" s="31" t="s">
        <v>932</v>
      </c>
      <c r="H8" s="139" t="s">
        <v>932</v>
      </c>
      <c r="I8" s="31" t="s">
        <v>932</v>
      </c>
      <c r="J8" s="31" t="s">
        <v>932</v>
      </c>
      <c r="K8" s="31" t="s">
        <v>932</v>
      </c>
      <c r="L8" s="31" t="s">
        <v>932</v>
      </c>
      <c r="M8" s="31" t="s">
        <v>932</v>
      </c>
      <c r="N8" s="31" t="s">
        <v>932</v>
      </c>
      <c r="O8" s="31" t="s">
        <v>932</v>
      </c>
      <c r="P8" s="31" t="s">
        <v>933</v>
      </c>
      <c r="Q8" s="31" t="s">
        <v>933</v>
      </c>
      <c r="R8" s="218" t="s">
        <v>358</v>
      </c>
      <c r="S8" s="31" t="s">
        <v>934</v>
      </c>
      <c r="T8" s="218" t="s">
        <v>358</v>
      </c>
      <c r="U8" s="218" t="s">
        <v>358</v>
      </c>
      <c r="V8" s="218" t="s">
        <v>358</v>
      </c>
      <c r="W8" s="218" t="s">
        <v>358</v>
      </c>
      <c r="X8" s="31" t="s">
        <v>68</v>
      </c>
      <c r="Y8" s="218" t="s">
        <v>358</v>
      </c>
      <c r="Z8" s="218" t="s">
        <v>358</v>
      </c>
      <c r="AA8" s="218" t="s">
        <v>358</v>
      </c>
      <c r="AB8" s="218" t="s">
        <v>358</v>
      </c>
      <c r="AC8" s="218" t="s">
        <v>358</v>
      </c>
      <c r="AD8" s="218" t="s">
        <v>358</v>
      </c>
      <c r="AE8" s="143" t="s">
        <v>358</v>
      </c>
      <c r="AF8" s="143" t="s">
        <v>358</v>
      </c>
      <c r="AG8" s="143" t="s">
        <v>358</v>
      </c>
      <c r="AH8" s="143" t="s">
        <v>358</v>
      </c>
    </row>
    <row x14ac:dyDescent="0.25" r="9" customHeight="1" ht="18.75">
      <c r="A9" s="30" t="s">
        <v>45</v>
      </c>
      <c r="B9" s="219"/>
      <c r="C9" s="33" t="s">
        <v>68</v>
      </c>
      <c r="D9" s="31" t="s">
        <v>935</v>
      </c>
      <c r="E9" s="31" t="s">
        <v>936</v>
      </c>
      <c r="F9" s="31" t="s">
        <v>936</v>
      </c>
      <c r="G9" s="33" t="s">
        <v>937</v>
      </c>
      <c r="H9" s="140" t="s">
        <v>938</v>
      </c>
      <c r="I9" s="31" t="s">
        <v>937</v>
      </c>
      <c r="J9" s="31" t="s">
        <v>937</v>
      </c>
      <c r="K9" s="31" t="s">
        <v>939</v>
      </c>
      <c r="L9" s="31" t="s">
        <v>937</v>
      </c>
      <c r="M9" s="31" t="s">
        <v>940</v>
      </c>
      <c r="N9" s="31" t="s">
        <v>932</v>
      </c>
      <c r="O9" s="31" t="s">
        <v>932</v>
      </c>
      <c r="P9" s="31" t="s">
        <v>932</v>
      </c>
      <c r="Q9" s="31" t="s">
        <v>932</v>
      </c>
      <c r="R9" s="220" t="s">
        <v>358</v>
      </c>
      <c r="S9" s="31" t="s">
        <v>937</v>
      </c>
      <c r="T9" s="220" t="s">
        <v>358</v>
      </c>
      <c r="U9" s="220" t="s">
        <v>358</v>
      </c>
      <c r="V9" s="220" t="s">
        <v>358</v>
      </c>
      <c r="W9" s="220" t="s">
        <v>358</v>
      </c>
      <c r="X9" s="33" t="s">
        <v>68</v>
      </c>
      <c r="Y9" s="220" t="s">
        <v>358</v>
      </c>
      <c r="Z9" s="220" t="s">
        <v>358</v>
      </c>
      <c r="AA9" s="220" t="s">
        <v>358</v>
      </c>
      <c r="AB9" s="220" t="s">
        <v>358</v>
      </c>
      <c r="AC9" s="220" t="s">
        <v>358</v>
      </c>
      <c r="AD9" s="220" t="s">
        <v>358</v>
      </c>
      <c r="AE9" s="143" t="s">
        <v>358</v>
      </c>
      <c r="AF9" s="143" t="s">
        <v>358</v>
      </c>
      <c r="AG9" s="143" t="s">
        <v>358</v>
      </c>
      <c r="AH9" s="143" t="s">
        <v>358</v>
      </c>
    </row>
    <row x14ac:dyDescent="0.25" r="10" customHeight="1" ht="18.75">
      <c r="A10" s="35" t="s">
        <v>47</v>
      </c>
      <c r="B10" s="144"/>
      <c r="C10" s="117">
        <v>501</v>
      </c>
      <c r="D10" s="117">
        <v>502</v>
      </c>
      <c r="E10" s="117">
        <v>508</v>
      </c>
      <c r="F10" s="117">
        <v>508</v>
      </c>
      <c r="G10" s="117">
        <v>504</v>
      </c>
      <c r="H10" s="167">
        <v>550</v>
      </c>
      <c r="I10" s="117">
        <v>504</v>
      </c>
      <c r="J10" s="117">
        <v>504</v>
      </c>
      <c r="K10" s="117">
        <v>515</v>
      </c>
      <c r="L10" s="117">
        <v>504</v>
      </c>
      <c r="M10" s="117">
        <v>514</v>
      </c>
      <c r="N10" s="117">
        <v>503</v>
      </c>
      <c r="O10" s="117">
        <v>503</v>
      </c>
      <c r="P10" s="117">
        <v>503</v>
      </c>
      <c r="Q10" s="117">
        <v>503</v>
      </c>
      <c r="R10" s="144"/>
      <c r="S10" s="117">
        <v>504</v>
      </c>
      <c r="T10" s="144"/>
      <c r="U10" s="144"/>
      <c r="V10" s="144"/>
      <c r="W10" s="144"/>
      <c r="X10" s="117">
        <v>501</v>
      </c>
      <c r="Y10" s="144"/>
      <c r="Z10" s="144"/>
      <c r="AA10" s="144"/>
      <c r="AB10" s="144"/>
      <c r="AC10" s="144"/>
      <c r="AD10" s="221"/>
      <c r="AE10" s="144"/>
      <c r="AF10" s="144"/>
      <c r="AG10" s="144"/>
      <c r="AH10" s="144"/>
    </row>
    <row x14ac:dyDescent="0.25" r="11" customHeight="1" ht="18.75">
      <c r="A11" s="30" t="s">
        <v>48</v>
      </c>
      <c r="B11" s="177"/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139" t="s">
        <v>49</v>
      </c>
      <c r="I11" s="31" t="s">
        <v>49</v>
      </c>
      <c r="J11" s="31" t="s">
        <v>49</v>
      </c>
      <c r="K11" s="31" t="s">
        <v>49</v>
      </c>
      <c r="L11" s="31" t="s">
        <v>49</v>
      </c>
      <c r="M11" s="31" t="s">
        <v>49</v>
      </c>
      <c r="N11" s="31" t="s">
        <v>49</v>
      </c>
      <c r="O11" s="31" t="s">
        <v>49</v>
      </c>
      <c r="P11" s="31" t="s">
        <v>49</v>
      </c>
      <c r="Q11" s="31" t="s">
        <v>49</v>
      </c>
      <c r="R11" s="143" t="s">
        <v>49</v>
      </c>
      <c r="S11" s="31" t="s">
        <v>49</v>
      </c>
      <c r="T11" s="143" t="s">
        <v>49</v>
      </c>
      <c r="U11" s="143" t="s">
        <v>49</v>
      </c>
      <c r="V11" s="143" t="s">
        <v>49</v>
      </c>
      <c r="W11" s="143" t="s">
        <v>49</v>
      </c>
      <c r="X11" s="31" t="s">
        <v>49</v>
      </c>
      <c r="Y11" s="143" t="s">
        <v>49</v>
      </c>
      <c r="Z11" s="143" t="s">
        <v>49</v>
      </c>
      <c r="AA11" s="143" t="s">
        <v>49</v>
      </c>
      <c r="AB11" s="143" t="s">
        <v>49</v>
      </c>
      <c r="AC11" s="143" t="s">
        <v>49</v>
      </c>
      <c r="AD11" s="218" t="s">
        <v>49</v>
      </c>
      <c r="AE11" s="143" t="s">
        <v>49</v>
      </c>
      <c r="AF11" s="143" t="s">
        <v>49</v>
      </c>
      <c r="AG11" s="143" t="s">
        <v>49</v>
      </c>
      <c r="AH11" s="143" t="s">
        <v>49</v>
      </c>
    </row>
    <row x14ac:dyDescent="0.25" r="12" customHeight="1" ht="18.75">
      <c r="A12" s="30" t="s">
        <v>50</v>
      </c>
      <c r="B12" s="177"/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139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143" t="s">
        <v>49</v>
      </c>
      <c r="S12" s="31" t="s">
        <v>49</v>
      </c>
      <c r="T12" s="143" t="s">
        <v>49</v>
      </c>
      <c r="U12" s="143" t="s">
        <v>49</v>
      </c>
      <c r="V12" s="143" t="s">
        <v>49</v>
      </c>
      <c r="W12" s="143" t="s">
        <v>49</v>
      </c>
      <c r="X12" s="31" t="s">
        <v>49</v>
      </c>
      <c r="Y12" s="143" t="s">
        <v>49</v>
      </c>
      <c r="Z12" s="143" t="s">
        <v>49</v>
      </c>
      <c r="AA12" s="143" t="s">
        <v>49</v>
      </c>
      <c r="AB12" s="143" t="s">
        <v>49</v>
      </c>
      <c r="AC12" s="143" t="s">
        <v>49</v>
      </c>
      <c r="AD12" s="218" t="s">
        <v>49</v>
      </c>
      <c r="AE12" s="143" t="s">
        <v>49</v>
      </c>
      <c r="AF12" s="143" t="s">
        <v>49</v>
      </c>
      <c r="AG12" s="143" t="s">
        <v>49</v>
      </c>
      <c r="AH12" s="143" t="s">
        <v>49</v>
      </c>
    </row>
    <row x14ac:dyDescent="0.25" r="13" customHeight="1" ht="18.75">
      <c r="A13" s="30" t="s">
        <v>51</v>
      </c>
      <c r="B13" s="177"/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139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143" t="s">
        <v>49</v>
      </c>
      <c r="S13" s="31" t="s">
        <v>52</v>
      </c>
      <c r="T13" s="143" t="s">
        <v>49</v>
      </c>
      <c r="U13" s="143" t="s">
        <v>49</v>
      </c>
      <c r="V13" s="143" t="s">
        <v>49</v>
      </c>
      <c r="W13" s="143" t="s">
        <v>49</v>
      </c>
      <c r="X13" s="31" t="s">
        <v>52</v>
      </c>
      <c r="Y13" s="143" t="s">
        <v>49</v>
      </c>
      <c r="Z13" s="143" t="s">
        <v>49</v>
      </c>
      <c r="AA13" s="143" t="s">
        <v>49</v>
      </c>
      <c r="AB13" s="143" t="s">
        <v>49</v>
      </c>
      <c r="AC13" s="143" t="s">
        <v>49</v>
      </c>
      <c r="AD13" s="218" t="s">
        <v>49</v>
      </c>
      <c r="AE13" s="143" t="s">
        <v>49</v>
      </c>
      <c r="AF13" s="143" t="s">
        <v>49</v>
      </c>
      <c r="AG13" s="143" t="s">
        <v>49</v>
      </c>
      <c r="AH13" s="143" t="s">
        <v>49</v>
      </c>
    </row>
    <row x14ac:dyDescent="0.25" r="14" customHeight="1" ht="18.75">
      <c r="A14" s="30" t="s">
        <v>53</v>
      </c>
      <c r="B14" s="177"/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139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143" t="s">
        <v>49</v>
      </c>
      <c r="S14" s="31" t="s">
        <v>49</v>
      </c>
      <c r="T14" s="143" t="s">
        <v>49</v>
      </c>
      <c r="U14" s="143" t="s">
        <v>49</v>
      </c>
      <c r="V14" s="143" t="s">
        <v>49</v>
      </c>
      <c r="W14" s="143" t="s">
        <v>49</v>
      </c>
      <c r="X14" s="31" t="s">
        <v>49</v>
      </c>
      <c r="Y14" s="143" t="s">
        <v>49</v>
      </c>
      <c r="Z14" s="143" t="s">
        <v>49</v>
      </c>
      <c r="AA14" s="143" t="s">
        <v>49</v>
      </c>
      <c r="AB14" s="143" t="s">
        <v>49</v>
      </c>
      <c r="AC14" s="143" t="s">
        <v>49</v>
      </c>
      <c r="AD14" s="218" t="s">
        <v>49</v>
      </c>
      <c r="AE14" s="143" t="s">
        <v>49</v>
      </c>
      <c r="AF14" s="143" t="s">
        <v>49</v>
      </c>
      <c r="AG14" s="143" t="s">
        <v>49</v>
      </c>
      <c r="AH14" s="143" t="s">
        <v>49</v>
      </c>
    </row>
    <row x14ac:dyDescent="0.25" r="15" customHeight="1" ht="18.75">
      <c r="A15" s="30" t="s">
        <v>54</v>
      </c>
      <c r="B15" s="177"/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139" t="s">
        <v>49</v>
      </c>
      <c r="I15" s="31" t="s">
        <v>49</v>
      </c>
      <c r="J15" s="31" t="s">
        <v>49</v>
      </c>
      <c r="K15" s="31" t="s">
        <v>49</v>
      </c>
      <c r="L15" s="31" t="s">
        <v>49</v>
      </c>
      <c r="M15" s="31" t="s">
        <v>49</v>
      </c>
      <c r="N15" s="31" t="s">
        <v>49</v>
      </c>
      <c r="O15" s="31" t="s">
        <v>49</v>
      </c>
      <c r="P15" s="31" t="s">
        <v>49</v>
      </c>
      <c r="Q15" s="31" t="s">
        <v>49</v>
      </c>
      <c r="R15" s="143" t="s">
        <v>49</v>
      </c>
      <c r="S15" s="31" t="s">
        <v>49</v>
      </c>
      <c r="T15" s="143" t="s">
        <v>49</v>
      </c>
      <c r="U15" s="143" t="s">
        <v>49</v>
      </c>
      <c r="V15" s="143" t="s">
        <v>49</v>
      </c>
      <c r="W15" s="143" t="s">
        <v>49</v>
      </c>
      <c r="X15" s="31" t="s">
        <v>49</v>
      </c>
      <c r="Y15" s="143" t="s">
        <v>49</v>
      </c>
      <c r="Z15" s="143" t="s">
        <v>49</v>
      </c>
      <c r="AA15" s="143" t="s">
        <v>49</v>
      </c>
      <c r="AB15" s="143" t="s">
        <v>49</v>
      </c>
      <c r="AC15" s="143" t="s">
        <v>49</v>
      </c>
      <c r="AD15" s="218" t="s">
        <v>49</v>
      </c>
      <c r="AE15" s="143" t="s">
        <v>49</v>
      </c>
      <c r="AF15" s="143" t="s">
        <v>49</v>
      </c>
      <c r="AG15" s="143" t="s">
        <v>49</v>
      </c>
      <c r="AH15" s="143" t="s">
        <v>49</v>
      </c>
    </row>
    <row x14ac:dyDescent="0.25" r="16" customHeight="1" ht="18.75">
      <c r="A16" s="30" t="s">
        <v>55</v>
      </c>
      <c r="B16" s="177"/>
      <c r="C16" s="31" t="s">
        <v>49</v>
      </c>
      <c r="D16" s="31" t="s">
        <v>49</v>
      </c>
      <c r="E16" s="31" t="s">
        <v>49</v>
      </c>
      <c r="F16" s="31" t="s">
        <v>49</v>
      </c>
      <c r="G16" s="31" t="s">
        <v>49</v>
      </c>
      <c r="H16" s="31" t="s">
        <v>49</v>
      </c>
      <c r="I16" s="31" t="s">
        <v>49</v>
      </c>
      <c r="J16" s="31" t="s">
        <v>49</v>
      </c>
      <c r="K16" s="31" t="s">
        <v>49</v>
      </c>
      <c r="L16" s="31" t="s">
        <v>49</v>
      </c>
      <c r="M16" s="31" t="s">
        <v>49</v>
      </c>
      <c r="N16" s="31" t="s">
        <v>49</v>
      </c>
      <c r="O16" s="31" t="s">
        <v>49</v>
      </c>
      <c r="P16" s="31" t="s">
        <v>49</v>
      </c>
      <c r="Q16" s="31" t="s">
        <v>49</v>
      </c>
      <c r="R16" s="143" t="s">
        <v>49</v>
      </c>
      <c r="S16" s="31" t="s">
        <v>49</v>
      </c>
      <c r="T16" s="143" t="s">
        <v>49</v>
      </c>
      <c r="U16" s="143" t="s">
        <v>49</v>
      </c>
      <c r="V16" s="143" t="s">
        <v>49</v>
      </c>
      <c r="W16" s="143" t="s">
        <v>49</v>
      </c>
      <c r="X16" s="31" t="s">
        <v>49</v>
      </c>
      <c r="Y16" s="143" t="s">
        <v>49</v>
      </c>
      <c r="Z16" s="143" t="s">
        <v>49</v>
      </c>
      <c r="AA16" s="143" t="s">
        <v>49</v>
      </c>
      <c r="AB16" s="143" t="s">
        <v>49</v>
      </c>
      <c r="AC16" s="143" t="s">
        <v>49</v>
      </c>
      <c r="AD16" s="218" t="s">
        <v>49</v>
      </c>
      <c r="AE16" s="143" t="s">
        <v>49</v>
      </c>
      <c r="AF16" s="143" t="s">
        <v>49</v>
      </c>
      <c r="AG16" s="143" t="s">
        <v>49</v>
      </c>
      <c r="AH16" s="143" t="s">
        <v>49</v>
      </c>
    </row>
    <row x14ac:dyDescent="0.25" r="17" customHeight="1" ht="18.75">
      <c r="A17" s="30" t="s">
        <v>56</v>
      </c>
      <c r="B17" s="177"/>
      <c r="C17" s="31" t="s">
        <v>941</v>
      </c>
      <c r="D17" s="31" t="s">
        <v>941</v>
      </c>
      <c r="E17" s="31" t="s">
        <v>941</v>
      </c>
      <c r="F17" s="31" t="s">
        <v>941</v>
      </c>
      <c r="G17" s="31" t="s">
        <v>941</v>
      </c>
      <c r="H17" s="139" t="s">
        <v>941</v>
      </c>
      <c r="I17" s="31" t="s">
        <v>941</v>
      </c>
      <c r="J17" s="31" t="s">
        <v>941</v>
      </c>
      <c r="K17" s="31" t="s">
        <v>941</v>
      </c>
      <c r="L17" s="31" t="s">
        <v>941</v>
      </c>
      <c r="M17" s="31" t="s">
        <v>941</v>
      </c>
      <c r="N17" s="31"/>
      <c r="O17" s="31" t="s">
        <v>941</v>
      </c>
      <c r="P17" s="31" t="s">
        <v>57</v>
      </c>
      <c r="Q17" s="31" t="s">
        <v>57</v>
      </c>
      <c r="R17" s="220" t="s">
        <v>358</v>
      </c>
      <c r="S17" s="31" t="s">
        <v>941</v>
      </c>
      <c r="T17" s="220" t="s">
        <v>358</v>
      </c>
      <c r="U17" s="220" t="s">
        <v>358</v>
      </c>
      <c r="V17" s="220" t="s">
        <v>358</v>
      </c>
      <c r="W17" s="220" t="s">
        <v>358</v>
      </c>
      <c r="X17" s="31" t="s">
        <v>941</v>
      </c>
      <c r="Y17" s="220" t="s">
        <v>358</v>
      </c>
      <c r="Z17" s="220" t="s">
        <v>358</v>
      </c>
      <c r="AA17" s="220" t="s">
        <v>358</v>
      </c>
      <c r="AB17" s="220" t="s">
        <v>358</v>
      </c>
      <c r="AC17" s="220" t="s">
        <v>358</v>
      </c>
      <c r="AD17" s="220" t="s">
        <v>358</v>
      </c>
      <c r="AE17" s="143" t="s">
        <v>358</v>
      </c>
      <c r="AF17" s="143" t="s">
        <v>358</v>
      </c>
      <c r="AG17" s="143" t="s">
        <v>358</v>
      </c>
      <c r="AH17" s="143" t="s">
        <v>358</v>
      </c>
    </row>
    <row x14ac:dyDescent="0.25" r="18" customHeight="1" ht="18.75">
      <c r="A18" s="30" t="s">
        <v>58</v>
      </c>
      <c r="B18" s="177"/>
      <c r="C18" s="31" t="s">
        <v>59</v>
      </c>
      <c r="D18" s="31" t="s">
        <v>59</v>
      </c>
      <c r="E18" s="31" t="s">
        <v>59</v>
      </c>
      <c r="F18" s="31" t="s">
        <v>59</v>
      </c>
      <c r="G18" s="31" t="s">
        <v>942</v>
      </c>
      <c r="H18" s="139" t="s">
        <v>942</v>
      </c>
      <c r="I18" s="31" t="s">
        <v>942</v>
      </c>
      <c r="J18" s="31" t="s">
        <v>942</v>
      </c>
      <c r="K18" s="31" t="s">
        <v>942</v>
      </c>
      <c r="L18" s="31" t="s">
        <v>942</v>
      </c>
      <c r="M18" s="31" t="s">
        <v>942</v>
      </c>
      <c r="N18" s="31" t="s">
        <v>942</v>
      </c>
      <c r="O18" s="31" t="s">
        <v>942</v>
      </c>
      <c r="P18" s="31" t="s">
        <v>942</v>
      </c>
      <c r="Q18" s="31" t="s">
        <v>942</v>
      </c>
      <c r="R18" s="143" t="s">
        <v>942</v>
      </c>
      <c r="S18" s="31" t="s">
        <v>942</v>
      </c>
      <c r="T18" s="143" t="s">
        <v>942</v>
      </c>
      <c r="U18" s="143" t="s">
        <v>942</v>
      </c>
      <c r="V18" s="143" t="s">
        <v>942</v>
      </c>
      <c r="W18" s="143" t="s">
        <v>942</v>
      </c>
      <c r="X18" s="31" t="s">
        <v>59</v>
      </c>
      <c r="Y18" s="143" t="s">
        <v>942</v>
      </c>
      <c r="Z18" s="143" t="s">
        <v>942</v>
      </c>
      <c r="AA18" s="143" t="s">
        <v>942</v>
      </c>
      <c r="AB18" s="143" t="s">
        <v>942</v>
      </c>
      <c r="AC18" s="143" t="s">
        <v>942</v>
      </c>
      <c r="AD18" s="218" t="s">
        <v>942</v>
      </c>
      <c r="AE18" s="143" t="s">
        <v>942</v>
      </c>
      <c r="AF18" s="143" t="s">
        <v>942</v>
      </c>
      <c r="AG18" s="143" t="s">
        <v>942</v>
      </c>
      <c r="AH18" s="143" t="s">
        <v>942</v>
      </c>
    </row>
    <row x14ac:dyDescent="0.25" r="19" customHeight="1" ht="18.75">
      <c r="A19" s="30" t="s">
        <v>60</v>
      </c>
      <c r="B19" s="177"/>
      <c r="C19" s="31">
        <v>6</v>
      </c>
      <c r="D19" s="31">
        <v>5</v>
      </c>
      <c r="E19" s="31">
        <v>5</v>
      </c>
      <c r="F19" s="31">
        <v>5</v>
      </c>
      <c r="G19" s="31">
        <v>3</v>
      </c>
      <c r="H19" s="31">
        <f>AVERAGE(3,2)</f>
      </c>
      <c r="I19" s="33">
        <v>3</v>
      </c>
      <c r="J19" s="33">
        <v>3</v>
      </c>
      <c r="K19" s="33">
        <v>2</v>
      </c>
      <c r="L19" s="33">
        <v>3</v>
      </c>
      <c r="M19" s="33">
        <v>3</v>
      </c>
      <c r="N19" s="33">
        <v>4</v>
      </c>
      <c r="O19" s="33">
        <v>4</v>
      </c>
      <c r="P19" s="33">
        <v>4</v>
      </c>
      <c r="Q19" s="33">
        <v>4</v>
      </c>
      <c r="R19" s="222">
        <v>3</v>
      </c>
      <c r="S19" s="33">
        <v>3</v>
      </c>
      <c r="T19" s="222">
        <v>3</v>
      </c>
      <c r="U19" s="222">
        <v>3</v>
      </c>
      <c r="V19" s="222">
        <v>3</v>
      </c>
      <c r="W19" s="222">
        <v>3</v>
      </c>
      <c r="X19" s="31">
        <v>6</v>
      </c>
      <c r="Y19" s="222">
        <v>3</v>
      </c>
      <c r="Z19" s="222">
        <v>3</v>
      </c>
      <c r="AA19" s="222">
        <v>3</v>
      </c>
      <c r="AB19" s="222">
        <v>3</v>
      </c>
      <c r="AC19" s="222">
        <v>3</v>
      </c>
      <c r="AD19" s="223">
        <v>3</v>
      </c>
      <c r="AE19" s="224">
        <v>3</v>
      </c>
      <c r="AF19" s="224">
        <v>3</v>
      </c>
      <c r="AG19" s="224">
        <v>3</v>
      </c>
      <c r="AH19" s="224">
        <v>3</v>
      </c>
    </row>
    <row x14ac:dyDescent="0.25" r="20" customHeight="1" ht="18.75">
      <c r="A20" s="30" t="s">
        <v>61</v>
      </c>
      <c r="B20" s="177"/>
      <c r="C20" s="31" t="s">
        <v>62</v>
      </c>
      <c r="D20" s="31" t="s">
        <v>62</v>
      </c>
      <c r="E20" s="31" t="s">
        <v>62</v>
      </c>
      <c r="F20" s="31" t="s">
        <v>62</v>
      </c>
      <c r="G20" s="31" t="s">
        <v>62</v>
      </c>
      <c r="H20" s="31" t="s">
        <v>62</v>
      </c>
      <c r="I20" s="31" t="s">
        <v>62</v>
      </c>
      <c r="J20" s="31" t="s">
        <v>62</v>
      </c>
      <c r="K20" s="31" t="s">
        <v>943</v>
      </c>
      <c r="L20" s="31" t="s">
        <v>62</v>
      </c>
      <c r="M20" s="31" t="s">
        <v>943</v>
      </c>
      <c r="N20" s="31" t="s">
        <v>62</v>
      </c>
      <c r="O20" s="31" t="s">
        <v>62</v>
      </c>
      <c r="P20" s="31" t="s">
        <v>62</v>
      </c>
      <c r="Q20" s="31" t="s">
        <v>62</v>
      </c>
      <c r="R20" s="143" t="s">
        <v>943</v>
      </c>
      <c r="S20" s="31" t="s">
        <v>62</v>
      </c>
      <c r="T20" s="143" t="s">
        <v>943</v>
      </c>
      <c r="U20" s="143" t="s">
        <v>943</v>
      </c>
      <c r="V20" s="143" t="s">
        <v>943</v>
      </c>
      <c r="W20" s="143" t="s">
        <v>943</v>
      </c>
      <c r="X20" s="31" t="s">
        <v>62</v>
      </c>
      <c r="Y20" s="143" t="s">
        <v>943</v>
      </c>
      <c r="Z20" s="143" t="s">
        <v>943</v>
      </c>
      <c r="AA20" s="143" t="s">
        <v>943</v>
      </c>
      <c r="AB20" s="143" t="s">
        <v>943</v>
      </c>
      <c r="AC20" s="143" t="s">
        <v>943</v>
      </c>
      <c r="AD20" s="143" t="s">
        <v>943</v>
      </c>
      <c r="AE20" s="146" t="s">
        <v>943</v>
      </c>
      <c r="AF20" s="146" t="s">
        <v>943</v>
      </c>
      <c r="AG20" s="146" t="s">
        <v>943</v>
      </c>
      <c r="AH20" s="146" t="s">
        <v>943</v>
      </c>
    </row>
    <row x14ac:dyDescent="0.25" r="21" customHeight="1" ht="18.75">
      <c r="A21" s="30" t="s">
        <v>63</v>
      </c>
      <c r="B21" s="177"/>
      <c r="C21" s="31">
        <v>1</v>
      </c>
      <c r="D21" s="31">
        <v>1</v>
      </c>
      <c r="E21" s="31">
        <v>0.5</v>
      </c>
      <c r="F21" s="31">
        <v>0.5</v>
      </c>
      <c r="G21" s="31">
        <v>1</v>
      </c>
      <c r="H21" s="31">
        <v>1</v>
      </c>
      <c r="I21" s="31">
        <v>1</v>
      </c>
      <c r="J21" s="31">
        <v>1</v>
      </c>
      <c r="K21" s="31">
        <v>0</v>
      </c>
      <c r="L21" s="31">
        <v>1</v>
      </c>
      <c r="M21" s="31">
        <v>0</v>
      </c>
      <c r="N21" s="31">
        <v>1</v>
      </c>
      <c r="O21" s="31">
        <v>1</v>
      </c>
      <c r="P21" s="31">
        <v>1</v>
      </c>
      <c r="Q21" s="31">
        <v>1</v>
      </c>
      <c r="R21" s="143">
        <v>0</v>
      </c>
      <c r="S21" s="31">
        <v>1</v>
      </c>
      <c r="T21" s="143">
        <v>0</v>
      </c>
      <c r="U21" s="143">
        <v>0</v>
      </c>
      <c r="V21" s="143">
        <v>0</v>
      </c>
      <c r="W21" s="143">
        <v>0</v>
      </c>
      <c r="X21" s="31">
        <v>1</v>
      </c>
      <c r="Y21" s="143">
        <v>0</v>
      </c>
      <c r="Z21" s="143">
        <v>0</v>
      </c>
      <c r="AA21" s="143">
        <v>0</v>
      </c>
      <c r="AB21" s="143">
        <v>0</v>
      </c>
      <c r="AC21" s="143">
        <v>0</v>
      </c>
      <c r="AD21" s="143">
        <v>0</v>
      </c>
      <c r="AE21" s="143">
        <v>0</v>
      </c>
      <c r="AF21" s="143">
        <v>0</v>
      </c>
      <c r="AG21" s="143">
        <v>0</v>
      </c>
      <c r="AH21" s="143">
        <v>0</v>
      </c>
    </row>
    <row x14ac:dyDescent="0.25" r="22" customHeight="1" ht="18.75">
      <c r="A22" s="4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x14ac:dyDescent="0.25" r="23" customHeight="1" ht="18.75">
      <c r="A23" s="30" t="s">
        <v>43</v>
      </c>
      <c r="B23" s="31" t="s">
        <v>401</v>
      </c>
      <c r="C23" s="31" t="s">
        <v>207</v>
      </c>
      <c r="D23" s="31" t="s">
        <v>207</v>
      </c>
      <c r="E23" s="31" t="s">
        <v>207</v>
      </c>
      <c r="F23" s="31" t="s">
        <v>207</v>
      </c>
      <c r="G23" s="31" t="s">
        <v>207</v>
      </c>
      <c r="H23" s="31" t="s">
        <v>207</v>
      </c>
      <c r="I23" s="31" t="s">
        <v>207</v>
      </c>
      <c r="J23" s="31" t="s">
        <v>207</v>
      </c>
      <c r="K23" s="31" t="s">
        <v>207</v>
      </c>
      <c r="L23" s="31" t="s">
        <v>207</v>
      </c>
      <c r="M23" s="31" t="s">
        <v>207</v>
      </c>
      <c r="N23" s="31" t="s">
        <v>207</v>
      </c>
      <c r="O23" s="31" t="s">
        <v>207</v>
      </c>
      <c r="P23" s="218" t="s">
        <v>358</v>
      </c>
      <c r="Q23" s="218" t="s">
        <v>358</v>
      </c>
      <c r="R23" s="139" t="s">
        <v>207</v>
      </c>
      <c r="S23" s="218" t="s">
        <v>358</v>
      </c>
      <c r="T23" s="31" t="s">
        <v>207</v>
      </c>
      <c r="U23" s="31" t="s">
        <v>207</v>
      </c>
      <c r="V23" s="31" t="s">
        <v>207</v>
      </c>
      <c r="W23" s="31" t="s">
        <v>207</v>
      </c>
      <c r="X23" s="114" t="s">
        <v>207</v>
      </c>
      <c r="Y23" s="31" t="s">
        <v>207</v>
      </c>
      <c r="Z23" s="31" t="s">
        <v>207</v>
      </c>
      <c r="AA23" s="31" t="s">
        <v>207</v>
      </c>
      <c r="AB23" s="31" t="s">
        <v>207</v>
      </c>
      <c r="AC23" s="31" t="s">
        <v>207</v>
      </c>
      <c r="AD23" s="31" t="s">
        <v>207</v>
      </c>
      <c r="AE23" s="31" t="s">
        <v>207</v>
      </c>
      <c r="AF23" s="31" t="s">
        <v>207</v>
      </c>
      <c r="AG23" s="31" t="s">
        <v>207</v>
      </c>
      <c r="AH23" s="114" t="s">
        <v>207</v>
      </c>
    </row>
    <row x14ac:dyDescent="0.25" r="24" customHeight="1" ht="18.75">
      <c r="A24" s="30" t="s">
        <v>45</v>
      </c>
      <c r="B24" s="33" t="s">
        <v>210</v>
      </c>
      <c r="C24" s="31" t="s">
        <v>227</v>
      </c>
      <c r="D24" s="33" t="s">
        <v>207</v>
      </c>
      <c r="E24" s="31" t="s">
        <v>232</v>
      </c>
      <c r="F24" s="31" t="s">
        <v>210</v>
      </c>
      <c r="G24" s="31" t="s">
        <v>210</v>
      </c>
      <c r="H24" s="31" t="s">
        <v>228</v>
      </c>
      <c r="I24" s="33" t="s">
        <v>207</v>
      </c>
      <c r="J24" s="31" t="s">
        <v>210</v>
      </c>
      <c r="K24" s="31" t="s">
        <v>210</v>
      </c>
      <c r="L24" s="31" t="s">
        <v>210</v>
      </c>
      <c r="M24" s="31" t="s">
        <v>210</v>
      </c>
      <c r="N24" s="31" t="s">
        <v>210</v>
      </c>
      <c r="O24" s="31" t="s">
        <v>210</v>
      </c>
      <c r="P24" s="220" t="s">
        <v>358</v>
      </c>
      <c r="Q24" s="220" t="s">
        <v>358</v>
      </c>
      <c r="R24" s="139" t="s">
        <v>212</v>
      </c>
      <c r="S24" s="220" t="s">
        <v>358</v>
      </c>
      <c r="T24" s="31" t="s">
        <v>944</v>
      </c>
      <c r="U24" s="31" t="s">
        <v>210</v>
      </c>
      <c r="V24" s="31" t="s">
        <v>227</v>
      </c>
      <c r="W24" s="31" t="s">
        <v>945</v>
      </c>
      <c r="X24" s="114" t="s">
        <v>210</v>
      </c>
      <c r="Y24" s="31" t="s">
        <v>231</v>
      </c>
      <c r="Z24" s="31" t="s">
        <v>207</v>
      </c>
      <c r="AA24" s="31" t="s">
        <v>207</v>
      </c>
      <c r="AB24" s="31" t="s">
        <v>207</v>
      </c>
      <c r="AC24" s="31" t="s">
        <v>227</v>
      </c>
      <c r="AD24" s="31" t="s">
        <v>207</v>
      </c>
      <c r="AE24" s="31" t="s">
        <v>946</v>
      </c>
      <c r="AF24" s="31" t="s">
        <v>210</v>
      </c>
      <c r="AG24" s="31" t="s">
        <v>212</v>
      </c>
      <c r="AH24" s="116" t="s">
        <v>212</v>
      </c>
    </row>
    <row x14ac:dyDescent="0.25" r="25" customHeight="1" ht="18.75">
      <c r="A25" s="35" t="s">
        <v>47</v>
      </c>
      <c r="B25" s="117">
        <v>52</v>
      </c>
      <c r="C25" s="117">
        <v>56</v>
      </c>
      <c r="D25" s="117">
        <v>50</v>
      </c>
      <c r="E25" s="117">
        <v>122</v>
      </c>
      <c r="F25" s="117">
        <v>52</v>
      </c>
      <c r="G25" s="117">
        <v>52</v>
      </c>
      <c r="H25" s="117">
        <v>68</v>
      </c>
      <c r="I25" s="117">
        <v>50</v>
      </c>
      <c r="J25" s="117">
        <v>52</v>
      </c>
      <c r="K25" s="117">
        <v>52</v>
      </c>
      <c r="L25" s="117">
        <v>52</v>
      </c>
      <c r="M25" s="117">
        <v>52</v>
      </c>
      <c r="N25" s="117">
        <v>52</v>
      </c>
      <c r="O25" s="117">
        <v>52</v>
      </c>
      <c r="P25" s="144"/>
      <c r="Q25" s="144"/>
      <c r="R25" s="167">
        <v>48</v>
      </c>
      <c r="S25" s="144"/>
      <c r="T25" s="117">
        <v>159</v>
      </c>
      <c r="U25" s="117">
        <v>52</v>
      </c>
      <c r="V25" s="117">
        <v>56</v>
      </c>
      <c r="W25" s="117">
        <v>103</v>
      </c>
      <c r="X25" s="137">
        <v>52</v>
      </c>
      <c r="Y25" s="117">
        <v>118</v>
      </c>
      <c r="Z25" s="117">
        <v>50</v>
      </c>
      <c r="AA25" s="117">
        <v>50</v>
      </c>
      <c r="AB25" s="117">
        <v>50</v>
      </c>
      <c r="AC25" s="117">
        <v>56</v>
      </c>
      <c r="AD25" s="117">
        <v>50</v>
      </c>
      <c r="AE25" s="117">
        <v>160</v>
      </c>
      <c r="AF25" s="117">
        <v>52</v>
      </c>
      <c r="AG25" s="117">
        <v>48</v>
      </c>
      <c r="AH25" s="137">
        <v>48</v>
      </c>
    </row>
    <row x14ac:dyDescent="0.25" r="26" customHeight="1" ht="18.75">
      <c r="A26" s="30" t="s">
        <v>123</v>
      </c>
      <c r="B26" s="33" t="s">
        <v>52</v>
      </c>
      <c r="C26" s="31" t="s">
        <v>52</v>
      </c>
      <c r="D26" s="31" t="s">
        <v>52</v>
      </c>
      <c r="E26" s="31" t="s">
        <v>52</v>
      </c>
      <c r="F26" s="31" t="s">
        <v>52</v>
      </c>
      <c r="G26" s="33" t="s">
        <v>52</v>
      </c>
      <c r="H26" s="33" t="s">
        <v>52</v>
      </c>
      <c r="I26" s="33" t="s">
        <v>52</v>
      </c>
      <c r="J26" s="31" t="s">
        <v>52</v>
      </c>
      <c r="K26" s="33" t="s">
        <v>52</v>
      </c>
      <c r="L26" s="33" t="s">
        <v>52</v>
      </c>
      <c r="M26" s="33" t="s">
        <v>52</v>
      </c>
      <c r="N26" s="31" t="s">
        <v>52</v>
      </c>
      <c r="O26" s="31" t="s">
        <v>52</v>
      </c>
      <c r="P26" s="143" t="s">
        <v>49</v>
      </c>
      <c r="Q26" s="143" t="s">
        <v>49</v>
      </c>
      <c r="R26" s="33" t="s">
        <v>52</v>
      </c>
      <c r="S26" s="143" t="s">
        <v>49</v>
      </c>
      <c r="T26" s="33" t="s">
        <v>52</v>
      </c>
      <c r="U26" s="33" t="s">
        <v>52</v>
      </c>
      <c r="V26" s="31" t="s">
        <v>52</v>
      </c>
      <c r="W26" s="31" t="s">
        <v>52</v>
      </c>
      <c r="X26" s="31" t="s">
        <v>52</v>
      </c>
      <c r="Y26" s="31" t="s">
        <v>52</v>
      </c>
      <c r="Z26" s="31" t="s">
        <v>52</v>
      </c>
      <c r="AA26" s="31" t="s">
        <v>52</v>
      </c>
      <c r="AB26" s="31" t="s">
        <v>52</v>
      </c>
      <c r="AC26" s="31" t="s">
        <v>52</v>
      </c>
      <c r="AD26" s="31" t="s">
        <v>52</v>
      </c>
      <c r="AE26" s="31" t="s">
        <v>52</v>
      </c>
      <c r="AF26" s="31" t="s">
        <v>52</v>
      </c>
      <c r="AG26" s="31" t="s">
        <v>52</v>
      </c>
      <c r="AH26" s="116" t="s">
        <v>52</v>
      </c>
    </row>
    <row x14ac:dyDescent="0.25" r="27" customHeight="1" ht="18.75">
      <c r="A27" s="30" t="s">
        <v>124</v>
      </c>
      <c r="B27" s="31" t="s">
        <v>49</v>
      </c>
      <c r="C27" s="31" t="s">
        <v>49</v>
      </c>
      <c r="D27" s="31" t="s">
        <v>49</v>
      </c>
      <c r="E27" s="31" t="s">
        <v>49</v>
      </c>
      <c r="F27" s="31" t="s">
        <v>49</v>
      </c>
      <c r="G27" s="31" t="s">
        <v>49</v>
      </c>
      <c r="H27" s="33" t="s">
        <v>52</v>
      </c>
      <c r="I27" s="31" t="s">
        <v>49</v>
      </c>
      <c r="J27" s="31" t="s">
        <v>49</v>
      </c>
      <c r="K27" s="31" t="s">
        <v>49</v>
      </c>
      <c r="L27" s="31" t="s">
        <v>49</v>
      </c>
      <c r="M27" s="31" t="s">
        <v>49</v>
      </c>
      <c r="N27" s="31" t="s">
        <v>49</v>
      </c>
      <c r="O27" s="31" t="s">
        <v>49</v>
      </c>
      <c r="P27" s="143" t="s">
        <v>49</v>
      </c>
      <c r="Q27" s="143" t="s">
        <v>49</v>
      </c>
      <c r="R27" s="31" t="s">
        <v>49</v>
      </c>
      <c r="S27" s="143" t="s">
        <v>49</v>
      </c>
      <c r="T27" s="31" t="s">
        <v>49</v>
      </c>
      <c r="U27" s="31" t="s">
        <v>49</v>
      </c>
      <c r="V27" s="31" t="s">
        <v>49</v>
      </c>
      <c r="W27" s="31" t="s">
        <v>49</v>
      </c>
      <c r="X27" s="33" t="s">
        <v>49</v>
      </c>
      <c r="Y27" s="33" t="s">
        <v>49</v>
      </c>
      <c r="Z27" s="31" t="s">
        <v>49</v>
      </c>
      <c r="AA27" s="31" t="s">
        <v>49</v>
      </c>
      <c r="AB27" s="31" t="s">
        <v>49</v>
      </c>
      <c r="AC27" s="31" t="s">
        <v>49</v>
      </c>
      <c r="AD27" s="31" t="s">
        <v>49</v>
      </c>
      <c r="AE27" s="31" t="s">
        <v>49</v>
      </c>
      <c r="AF27" s="31" t="s">
        <v>49</v>
      </c>
      <c r="AG27" s="31" t="s">
        <v>49</v>
      </c>
      <c r="AH27" s="114" t="s">
        <v>49</v>
      </c>
    </row>
    <row x14ac:dyDescent="0.25" r="28" customHeight="1" ht="18.75">
      <c r="A28" s="30" t="s">
        <v>125</v>
      </c>
      <c r="B28" s="31" t="s">
        <v>52</v>
      </c>
      <c r="C28" s="31" t="s">
        <v>52</v>
      </c>
      <c r="D28" s="31" t="s">
        <v>52</v>
      </c>
      <c r="E28" s="31" t="s">
        <v>52</v>
      </c>
      <c r="F28" s="31" t="s">
        <v>52</v>
      </c>
      <c r="G28" s="31" t="s">
        <v>52</v>
      </c>
      <c r="H28" s="31" t="s">
        <v>49</v>
      </c>
      <c r="I28" s="31" t="s">
        <v>52</v>
      </c>
      <c r="J28" s="31" t="s">
        <v>52</v>
      </c>
      <c r="K28" s="31" t="s">
        <v>52</v>
      </c>
      <c r="L28" s="31" t="s">
        <v>52</v>
      </c>
      <c r="M28" s="31" t="s">
        <v>52</v>
      </c>
      <c r="N28" s="31" t="s">
        <v>52</v>
      </c>
      <c r="O28" s="31" t="s">
        <v>52</v>
      </c>
      <c r="P28" s="143" t="s">
        <v>49</v>
      </c>
      <c r="Q28" s="143" t="s">
        <v>49</v>
      </c>
      <c r="R28" s="31" t="s">
        <v>52</v>
      </c>
      <c r="S28" s="143" t="s">
        <v>49</v>
      </c>
      <c r="T28" s="31" t="s">
        <v>52</v>
      </c>
      <c r="U28" s="31" t="s">
        <v>52</v>
      </c>
      <c r="V28" s="31" t="s">
        <v>52</v>
      </c>
      <c r="W28" s="31" t="s">
        <v>52</v>
      </c>
      <c r="X28" s="31" t="s">
        <v>52</v>
      </c>
      <c r="Y28" s="31" t="s">
        <v>52</v>
      </c>
      <c r="Z28" s="31" t="s">
        <v>52</v>
      </c>
      <c r="AA28" s="31" t="s">
        <v>52</v>
      </c>
      <c r="AB28" s="31" t="s">
        <v>52</v>
      </c>
      <c r="AC28" s="31" t="s">
        <v>52</v>
      </c>
      <c r="AD28" s="31" t="s">
        <v>52</v>
      </c>
      <c r="AE28" s="31" t="s">
        <v>52</v>
      </c>
      <c r="AF28" s="31" t="s">
        <v>52</v>
      </c>
      <c r="AG28" s="31" t="s">
        <v>52</v>
      </c>
      <c r="AH28" s="114" t="s">
        <v>52</v>
      </c>
    </row>
    <row x14ac:dyDescent="0.25" r="29" customHeight="1" ht="18.75">
      <c r="A29" s="30" t="s">
        <v>126</v>
      </c>
      <c r="B29" s="31" t="s">
        <v>49</v>
      </c>
      <c r="C29" s="31" t="s">
        <v>49</v>
      </c>
      <c r="D29" s="31" t="s">
        <v>49</v>
      </c>
      <c r="E29" s="31" t="s">
        <v>49</v>
      </c>
      <c r="F29" s="31" t="s">
        <v>49</v>
      </c>
      <c r="G29" s="31" t="s">
        <v>49</v>
      </c>
      <c r="H29" s="31" t="s">
        <v>49</v>
      </c>
      <c r="I29" s="31" t="s">
        <v>49</v>
      </c>
      <c r="J29" s="31" t="s">
        <v>49</v>
      </c>
      <c r="K29" s="31" t="s">
        <v>49</v>
      </c>
      <c r="L29" s="31" t="s">
        <v>49</v>
      </c>
      <c r="M29" s="31" t="s">
        <v>49</v>
      </c>
      <c r="N29" s="31" t="s">
        <v>49</v>
      </c>
      <c r="O29" s="31" t="s">
        <v>49</v>
      </c>
      <c r="P29" s="143" t="s">
        <v>49</v>
      </c>
      <c r="Q29" s="143" t="s">
        <v>49</v>
      </c>
      <c r="R29" s="31" t="s">
        <v>49</v>
      </c>
      <c r="S29" s="143" t="s">
        <v>49</v>
      </c>
      <c r="T29" s="31" t="s">
        <v>49</v>
      </c>
      <c r="U29" s="31" t="s">
        <v>49</v>
      </c>
      <c r="V29" s="31" t="s">
        <v>49</v>
      </c>
      <c r="W29" s="31" t="s">
        <v>49</v>
      </c>
      <c r="X29" s="31" t="s">
        <v>49</v>
      </c>
      <c r="Y29" s="31" t="s">
        <v>49</v>
      </c>
      <c r="Z29" s="31" t="s">
        <v>49</v>
      </c>
      <c r="AA29" s="31" t="s">
        <v>49</v>
      </c>
      <c r="AB29" s="31" t="s">
        <v>49</v>
      </c>
      <c r="AC29" s="31" t="s">
        <v>49</v>
      </c>
      <c r="AD29" s="31" t="s">
        <v>49</v>
      </c>
      <c r="AE29" s="31" t="s">
        <v>49</v>
      </c>
      <c r="AF29" s="31" t="s">
        <v>49</v>
      </c>
      <c r="AG29" s="31" t="s">
        <v>49</v>
      </c>
      <c r="AH29" s="114" t="s">
        <v>49</v>
      </c>
    </row>
    <row x14ac:dyDescent="0.25" r="30" customHeight="1" ht="18.75">
      <c r="A30" s="30" t="s">
        <v>127</v>
      </c>
      <c r="B30" s="31" t="s">
        <v>143</v>
      </c>
      <c r="C30" s="31" t="s">
        <v>133</v>
      </c>
      <c r="D30" s="31" t="s">
        <v>143</v>
      </c>
      <c r="E30" s="31" t="s">
        <v>143</v>
      </c>
      <c r="F30" s="31" t="s">
        <v>143</v>
      </c>
      <c r="G30" s="31" t="s">
        <v>143</v>
      </c>
      <c r="H30" s="31" t="s">
        <v>235</v>
      </c>
      <c r="I30" s="31" t="s">
        <v>143</v>
      </c>
      <c r="J30" s="31" t="s">
        <v>143</v>
      </c>
      <c r="K30" s="31" t="s">
        <v>143</v>
      </c>
      <c r="L30" s="31" t="s">
        <v>143</v>
      </c>
      <c r="M30" s="31" t="s">
        <v>143</v>
      </c>
      <c r="N30" s="31" t="s">
        <v>143</v>
      </c>
      <c r="O30" s="31" t="s">
        <v>143</v>
      </c>
      <c r="P30" s="143" t="s">
        <v>143</v>
      </c>
      <c r="Q30" s="143" t="s">
        <v>143</v>
      </c>
      <c r="R30" s="31" t="s">
        <v>143</v>
      </c>
      <c r="S30" s="143" t="s">
        <v>143</v>
      </c>
      <c r="T30" s="31" t="s">
        <v>143</v>
      </c>
      <c r="U30" s="31" t="s">
        <v>143</v>
      </c>
      <c r="V30" s="31" t="s">
        <v>133</v>
      </c>
      <c r="W30" s="31" t="s">
        <v>163</v>
      </c>
      <c r="X30" s="31" t="s">
        <v>143</v>
      </c>
      <c r="Y30" s="31" t="s">
        <v>143</v>
      </c>
      <c r="Z30" s="31" t="s">
        <v>143</v>
      </c>
      <c r="AA30" s="31" t="s">
        <v>143</v>
      </c>
      <c r="AB30" s="31" t="s">
        <v>143</v>
      </c>
      <c r="AC30" s="31" t="s">
        <v>133</v>
      </c>
      <c r="AD30" s="31" t="s">
        <v>143</v>
      </c>
      <c r="AE30" s="31" t="s">
        <v>163</v>
      </c>
      <c r="AF30" s="31" t="s">
        <v>143</v>
      </c>
      <c r="AG30" s="31" t="s">
        <v>143</v>
      </c>
      <c r="AH30" s="114" t="s">
        <v>143</v>
      </c>
    </row>
    <row x14ac:dyDescent="0.25" r="31" customHeight="1" ht="18.75">
      <c r="A31" s="30" t="s">
        <v>128</v>
      </c>
      <c r="B31" s="31">
        <v>0.5</v>
      </c>
      <c r="C31" s="31">
        <v>-0.5</v>
      </c>
      <c r="D31" s="31">
        <v>1</v>
      </c>
      <c r="E31" s="31">
        <f>AVERAGE(0.5,0.5,0.5,1)</f>
      </c>
      <c r="F31" s="31">
        <v>0.5</v>
      </c>
      <c r="G31" s="31">
        <v>0.5</v>
      </c>
      <c r="H31" s="31">
        <v>-6</v>
      </c>
      <c r="I31" s="31">
        <v>1</v>
      </c>
      <c r="J31" s="31">
        <v>0.5</v>
      </c>
      <c r="K31" s="31">
        <v>0.5</v>
      </c>
      <c r="L31" s="31">
        <v>0.5</v>
      </c>
      <c r="M31" s="31">
        <v>0.5</v>
      </c>
      <c r="N31" s="31">
        <v>0.5</v>
      </c>
      <c r="O31" s="31">
        <v>0.5</v>
      </c>
      <c r="P31" s="143">
        <v>0</v>
      </c>
      <c r="Q31" s="143">
        <v>0</v>
      </c>
      <c r="R31" s="31">
        <f>4/3</f>
      </c>
      <c r="S31" s="143">
        <v>0</v>
      </c>
      <c r="T31" s="31">
        <f>AVERAGE(1,1,-0.5)</f>
      </c>
      <c r="U31" s="31">
        <v>0.5</v>
      </c>
      <c r="V31" s="31">
        <v>-0.5</v>
      </c>
      <c r="W31" s="31">
        <f>AVERAGE(0.5,-0.5)</f>
      </c>
      <c r="X31" s="31">
        <v>0.5</v>
      </c>
      <c r="Y31" s="31">
        <f>AVERAGE(1,1,1,0.5)</f>
      </c>
      <c r="Z31" s="31">
        <v>1</v>
      </c>
      <c r="AA31" s="31">
        <v>1</v>
      </c>
      <c r="AB31" s="31">
        <v>1</v>
      </c>
      <c r="AC31" s="31">
        <v>-0.5</v>
      </c>
      <c r="AD31" s="31">
        <v>1</v>
      </c>
      <c r="AE31" s="31">
        <f>AVERAGE(1,-0.5)</f>
      </c>
      <c r="AF31" s="31">
        <v>0.5</v>
      </c>
      <c r="AG31" s="31">
        <f>4/3</f>
      </c>
      <c r="AH31" s="114">
        <f>4/3</f>
      </c>
    </row>
    <row x14ac:dyDescent="0.25" r="32" customHeight="1" ht="18.75">
      <c r="A32" s="30" t="s">
        <v>129</v>
      </c>
      <c r="B32" s="31" t="s">
        <v>169</v>
      </c>
      <c r="C32" s="31" t="s">
        <v>169</v>
      </c>
      <c r="D32" s="31" t="s">
        <v>169</v>
      </c>
      <c r="E32" s="31" t="s">
        <v>169</v>
      </c>
      <c r="F32" s="31" t="s">
        <v>169</v>
      </c>
      <c r="G32" s="31" t="s">
        <v>169</v>
      </c>
      <c r="H32" s="31" t="s">
        <v>169</v>
      </c>
      <c r="I32" s="31" t="s">
        <v>169</v>
      </c>
      <c r="J32" s="31" t="s">
        <v>169</v>
      </c>
      <c r="K32" s="31" t="s">
        <v>169</v>
      </c>
      <c r="L32" s="31" t="s">
        <v>169</v>
      </c>
      <c r="M32" s="31" t="s">
        <v>169</v>
      </c>
      <c r="N32" s="31" t="s">
        <v>169</v>
      </c>
      <c r="O32" s="31" t="s">
        <v>169</v>
      </c>
      <c r="P32" s="143" t="s">
        <v>358</v>
      </c>
      <c r="Q32" s="143" t="s">
        <v>358</v>
      </c>
      <c r="R32" s="31" t="s">
        <v>169</v>
      </c>
      <c r="S32" s="143" t="s">
        <v>358</v>
      </c>
      <c r="T32" s="31" t="s">
        <v>169</v>
      </c>
      <c r="U32" s="31" t="s">
        <v>169</v>
      </c>
      <c r="V32" s="31" t="s">
        <v>169</v>
      </c>
      <c r="W32" s="31" t="s">
        <v>169</v>
      </c>
      <c r="X32" s="31" t="s">
        <v>169</v>
      </c>
      <c r="Y32" s="31" t="s">
        <v>169</v>
      </c>
      <c r="Z32" s="31" t="s">
        <v>169</v>
      </c>
      <c r="AA32" s="31" t="s">
        <v>169</v>
      </c>
      <c r="AB32" s="31" t="s">
        <v>169</v>
      </c>
      <c r="AC32" s="31" t="s">
        <v>169</v>
      </c>
      <c r="AD32" s="31" t="s">
        <v>169</v>
      </c>
      <c r="AE32" s="31" t="s">
        <v>169</v>
      </c>
      <c r="AF32" s="31" t="s">
        <v>169</v>
      </c>
      <c r="AG32" s="31" t="s">
        <v>169</v>
      </c>
      <c r="AH32" s="114" t="s">
        <v>169</v>
      </c>
    </row>
    <row x14ac:dyDescent="0.25" r="33" customHeight="1" ht="18.75">
      <c r="A33" s="30" t="s">
        <v>130</v>
      </c>
      <c r="B33" s="31">
        <v>2</v>
      </c>
      <c r="C33" s="31">
        <v>2</v>
      </c>
      <c r="D33" s="31">
        <v>2</v>
      </c>
      <c r="E33" s="31">
        <v>2</v>
      </c>
      <c r="F33" s="31"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143">
        <v>0</v>
      </c>
      <c r="Q33" s="143">
        <v>0</v>
      </c>
      <c r="R33" s="31">
        <v>2</v>
      </c>
      <c r="S33" s="143">
        <v>0</v>
      </c>
      <c r="T33" s="31">
        <v>2</v>
      </c>
      <c r="U33" s="31">
        <v>2</v>
      </c>
      <c r="V33" s="31">
        <v>2</v>
      </c>
      <c r="W33" s="31">
        <v>2</v>
      </c>
      <c r="X33" s="31">
        <v>2</v>
      </c>
      <c r="Y33" s="31">
        <v>2</v>
      </c>
      <c r="Z33" s="31">
        <v>2</v>
      </c>
      <c r="AA33" s="31">
        <v>2</v>
      </c>
      <c r="AB33" s="31">
        <v>2</v>
      </c>
      <c r="AC33" s="31">
        <v>2</v>
      </c>
      <c r="AD33" s="31">
        <v>2</v>
      </c>
      <c r="AE33" s="31">
        <v>2</v>
      </c>
      <c r="AF33" s="31">
        <v>2</v>
      </c>
      <c r="AG33" s="31">
        <v>2</v>
      </c>
      <c r="AH33" s="114">
        <v>2</v>
      </c>
    </row>
    <row x14ac:dyDescent="0.25" r="34" customHeight="1" ht="18.75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x14ac:dyDescent="0.25" r="35" customHeight="1" ht="18.75">
      <c r="A35" s="30" t="s">
        <v>43</v>
      </c>
      <c r="B35" s="31" t="s">
        <v>562</v>
      </c>
      <c r="C35" s="31" t="s">
        <v>281</v>
      </c>
      <c r="D35" s="31" t="s">
        <v>281</v>
      </c>
      <c r="E35" s="31" t="s">
        <v>281</v>
      </c>
      <c r="F35" s="31" t="s">
        <v>281</v>
      </c>
      <c r="G35" s="31" t="s">
        <v>281</v>
      </c>
      <c r="H35" s="31" t="s">
        <v>281</v>
      </c>
      <c r="I35" s="31" t="s">
        <v>281</v>
      </c>
      <c r="J35" s="31" t="s">
        <v>281</v>
      </c>
      <c r="K35" s="31" t="s">
        <v>281</v>
      </c>
      <c r="L35" s="31" t="s">
        <v>281</v>
      </c>
      <c r="M35" s="31" t="s">
        <v>281</v>
      </c>
      <c r="N35" s="31" t="s">
        <v>281</v>
      </c>
      <c r="O35" s="31" t="s">
        <v>281</v>
      </c>
      <c r="P35" s="31" t="s">
        <v>281</v>
      </c>
      <c r="Q35" s="31" t="s">
        <v>281</v>
      </c>
      <c r="R35" s="31" t="s">
        <v>281</v>
      </c>
      <c r="S35" s="31" t="s">
        <v>281</v>
      </c>
      <c r="T35" s="31" t="s">
        <v>281</v>
      </c>
      <c r="U35" s="31" t="s">
        <v>281</v>
      </c>
      <c r="V35" s="31" t="s">
        <v>281</v>
      </c>
      <c r="W35" s="31" t="s">
        <v>281</v>
      </c>
      <c r="X35" s="31" t="s">
        <v>281</v>
      </c>
      <c r="Y35" s="31" t="s">
        <v>281</v>
      </c>
      <c r="Z35" s="31" t="s">
        <v>281</v>
      </c>
      <c r="AA35" s="31" t="s">
        <v>281</v>
      </c>
      <c r="AB35" s="31" t="s">
        <v>281</v>
      </c>
      <c r="AC35" s="31" t="s">
        <v>281</v>
      </c>
      <c r="AD35" s="31" t="s">
        <v>281</v>
      </c>
      <c r="AE35" s="31" t="s">
        <v>281</v>
      </c>
      <c r="AF35" s="31" t="s">
        <v>281</v>
      </c>
      <c r="AG35" s="31" t="s">
        <v>281</v>
      </c>
      <c r="AH35" s="31" t="s">
        <v>281</v>
      </c>
    </row>
    <row x14ac:dyDescent="0.25" r="36" customHeight="1" ht="18.75">
      <c r="A36" s="30" t="s">
        <v>45</v>
      </c>
      <c r="B36" s="31" t="s">
        <v>302</v>
      </c>
      <c r="C36" s="31" t="s">
        <v>302</v>
      </c>
      <c r="D36" s="31" t="s">
        <v>302</v>
      </c>
      <c r="E36" s="31" t="s">
        <v>302</v>
      </c>
      <c r="F36" s="31" t="s">
        <v>302</v>
      </c>
      <c r="G36" s="31" t="s">
        <v>302</v>
      </c>
      <c r="H36" s="31" t="s">
        <v>302</v>
      </c>
      <c r="I36" s="31" t="s">
        <v>302</v>
      </c>
      <c r="J36" s="31" t="s">
        <v>302</v>
      </c>
      <c r="K36" s="31" t="s">
        <v>302</v>
      </c>
      <c r="L36" s="31" t="s">
        <v>302</v>
      </c>
      <c r="M36" s="31" t="s">
        <v>302</v>
      </c>
      <c r="N36" s="31" t="s">
        <v>302</v>
      </c>
      <c r="O36" s="31" t="s">
        <v>302</v>
      </c>
      <c r="P36" s="31" t="s">
        <v>302</v>
      </c>
      <c r="Q36" s="31" t="s">
        <v>302</v>
      </c>
      <c r="R36" s="31" t="s">
        <v>302</v>
      </c>
      <c r="S36" s="31" t="s">
        <v>302</v>
      </c>
      <c r="T36" s="31" t="s">
        <v>302</v>
      </c>
      <c r="U36" s="31" t="s">
        <v>302</v>
      </c>
      <c r="V36" s="31" t="s">
        <v>302</v>
      </c>
      <c r="W36" s="31" t="s">
        <v>302</v>
      </c>
      <c r="X36" s="31" t="s">
        <v>302</v>
      </c>
      <c r="Y36" s="31" t="s">
        <v>302</v>
      </c>
      <c r="Z36" s="31" t="s">
        <v>302</v>
      </c>
      <c r="AA36" s="31" t="s">
        <v>302</v>
      </c>
      <c r="AB36" s="31" t="s">
        <v>302</v>
      </c>
      <c r="AC36" s="31" t="s">
        <v>302</v>
      </c>
      <c r="AD36" s="31" t="s">
        <v>302</v>
      </c>
      <c r="AE36" s="31" t="s">
        <v>302</v>
      </c>
      <c r="AF36" s="31" t="s">
        <v>302</v>
      </c>
      <c r="AG36" s="31" t="s">
        <v>302</v>
      </c>
      <c r="AH36" s="31" t="s">
        <v>302</v>
      </c>
    </row>
    <row x14ac:dyDescent="0.25" r="37" customHeight="1" ht="18.75">
      <c r="A37" s="35" t="s">
        <v>47</v>
      </c>
      <c r="B37" s="117">
        <v>19</v>
      </c>
      <c r="C37" s="117">
        <v>19</v>
      </c>
      <c r="D37" s="117">
        <v>19</v>
      </c>
      <c r="E37" s="117">
        <v>19</v>
      </c>
      <c r="F37" s="117">
        <v>19</v>
      </c>
      <c r="G37" s="117">
        <v>19</v>
      </c>
      <c r="H37" s="117">
        <v>19</v>
      </c>
      <c r="I37" s="117">
        <v>19</v>
      </c>
      <c r="J37" s="117">
        <v>19</v>
      </c>
      <c r="K37" s="117">
        <v>19</v>
      </c>
      <c r="L37" s="117">
        <v>19</v>
      </c>
      <c r="M37" s="117">
        <v>19</v>
      </c>
      <c r="N37" s="117">
        <v>19</v>
      </c>
      <c r="O37" s="117">
        <v>19</v>
      </c>
      <c r="P37" s="117">
        <v>19</v>
      </c>
      <c r="Q37" s="117">
        <v>19</v>
      </c>
      <c r="R37" s="117">
        <v>19</v>
      </c>
      <c r="S37" s="117">
        <v>19</v>
      </c>
      <c r="T37" s="117">
        <v>19</v>
      </c>
      <c r="U37" s="117">
        <v>19</v>
      </c>
      <c r="V37" s="117">
        <v>19</v>
      </c>
      <c r="W37" s="117">
        <v>19</v>
      </c>
      <c r="X37" s="117">
        <v>19</v>
      </c>
      <c r="Y37" s="117">
        <v>19</v>
      </c>
      <c r="Z37" s="117">
        <v>19</v>
      </c>
      <c r="AA37" s="117">
        <v>19</v>
      </c>
      <c r="AB37" s="117">
        <v>19</v>
      </c>
      <c r="AC37" s="117">
        <v>19</v>
      </c>
      <c r="AD37" s="117">
        <v>19</v>
      </c>
      <c r="AE37" s="117">
        <v>19</v>
      </c>
      <c r="AF37" s="117">
        <v>19</v>
      </c>
      <c r="AG37" s="117">
        <v>19</v>
      </c>
      <c r="AH37" s="117">
        <v>19</v>
      </c>
    </row>
    <row x14ac:dyDescent="0.25" r="38" customHeight="1" ht="18.75">
      <c r="A38" s="30" t="s">
        <v>123</v>
      </c>
      <c r="B38" s="33" t="s">
        <v>52</v>
      </c>
      <c r="C38" s="33" t="s">
        <v>52</v>
      </c>
      <c r="D38" s="33" t="s">
        <v>52</v>
      </c>
      <c r="E38" s="33" t="s">
        <v>52</v>
      </c>
      <c r="F38" s="33" t="s">
        <v>52</v>
      </c>
      <c r="G38" s="33" t="s">
        <v>52</v>
      </c>
      <c r="H38" s="33" t="s">
        <v>52</v>
      </c>
      <c r="I38" s="33" t="s">
        <v>52</v>
      </c>
      <c r="J38" s="33" t="s">
        <v>52</v>
      </c>
      <c r="K38" s="33" t="s">
        <v>52</v>
      </c>
      <c r="L38" s="33" t="s">
        <v>52</v>
      </c>
      <c r="M38" s="33" t="s">
        <v>52</v>
      </c>
      <c r="N38" s="33" t="s">
        <v>52</v>
      </c>
      <c r="O38" s="33" t="s">
        <v>52</v>
      </c>
      <c r="P38" s="33" t="s">
        <v>52</v>
      </c>
      <c r="Q38" s="33" t="s">
        <v>52</v>
      </c>
      <c r="R38" s="33" t="s">
        <v>52</v>
      </c>
      <c r="S38" s="33" t="s">
        <v>52</v>
      </c>
      <c r="T38" s="33" t="s">
        <v>52</v>
      </c>
      <c r="U38" s="33" t="s">
        <v>52</v>
      </c>
      <c r="V38" s="33" t="s">
        <v>52</v>
      </c>
      <c r="W38" s="33" t="s">
        <v>52</v>
      </c>
      <c r="X38" s="33" t="s">
        <v>52</v>
      </c>
      <c r="Y38" s="33" t="s">
        <v>52</v>
      </c>
      <c r="Z38" s="33" t="s">
        <v>52</v>
      </c>
      <c r="AA38" s="33" t="s">
        <v>52</v>
      </c>
      <c r="AB38" s="33" t="s">
        <v>52</v>
      </c>
      <c r="AC38" s="33" t="s">
        <v>52</v>
      </c>
      <c r="AD38" s="33" t="s">
        <v>52</v>
      </c>
      <c r="AE38" s="33" t="s">
        <v>52</v>
      </c>
      <c r="AF38" s="33" t="s">
        <v>52</v>
      </c>
      <c r="AG38" s="33" t="s">
        <v>52</v>
      </c>
      <c r="AH38" s="33" t="s">
        <v>52</v>
      </c>
    </row>
    <row x14ac:dyDescent="0.25" r="39" customHeight="1" ht="18.75">
      <c r="A39" s="30" t="s">
        <v>124</v>
      </c>
      <c r="B39" s="31" t="s">
        <v>49</v>
      </c>
      <c r="C39" s="31" t="s">
        <v>49</v>
      </c>
      <c r="D39" s="31" t="s">
        <v>49</v>
      </c>
      <c r="E39" s="31" t="s">
        <v>49</v>
      </c>
      <c r="F39" s="31" t="s">
        <v>49</v>
      </c>
      <c r="G39" s="31" t="s">
        <v>49</v>
      </c>
      <c r="H39" s="31" t="s">
        <v>49</v>
      </c>
      <c r="I39" s="31" t="s">
        <v>49</v>
      </c>
      <c r="J39" s="31" t="s">
        <v>49</v>
      </c>
      <c r="K39" s="31" t="s">
        <v>49</v>
      </c>
      <c r="L39" s="31" t="s">
        <v>49</v>
      </c>
      <c r="M39" s="31" t="s">
        <v>49</v>
      </c>
      <c r="N39" s="31" t="s">
        <v>49</v>
      </c>
      <c r="O39" s="31" t="s">
        <v>49</v>
      </c>
      <c r="P39" s="31" t="s">
        <v>49</v>
      </c>
      <c r="Q39" s="31" t="s">
        <v>49</v>
      </c>
      <c r="R39" s="31" t="s">
        <v>49</v>
      </c>
      <c r="S39" s="31" t="s">
        <v>49</v>
      </c>
      <c r="T39" s="31" t="s">
        <v>49</v>
      </c>
      <c r="U39" s="31" t="s">
        <v>49</v>
      </c>
      <c r="V39" s="31" t="s">
        <v>49</v>
      </c>
      <c r="W39" s="31" t="s">
        <v>49</v>
      </c>
      <c r="X39" s="31" t="s">
        <v>49</v>
      </c>
      <c r="Y39" s="31" t="s">
        <v>49</v>
      </c>
      <c r="Z39" s="31" t="s">
        <v>49</v>
      </c>
      <c r="AA39" s="31" t="s">
        <v>49</v>
      </c>
      <c r="AB39" s="31" t="s">
        <v>49</v>
      </c>
      <c r="AC39" s="31" t="s">
        <v>49</v>
      </c>
      <c r="AD39" s="31" t="s">
        <v>49</v>
      </c>
      <c r="AE39" s="31" t="s">
        <v>49</v>
      </c>
      <c r="AF39" s="31" t="s">
        <v>49</v>
      </c>
      <c r="AG39" s="31" t="s">
        <v>49</v>
      </c>
      <c r="AH39" s="31" t="s">
        <v>49</v>
      </c>
    </row>
    <row x14ac:dyDescent="0.25" r="40" customHeight="1" ht="18.75">
      <c r="A40" s="30" t="s">
        <v>125</v>
      </c>
      <c r="B40" s="31" t="s">
        <v>49</v>
      </c>
      <c r="C40" s="31" t="s">
        <v>49</v>
      </c>
      <c r="D40" s="31" t="s">
        <v>49</v>
      </c>
      <c r="E40" s="31" t="s">
        <v>49</v>
      </c>
      <c r="F40" s="31" t="s">
        <v>49</v>
      </c>
      <c r="G40" s="31" t="s">
        <v>49</v>
      </c>
      <c r="H40" s="31" t="s">
        <v>49</v>
      </c>
      <c r="I40" s="31" t="s">
        <v>49</v>
      </c>
      <c r="J40" s="31" t="s">
        <v>49</v>
      </c>
      <c r="K40" s="31" t="s">
        <v>49</v>
      </c>
      <c r="L40" s="31" t="s">
        <v>49</v>
      </c>
      <c r="M40" s="31" t="s">
        <v>49</v>
      </c>
      <c r="N40" s="31" t="s">
        <v>49</v>
      </c>
      <c r="O40" s="31" t="s">
        <v>49</v>
      </c>
      <c r="P40" s="31" t="s">
        <v>49</v>
      </c>
      <c r="Q40" s="31" t="s">
        <v>49</v>
      </c>
      <c r="R40" s="31" t="s">
        <v>49</v>
      </c>
      <c r="S40" s="31" t="s">
        <v>49</v>
      </c>
      <c r="T40" s="31" t="s">
        <v>49</v>
      </c>
      <c r="U40" s="31" t="s">
        <v>49</v>
      </c>
      <c r="V40" s="31" t="s">
        <v>49</v>
      </c>
      <c r="W40" s="31" t="s">
        <v>49</v>
      </c>
      <c r="X40" s="31" t="s">
        <v>49</v>
      </c>
      <c r="Y40" s="31" t="s">
        <v>49</v>
      </c>
      <c r="Z40" s="31" t="s">
        <v>49</v>
      </c>
      <c r="AA40" s="31" t="s">
        <v>49</v>
      </c>
      <c r="AB40" s="31" t="s">
        <v>49</v>
      </c>
      <c r="AC40" s="31" t="s">
        <v>49</v>
      </c>
      <c r="AD40" s="31" t="s">
        <v>49</v>
      </c>
      <c r="AE40" s="31" t="s">
        <v>49</v>
      </c>
      <c r="AF40" s="31" t="s">
        <v>49</v>
      </c>
      <c r="AG40" s="31" t="s">
        <v>49</v>
      </c>
      <c r="AH40" s="31" t="s">
        <v>49</v>
      </c>
    </row>
    <row x14ac:dyDescent="0.25" r="41" customHeight="1" ht="18.75">
      <c r="A41" s="30" t="s">
        <v>126</v>
      </c>
      <c r="B41" s="31" t="s">
        <v>49</v>
      </c>
      <c r="C41" s="31" t="s">
        <v>49</v>
      </c>
      <c r="D41" s="31" t="s">
        <v>49</v>
      </c>
      <c r="E41" s="31" t="s">
        <v>49</v>
      </c>
      <c r="F41" s="31" t="s">
        <v>49</v>
      </c>
      <c r="G41" s="31" t="s">
        <v>49</v>
      </c>
      <c r="H41" s="31" t="s">
        <v>49</v>
      </c>
      <c r="I41" s="31" t="s">
        <v>49</v>
      </c>
      <c r="J41" s="31" t="s">
        <v>49</v>
      </c>
      <c r="K41" s="31" t="s">
        <v>49</v>
      </c>
      <c r="L41" s="31" t="s">
        <v>49</v>
      </c>
      <c r="M41" s="31" t="s">
        <v>49</v>
      </c>
      <c r="N41" s="31" t="s">
        <v>49</v>
      </c>
      <c r="O41" s="31" t="s">
        <v>49</v>
      </c>
      <c r="P41" s="31" t="s">
        <v>49</v>
      </c>
      <c r="Q41" s="31" t="s">
        <v>49</v>
      </c>
      <c r="R41" s="31" t="s">
        <v>49</v>
      </c>
      <c r="S41" s="31" t="s">
        <v>49</v>
      </c>
      <c r="T41" s="31" t="s">
        <v>49</v>
      </c>
      <c r="U41" s="31" t="s">
        <v>49</v>
      </c>
      <c r="V41" s="31" t="s">
        <v>49</v>
      </c>
      <c r="W41" s="31" t="s">
        <v>49</v>
      </c>
      <c r="X41" s="31" t="s">
        <v>49</v>
      </c>
      <c r="Y41" s="31" t="s">
        <v>49</v>
      </c>
      <c r="Z41" s="31" t="s">
        <v>49</v>
      </c>
      <c r="AA41" s="31" t="s">
        <v>49</v>
      </c>
      <c r="AB41" s="31" t="s">
        <v>49</v>
      </c>
      <c r="AC41" s="31" t="s">
        <v>49</v>
      </c>
      <c r="AD41" s="31" t="s">
        <v>49</v>
      </c>
      <c r="AE41" s="31" t="s">
        <v>49</v>
      </c>
      <c r="AF41" s="31" t="s">
        <v>49</v>
      </c>
      <c r="AG41" s="31" t="s">
        <v>49</v>
      </c>
      <c r="AH41" s="31" t="s">
        <v>49</v>
      </c>
    </row>
    <row x14ac:dyDescent="0.25" r="42" customHeight="1" ht="18.75">
      <c r="A42" s="30" t="s">
        <v>127</v>
      </c>
      <c r="B42" s="31" t="s">
        <v>234</v>
      </c>
      <c r="C42" s="31" t="s">
        <v>234</v>
      </c>
      <c r="D42" s="31" t="s">
        <v>234</v>
      </c>
      <c r="E42" s="31" t="s">
        <v>234</v>
      </c>
      <c r="F42" s="31" t="s">
        <v>234</v>
      </c>
      <c r="G42" s="31" t="s">
        <v>234</v>
      </c>
      <c r="H42" s="31" t="s">
        <v>234</v>
      </c>
      <c r="I42" s="31" t="s">
        <v>234</v>
      </c>
      <c r="J42" s="31" t="s">
        <v>234</v>
      </c>
      <c r="K42" s="31" t="s">
        <v>234</v>
      </c>
      <c r="L42" s="31" t="s">
        <v>234</v>
      </c>
      <c r="M42" s="31" t="s">
        <v>234</v>
      </c>
      <c r="N42" s="31" t="s">
        <v>234</v>
      </c>
      <c r="O42" s="31" t="s">
        <v>234</v>
      </c>
      <c r="P42" s="31" t="s">
        <v>234</v>
      </c>
      <c r="Q42" s="31" t="s">
        <v>234</v>
      </c>
      <c r="R42" s="31" t="s">
        <v>234</v>
      </c>
      <c r="S42" s="31" t="s">
        <v>234</v>
      </c>
      <c r="T42" s="31" t="s">
        <v>234</v>
      </c>
      <c r="U42" s="31" t="s">
        <v>234</v>
      </c>
      <c r="V42" s="31" t="s">
        <v>234</v>
      </c>
      <c r="W42" s="31" t="s">
        <v>234</v>
      </c>
      <c r="X42" s="31" t="s">
        <v>234</v>
      </c>
      <c r="Y42" s="31" t="s">
        <v>234</v>
      </c>
      <c r="Z42" s="31" t="s">
        <v>234</v>
      </c>
      <c r="AA42" s="31" t="s">
        <v>234</v>
      </c>
      <c r="AB42" s="31" t="s">
        <v>234</v>
      </c>
      <c r="AC42" s="31" t="s">
        <v>234</v>
      </c>
      <c r="AD42" s="31" t="s">
        <v>234</v>
      </c>
      <c r="AE42" s="31" t="s">
        <v>234</v>
      </c>
      <c r="AF42" s="31" t="s">
        <v>234</v>
      </c>
      <c r="AG42" s="31" t="s">
        <v>234</v>
      </c>
      <c r="AH42" s="31" t="s">
        <v>234</v>
      </c>
    </row>
    <row x14ac:dyDescent="0.25" r="43" customHeight="1" ht="18.75">
      <c r="A43" s="30" t="s">
        <v>128</v>
      </c>
      <c r="B43" s="31">
        <v>-3</v>
      </c>
      <c r="C43" s="31">
        <v>-3</v>
      </c>
      <c r="D43" s="31">
        <v>-3</v>
      </c>
      <c r="E43" s="31">
        <v>-3</v>
      </c>
      <c r="F43" s="31">
        <v>-3</v>
      </c>
      <c r="G43" s="31">
        <v>-3</v>
      </c>
      <c r="H43" s="31">
        <v>-3</v>
      </c>
      <c r="I43" s="31">
        <v>-3</v>
      </c>
      <c r="J43" s="31">
        <v>-3</v>
      </c>
      <c r="K43" s="31">
        <v>-3</v>
      </c>
      <c r="L43" s="31">
        <v>-3</v>
      </c>
      <c r="M43" s="31">
        <v>-3</v>
      </c>
      <c r="N43" s="31">
        <v>-3</v>
      </c>
      <c r="O43" s="31">
        <v>-3</v>
      </c>
      <c r="P43" s="31">
        <v>-3</v>
      </c>
      <c r="Q43" s="31">
        <v>-3</v>
      </c>
      <c r="R43" s="31">
        <v>-3</v>
      </c>
      <c r="S43" s="31">
        <v>-3</v>
      </c>
      <c r="T43" s="31">
        <v>-3</v>
      </c>
      <c r="U43" s="31">
        <v>-3</v>
      </c>
      <c r="V43" s="31">
        <v>-3</v>
      </c>
      <c r="W43" s="31">
        <v>-3</v>
      </c>
      <c r="X43" s="31">
        <v>-3</v>
      </c>
      <c r="Y43" s="31">
        <v>-3</v>
      </c>
      <c r="Z43" s="31">
        <v>-3</v>
      </c>
      <c r="AA43" s="31">
        <v>-3</v>
      </c>
      <c r="AB43" s="31">
        <v>-3</v>
      </c>
      <c r="AC43" s="31">
        <v>-3</v>
      </c>
      <c r="AD43" s="31">
        <v>-3</v>
      </c>
      <c r="AE43" s="31">
        <v>-3</v>
      </c>
      <c r="AF43" s="31">
        <v>-3</v>
      </c>
      <c r="AG43" s="31">
        <v>-3</v>
      </c>
      <c r="AH43" s="31">
        <v>-3</v>
      </c>
    </row>
    <row x14ac:dyDescent="0.25" r="44" customHeight="1" ht="18.75">
      <c r="A44" s="30" t="s">
        <v>129</v>
      </c>
      <c r="B44" s="31" t="s">
        <v>138</v>
      </c>
      <c r="C44" s="31" t="s">
        <v>138</v>
      </c>
      <c r="D44" s="31" t="s">
        <v>138</v>
      </c>
      <c r="E44" s="31" t="s">
        <v>138</v>
      </c>
      <c r="F44" s="31" t="s">
        <v>138</v>
      </c>
      <c r="G44" s="31" t="s">
        <v>138</v>
      </c>
      <c r="H44" s="31" t="s">
        <v>138</v>
      </c>
      <c r="I44" s="31" t="s">
        <v>138</v>
      </c>
      <c r="J44" s="31" t="s">
        <v>138</v>
      </c>
      <c r="K44" s="31" t="s">
        <v>138</v>
      </c>
      <c r="L44" s="31" t="s">
        <v>138</v>
      </c>
      <c r="M44" s="31" t="s">
        <v>138</v>
      </c>
      <c r="N44" s="31" t="s">
        <v>138</v>
      </c>
      <c r="O44" s="31" t="s">
        <v>138</v>
      </c>
      <c r="P44" s="31" t="s">
        <v>138</v>
      </c>
      <c r="Q44" s="31" t="s">
        <v>138</v>
      </c>
      <c r="R44" s="31" t="s">
        <v>138</v>
      </c>
      <c r="S44" s="31" t="s">
        <v>138</v>
      </c>
      <c r="T44" s="31" t="s">
        <v>138</v>
      </c>
      <c r="U44" s="31" t="s">
        <v>138</v>
      </c>
      <c r="V44" s="31" t="s">
        <v>138</v>
      </c>
      <c r="W44" s="31" t="s">
        <v>138</v>
      </c>
      <c r="X44" s="31" t="s">
        <v>138</v>
      </c>
      <c r="Y44" s="31" t="s">
        <v>138</v>
      </c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31" t="s">
        <v>138</v>
      </c>
      <c r="AF44" s="31" t="s">
        <v>138</v>
      </c>
      <c r="AG44" s="31" t="s">
        <v>138</v>
      </c>
      <c r="AH44" s="31" t="s">
        <v>138</v>
      </c>
    </row>
    <row x14ac:dyDescent="0.25" r="45" customHeight="1" ht="18.75">
      <c r="A45" s="30" t="s">
        <v>130</v>
      </c>
      <c r="B45" s="31">
        <v>4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31">
        <v>4</v>
      </c>
      <c r="J45" s="31">
        <v>4</v>
      </c>
      <c r="K45" s="31">
        <v>4</v>
      </c>
      <c r="L45" s="31">
        <v>4</v>
      </c>
      <c r="M45" s="31">
        <v>4</v>
      </c>
      <c r="N45" s="31">
        <v>4</v>
      </c>
      <c r="O45" s="31">
        <v>4</v>
      </c>
      <c r="P45" s="31">
        <v>4</v>
      </c>
      <c r="Q45" s="31">
        <v>4</v>
      </c>
      <c r="R45" s="31">
        <v>4</v>
      </c>
      <c r="S45" s="31">
        <v>4</v>
      </c>
      <c r="T45" s="31">
        <v>4</v>
      </c>
      <c r="U45" s="31">
        <v>4</v>
      </c>
      <c r="V45" s="31">
        <v>4</v>
      </c>
      <c r="W45" s="31">
        <v>4</v>
      </c>
      <c r="X45" s="31">
        <v>4</v>
      </c>
      <c r="Y45" s="31">
        <v>4</v>
      </c>
      <c r="Z45" s="31">
        <v>4</v>
      </c>
      <c r="AA45" s="31">
        <v>4</v>
      </c>
      <c r="AB45" s="31">
        <v>4</v>
      </c>
      <c r="AC45" s="31">
        <v>4</v>
      </c>
      <c r="AD45" s="31">
        <v>4</v>
      </c>
      <c r="AE45" s="31">
        <v>4</v>
      </c>
      <c r="AF45" s="31">
        <v>4</v>
      </c>
      <c r="AG45" s="31">
        <v>4</v>
      </c>
      <c r="AH45" s="31">
        <v>4</v>
      </c>
    </row>
    <row x14ac:dyDescent="0.25" r="46" customHeight="1" ht="18.75">
      <c r="A46" s="46"/>
      <c r="B46" s="4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x14ac:dyDescent="0.25" r="47" customHeight="1" ht="18.75">
      <c r="A47" s="30" t="s">
        <v>43</v>
      </c>
      <c r="B47" s="31" t="s">
        <v>373</v>
      </c>
      <c r="C47" s="31" t="s">
        <v>180</v>
      </c>
      <c r="D47" s="31" t="s">
        <v>180</v>
      </c>
      <c r="E47" s="31" t="s">
        <v>180</v>
      </c>
      <c r="F47" s="31" t="s">
        <v>180</v>
      </c>
      <c r="G47" s="31" t="s">
        <v>180</v>
      </c>
      <c r="H47" s="31" t="s">
        <v>180</v>
      </c>
      <c r="I47" s="31" t="s">
        <v>180</v>
      </c>
      <c r="J47" s="31" t="s">
        <v>180</v>
      </c>
      <c r="K47" s="31" t="s">
        <v>180</v>
      </c>
      <c r="L47" s="31" t="s">
        <v>180</v>
      </c>
      <c r="M47" s="31" t="s">
        <v>180</v>
      </c>
      <c r="N47" s="31" t="s">
        <v>180</v>
      </c>
      <c r="O47" s="31" t="s">
        <v>180</v>
      </c>
      <c r="P47" s="31" t="s">
        <v>180</v>
      </c>
      <c r="Q47" s="31" t="s">
        <v>180</v>
      </c>
      <c r="R47" s="31" t="s">
        <v>180</v>
      </c>
      <c r="S47" s="31" t="s">
        <v>180</v>
      </c>
      <c r="T47" s="31" t="s">
        <v>180</v>
      </c>
      <c r="U47" s="31" t="s">
        <v>180</v>
      </c>
      <c r="V47" s="31" t="s">
        <v>180</v>
      </c>
      <c r="W47" s="31" t="s">
        <v>180</v>
      </c>
      <c r="X47" s="31" t="s">
        <v>180</v>
      </c>
      <c r="Y47" s="31" t="s">
        <v>180</v>
      </c>
      <c r="Z47" s="31" t="s">
        <v>180</v>
      </c>
      <c r="AA47" s="31" t="s">
        <v>180</v>
      </c>
      <c r="AB47" s="31" t="s">
        <v>180</v>
      </c>
      <c r="AC47" s="31" t="s">
        <v>180</v>
      </c>
      <c r="AD47" s="31" t="s">
        <v>180</v>
      </c>
      <c r="AE47" s="31" t="s">
        <v>180</v>
      </c>
      <c r="AF47" s="31" t="s">
        <v>180</v>
      </c>
      <c r="AG47" s="31" t="s">
        <v>180</v>
      </c>
      <c r="AH47" s="31" t="s">
        <v>180</v>
      </c>
    </row>
    <row x14ac:dyDescent="0.25" r="48" customHeight="1" ht="18.75">
      <c r="A48" s="30" t="s">
        <v>45</v>
      </c>
      <c r="B48" s="33" t="s">
        <v>374</v>
      </c>
      <c r="C48" s="33" t="s">
        <v>374</v>
      </c>
      <c r="D48" s="33" t="s">
        <v>374</v>
      </c>
      <c r="E48" s="33" t="s">
        <v>374</v>
      </c>
      <c r="F48" s="33" t="s">
        <v>374</v>
      </c>
      <c r="G48" s="33" t="s">
        <v>374</v>
      </c>
      <c r="H48" s="33" t="s">
        <v>374</v>
      </c>
      <c r="I48" s="33" t="s">
        <v>374</v>
      </c>
      <c r="J48" s="33" t="s">
        <v>374</v>
      </c>
      <c r="K48" s="33" t="s">
        <v>374</v>
      </c>
      <c r="L48" s="33" t="s">
        <v>374</v>
      </c>
      <c r="M48" s="33" t="s">
        <v>374</v>
      </c>
      <c r="N48" s="31" t="s">
        <v>947</v>
      </c>
      <c r="O48" s="33" t="s">
        <v>374</v>
      </c>
      <c r="P48" s="31" t="s">
        <v>186</v>
      </c>
      <c r="Q48" s="31" t="s">
        <v>186</v>
      </c>
      <c r="R48" s="33" t="s">
        <v>187</v>
      </c>
      <c r="S48" s="31" t="s">
        <v>947</v>
      </c>
      <c r="T48" s="33" t="s">
        <v>374</v>
      </c>
      <c r="U48" s="33" t="s">
        <v>374</v>
      </c>
      <c r="V48" s="33" t="s">
        <v>374</v>
      </c>
      <c r="W48" s="33" t="s">
        <v>374</v>
      </c>
      <c r="X48" s="33" t="s">
        <v>374</v>
      </c>
      <c r="Y48" s="33" t="s">
        <v>374</v>
      </c>
      <c r="Z48" s="33" t="s">
        <v>374</v>
      </c>
      <c r="AA48" s="33" t="s">
        <v>374</v>
      </c>
      <c r="AB48" s="33" t="s">
        <v>374</v>
      </c>
      <c r="AC48" s="33" t="s">
        <v>374</v>
      </c>
      <c r="AD48" s="33" t="s">
        <v>374</v>
      </c>
      <c r="AE48" s="33" t="s">
        <v>374</v>
      </c>
      <c r="AF48" s="33" t="s">
        <v>374</v>
      </c>
      <c r="AG48" s="31" t="s">
        <v>189</v>
      </c>
      <c r="AH48" s="31" t="s">
        <v>189</v>
      </c>
    </row>
    <row x14ac:dyDescent="0.25" r="49" customHeight="1" ht="18.75">
      <c r="A49" s="35" t="s">
        <v>47</v>
      </c>
      <c r="B49" s="117">
        <v>83</v>
      </c>
      <c r="C49" s="117">
        <v>83</v>
      </c>
      <c r="D49" s="117">
        <v>83</v>
      </c>
      <c r="E49" s="117">
        <v>83</v>
      </c>
      <c r="F49" s="117">
        <v>83</v>
      </c>
      <c r="G49" s="117">
        <v>83</v>
      </c>
      <c r="H49" s="117">
        <v>83</v>
      </c>
      <c r="I49" s="117">
        <v>83</v>
      </c>
      <c r="J49" s="117">
        <v>83</v>
      </c>
      <c r="K49" s="117">
        <v>83</v>
      </c>
      <c r="L49" s="117">
        <v>83</v>
      </c>
      <c r="M49" s="117">
        <v>83</v>
      </c>
      <c r="N49" s="117">
        <v>143</v>
      </c>
      <c r="O49" s="117">
        <v>83</v>
      </c>
      <c r="P49" s="117">
        <v>142</v>
      </c>
      <c r="Q49" s="117">
        <v>142</v>
      </c>
      <c r="R49" s="117">
        <v>81</v>
      </c>
      <c r="S49" s="117">
        <v>143</v>
      </c>
      <c r="T49" s="117">
        <v>83</v>
      </c>
      <c r="U49" s="117">
        <v>83</v>
      </c>
      <c r="V49" s="117">
        <v>83</v>
      </c>
      <c r="W49" s="117">
        <v>83</v>
      </c>
      <c r="X49" s="117">
        <v>83</v>
      </c>
      <c r="Y49" s="117">
        <v>83</v>
      </c>
      <c r="Z49" s="117">
        <v>83</v>
      </c>
      <c r="AA49" s="117">
        <v>83</v>
      </c>
      <c r="AB49" s="117">
        <v>83</v>
      </c>
      <c r="AC49" s="117">
        <v>83</v>
      </c>
      <c r="AD49" s="117">
        <v>83</v>
      </c>
      <c r="AE49" s="117">
        <v>83</v>
      </c>
      <c r="AF49" s="117">
        <v>83</v>
      </c>
      <c r="AG49" s="117">
        <v>82</v>
      </c>
      <c r="AH49" s="117">
        <v>82</v>
      </c>
    </row>
    <row x14ac:dyDescent="0.25" r="50" customHeight="1" ht="18.75">
      <c r="A50" s="30" t="s">
        <v>123</v>
      </c>
      <c r="B50" s="31" t="s">
        <v>52</v>
      </c>
      <c r="C50" s="31" t="s">
        <v>52</v>
      </c>
      <c r="D50" s="31" t="s">
        <v>52</v>
      </c>
      <c r="E50" s="31" t="s">
        <v>52</v>
      </c>
      <c r="F50" s="31" t="s">
        <v>52</v>
      </c>
      <c r="G50" s="31" t="s">
        <v>52</v>
      </c>
      <c r="H50" s="31" t="s">
        <v>52</v>
      </c>
      <c r="I50" s="31" t="s">
        <v>52</v>
      </c>
      <c r="J50" s="31" t="s">
        <v>52</v>
      </c>
      <c r="K50" s="31" t="s">
        <v>52</v>
      </c>
      <c r="L50" s="31" t="s">
        <v>52</v>
      </c>
      <c r="M50" s="31" t="s">
        <v>52</v>
      </c>
      <c r="N50" s="31" t="s">
        <v>52</v>
      </c>
      <c r="O50" s="31" t="s">
        <v>52</v>
      </c>
      <c r="P50" s="31" t="s">
        <v>52</v>
      </c>
      <c r="Q50" s="31" t="s">
        <v>52</v>
      </c>
      <c r="R50" s="31" t="s">
        <v>52</v>
      </c>
      <c r="S50" s="31" t="s">
        <v>52</v>
      </c>
      <c r="T50" s="31" t="s">
        <v>52</v>
      </c>
      <c r="U50" s="31" t="s">
        <v>52</v>
      </c>
      <c r="V50" s="31" t="s">
        <v>52</v>
      </c>
      <c r="W50" s="31" t="s">
        <v>52</v>
      </c>
      <c r="X50" s="31" t="s">
        <v>52</v>
      </c>
      <c r="Y50" s="31" t="s">
        <v>52</v>
      </c>
      <c r="Z50" s="31" t="s">
        <v>52</v>
      </c>
      <c r="AA50" s="31" t="s">
        <v>52</v>
      </c>
      <c r="AB50" s="31" t="s">
        <v>52</v>
      </c>
      <c r="AC50" s="31" t="s">
        <v>52</v>
      </c>
      <c r="AD50" s="31" t="s">
        <v>52</v>
      </c>
      <c r="AE50" s="31" t="s">
        <v>52</v>
      </c>
      <c r="AF50" s="31" t="s">
        <v>52</v>
      </c>
      <c r="AG50" s="31" t="s">
        <v>52</v>
      </c>
      <c r="AH50" s="31" t="s">
        <v>52</v>
      </c>
    </row>
    <row x14ac:dyDescent="0.25" r="51" customHeight="1" ht="18.75">
      <c r="A51" s="30" t="s">
        <v>124</v>
      </c>
      <c r="B51" s="31" t="s">
        <v>52</v>
      </c>
      <c r="C51" s="31" t="s">
        <v>52</v>
      </c>
      <c r="D51" s="31" t="s">
        <v>52</v>
      </c>
      <c r="E51" s="31" t="s">
        <v>52</v>
      </c>
      <c r="F51" s="31" t="s">
        <v>52</v>
      </c>
      <c r="G51" s="31" t="s">
        <v>52</v>
      </c>
      <c r="H51" s="31" t="s">
        <v>52</v>
      </c>
      <c r="I51" s="31" t="s">
        <v>52</v>
      </c>
      <c r="J51" s="31" t="s">
        <v>52</v>
      </c>
      <c r="K51" s="31" t="s">
        <v>52</v>
      </c>
      <c r="L51" s="31" t="s">
        <v>52</v>
      </c>
      <c r="M51" s="31" t="s">
        <v>52</v>
      </c>
      <c r="N51" s="31" t="s">
        <v>52</v>
      </c>
      <c r="O51" s="31" t="s">
        <v>52</v>
      </c>
      <c r="P51" s="31" t="s">
        <v>52</v>
      </c>
      <c r="Q51" s="31" t="s">
        <v>52</v>
      </c>
      <c r="R51" s="31" t="s">
        <v>52</v>
      </c>
      <c r="S51" s="31" t="s">
        <v>52</v>
      </c>
      <c r="T51" s="31" t="s">
        <v>52</v>
      </c>
      <c r="U51" s="31" t="s">
        <v>52</v>
      </c>
      <c r="V51" s="31" t="s">
        <v>52</v>
      </c>
      <c r="W51" s="31" t="s">
        <v>52</v>
      </c>
      <c r="X51" s="31" t="s">
        <v>52</v>
      </c>
      <c r="Y51" s="31" t="s">
        <v>52</v>
      </c>
      <c r="Z51" s="31" t="s">
        <v>52</v>
      </c>
      <c r="AA51" s="31" t="s">
        <v>52</v>
      </c>
      <c r="AB51" s="31" t="s">
        <v>52</v>
      </c>
      <c r="AC51" s="31" t="s">
        <v>52</v>
      </c>
      <c r="AD51" s="31" t="s">
        <v>52</v>
      </c>
      <c r="AE51" s="31" t="s">
        <v>52</v>
      </c>
      <c r="AF51" s="31" t="s">
        <v>52</v>
      </c>
      <c r="AG51" s="31" t="s">
        <v>52</v>
      </c>
      <c r="AH51" s="31" t="s">
        <v>52</v>
      </c>
    </row>
    <row x14ac:dyDescent="0.25" r="52" customHeight="1" ht="18.75">
      <c r="A52" s="30" t="s">
        <v>125</v>
      </c>
      <c r="B52" s="31" t="s">
        <v>49</v>
      </c>
      <c r="C52" s="31" t="s">
        <v>49</v>
      </c>
      <c r="D52" s="31" t="s">
        <v>49</v>
      </c>
      <c r="E52" s="31" t="s">
        <v>49</v>
      </c>
      <c r="F52" s="31" t="s">
        <v>49</v>
      </c>
      <c r="G52" s="31" t="s">
        <v>49</v>
      </c>
      <c r="H52" s="31" t="s">
        <v>49</v>
      </c>
      <c r="I52" s="31" t="s">
        <v>49</v>
      </c>
      <c r="J52" s="31" t="s">
        <v>49</v>
      </c>
      <c r="K52" s="31" t="s">
        <v>49</v>
      </c>
      <c r="L52" s="31" t="s">
        <v>49</v>
      </c>
      <c r="M52" s="31" t="s">
        <v>49</v>
      </c>
      <c r="N52" s="31" t="s">
        <v>49</v>
      </c>
      <c r="O52" s="31" t="s">
        <v>49</v>
      </c>
      <c r="P52" s="31" t="s">
        <v>49</v>
      </c>
      <c r="Q52" s="31" t="s">
        <v>49</v>
      </c>
      <c r="R52" s="31" t="s">
        <v>49</v>
      </c>
      <c r="S52" s="31" t="s">
        <v>49</v>
      </c>
      <c r="T52" s="31" t="s">
        <v>49</v>
      </c>
      <c r="U52" s="31" t="s">
        <v>49</v>
      </c>
      <c r="V52" s="31" t="s">
        <v>49</v>
      </c>
      <c r="W52" s="31" t="s">
        <v>49</v>
      </c>
      <c r="X52" s="31" t="s">
        <v>49</v>
      </c>
      <c r="Y52" s="31" t="s">
        <v>49</v>
      </c>
      <c r="Z52" s="31" t="s">
        <v>49</v>
      </c>
      <c r="AA52" s="31" t="s">
        <v>49</v>
      </c>
      <c r="AB52" s="31" t="s">
        <v>49</v>
      </c>
      <c r="AC52" s="31" t="s">
        <v>49</v>
      </c>
      <c r="AD52" s="31" t="s">
        <v>49</v>
      </c>
      <c r="AE52" s="31" t="s">
        <v>49</v>
      </c>
      <c r="AF52" s="31" t="s">
        <v>49</v>
      </c>
      <c r="AG52" s="31" t="s">
        <v>49</v>
      </c>
      <c r="AH52" s="31" t="s">
        <v>49</v>
      </c>
    </row>
    <row x14ac:dyDescent="0.25" r="53" customHeight="1" ht="18.75">
      <c r="A53" s="30" t="s">
        <v>126</v>
      </c>
      <c r="B53" s="31" t="s">
        <v>49</v>
      </c>
      <c r="C53" s="31" t="s">
        <v>49</v>
      </c>
      <c r="D53" s="31" t="s">
        <v>49</v>
      </c>
      <c r="E53" s="31" t="s">
        <v>49</v>
      </c>
      <c r="F53" s="31" t="s">
        <v>49</v>
      </c>
      <c r="G53" s="31" t="s">
        <v>49</v>
      </c>
      <c r="H53" s="31" t="s">
        <v>49</v>
      </c>
      <c r="I53" s="31" t="s">
        <v>49</v>
      </c>
      <c r="J53" s="31" t="s">
        <v>49</v>
      </c>
      <c r="K53" s="31" t="s">
        <v>49</v>
      </c>
      <c r="L53" s="31" t="s">
        <v>49</v>
      </c>
      <c r="M53" s="31" t="s">
        <v>49</v>
      </c>
      <c r="N53" s="31" t="s">
        <v>49</v>
      </c>
      <c r="O53" s="31" t="s">
        <v>49</v>
      </c>
      <c r="P53" s="31" t="s">
        <v>49</v>
      </c>
      <c r="Q53" s="31" t="s">
        <v>49</v>
      </c>
      <c r="R53" s="31" t="s">
        <v>49</v>
      </c>
      <c r="S53" s="31" t="s">
        <v>49</v>
      </c>
      <c r="T53" s="31" t="s">
        <v>49</v>
      </c>
      <c r="U53" s="31" t="s">
        <v>49</v>
      </c>
      <c r="V53" s="31" t="s">
        <v>49</v>
      </c>
      <c r="W53" s="31" t="s">
        <v>49</v>
      </c>
      <c r="X53" s="31" t="s">
        <v>49</v>
      </c>
      <c r="Y53" s="31" t="s">
        <v>49</v>
      </c>
      <c r="Z53" s="31" t="s">
        <v>49</v>
      </c>
      <c r="AA53" s="31" t="s">
        <v>49</v>
      </c>
      <c r="AB53" s="31" t="s">
        <v>49</v>
      </c>
      <c r="AC53" s="31" t="s">
        <v>49</v>
      </c>
      <c r="AD53" s="31" t="s">
        <v>49</v>
      </c>
      <c r="AE53" s="31" t="s">
        <v>49</v>
      </c>
      <c r="AF53" s="31" t="s">
        <v>49</v>
      </c>
      <c r="AG53" s="31" t="s">
        <v>49</v>
      </c>
      <c r="AH53" s="31" t="s">
        <v>49</v>
      </c>
    </row>
    <row x14ac:dyDescent="0.25" r="54" customHeight="1" ht="18.75">
      <c r="A54" s="30" t="s">
        <v>127</v>
      </c>
      <c r="B54" s="31" t="s">
        <v>143</v>
      </c>
      <c r="C54" s="31" t="s">
        <v>143</v>
      </c>
      <c r="D54" s="31" t="s">
        <v>143</v>
      </c>
      <c r="E54" s="31" t="s">
        <v>143</v>
      </c>
      <c r="F54" s="31" t="s">
        <v>143</v>
      </c>
      <c r="G54" s="31" t="s">
        <v>143</v>
      </c>
      <c r="H54" s="31" t="s">
        <v>143</v>
      </c>
      <c r="I54" s="31" t="s">
        <v>143</v>
      </c>
      <c r="J54" s="31" t="s">
        <v>143</v>
      </c>
      <c r="K54" s="31" t="s">
        <v>143</v>
      </c>
      <c r="L54" s="31" t="s">
        <v>143</v>
      </c>
      <c r="M54" s="31" t="s">
        <v>143</v>
      </c>
      <c r="N54" s="31" t="s">
        <v>192</v>
      </c>
      <c r="O54" s="31" t="s">
        <v>143</v>
      </c>
      <c r="P54" s="31" t="s">
        <v>193</v>
      </c>
      <c r="Q54" s="31" t="s">
        <v>193</v>
      </c>
      <c r="R54" s="31" t="s">
        <v>193</v>
      </c>
      <c r="S54" s="31" t="s">
        <v>192</v>
      </c>
      <c r="T54" s="31" t="s">
        <v>143</v>
      </c>
      <c r="U54" s="31" t="s">
        <v>143</v>
      </c>
      <c r="V54" s="31" t="s">
        <v>143</v>
      </c>
      <c r="W54" s="31" t="s">
        <v>143</v>
      </c>
      <c r="X54" s="31" t="s">
        <v>143</v>
      </c>
      <c r="Y54" s="31" t="s">
        <v>143</v>
      </c>
      <c r="Z54" s="31" t="s">
        <v>143</v>
      </c>
      <c r="AA54" s="31" t="s">
        <v>143</v>
      </c>
      <c r="AB54" s="31" t="s">
        <v>143</v>
      </c>
      <c r="AC54" s="31" t="s">
        <v>143</v>
      </c>
      <c r="AD54" s="31" t="s">
        <v>143</v>
      </c>
      <c r="AE54" s="31" t="s">
        <v>143</v>
      </c>
      <c r="AF54" s="31" t="s">
        <v>143</v>
      </c>
      <c r="AG54" s="31" t="s">
        <v>143</v>
      </c>
      <c r="AH54" s="31" t="s">
        <v>143</v>
      </c>
    </row>
    <row x14ac:dyDescent="0.25" r="55" customHeight="1" ht="18.75">
      <c r="A55" s="30" t="s">
        <v>128</v>
      </c>
      <c r="B55" s="31">
        <v>0.75</v>
      </c>
      <c r="C55" s="31">
        <v>0.75</v>
      </c>
      <c r="D55" s="31">
        <v>0.75</v>
      </c>
      <c r="E55" s="31">
        <v>0.75</v>
      </c>
      <c r="F55" s="31">
        <v>0.75</v>
      </c>
      <c r="G55" s="31">
        <v>0.75</v>
      </c>
      <c r="H55" s="31">
        <v>0.75</v>
      </c>
      <c r="I55" s="31">
        <v>0.75</v>
      </c>
      <c r="J55" s="31">
        <v>0.75</v>
      </c>
      <c r="K55" s="31">
        <v>0.75</v>
      </c>
      <c r="L55" s="31">
        <v>0.75</v>
      </c>
      <c r="M55" s="31">
        <v>0.75</v>
      </c>
      <c r="N55" s="31">
        <f>AVERAGE(0.75,0.75,-4)</f>
      </c>
      <c r="O55" s="31">
        <v>0.75</v>
      </c>
      <c r="P55" s="31">
        <v>-4</v>
      </c>
      <c r="Q55" s="31">
        <v>-4</v>
      </c>
      <c r="R55" s="31">
        <v>-4</v>
      </c>
      <c r="S55" s="31">
        <f>AVERAGE(0.75,0.75,-4)</f>
      </c>
      <c r="T55" s="31">
        <v>0.75</v>
      </c>
      <c r="U55" s="31">
        <v>0.75</v>
      </c>
      <c r="V55" s="31">
        <v>0.75</v>
      </c>
      <c r="W55" s="31">
        <v>0.75</v>
      </c>
      <c r="X55" s="31">
        <v>0.75</v>
      </c>
      <c r="Y55" s="31">
        <v>0.75</v>
      </c>
      <c r="Z55" s="31">
        <v>0.75</v>
      </c>
      <c r="AA55" s="31">
        <v>0.75</v>
      </c>
      <c r="AB55" s="31">
        <v>0.75</v>
      </c>
      <c r="AC55" s="31">
        <v>0.75</v>
      </c>
      <c r="AD55" s="31">
        <v>0.75</v>
      </c>
      <c r="AE55" s="31">
        <v>0.75</v>
      </c>
      <c r="AF55" s="31">
        <v>0.75</v>
      </c>
      <c r="AG55" s="31">
        <f>5/3</f>
      </c>
      <c r="AH55" s="31">
        <f>5/3</f>
      </c>
    </row>
    <row x14ac:dyDescent="0.25" r="56" customHeight="1" ht="18.75">
      <c r="A56" s="30" t="s">
        <v>129</v>
      </c>
      <c r="B56" s="31" t="s">
        <v>198</v>
      </c>
      <c r="C56" s="31" t="s">
        <v>198</v>
      </c>
      <c r="D56" s="31" t="s">
        <v>198</v>
      </c>
      <c r="E56" s="31" t="s">
        <v>198</v>
      </c>
      <c r="F56" s="31" t="s">
        <v>198</v>
      </c>
      <c r="G56" s="31" t="s">
        <v>198</v>
      </c>
      <c r="H56" s="31" t="s">
        <v>198</v>
      </c>
      <c r="I56" s="31" t="s">
        <v>198</v>
      </c>
      <c r="J56" s="31" t="s">
        <v>198</v>
      </c>
      <c r="K56" s="31" t="s">
        <v>198</v>
      </c>
      <c r="L56" s="31" t="s">
        <v>198</v>
      </c>
      <c r="M56" s="31" t="s">
        <v>198</v>
      </c>
      <c r="N56" s="31" t="s">
        <v>198</v>
      </c>
      <c r="O56" s="31" t="s">
        <v>198</v>
      </c>
      <c r="P56" s="31" t="s">
        <v>197</v>
      </c>
      <c r="Q56" s="31" t="s">
        <v>197</v>
      </c>
      <c r="R56" s="31" t="s">
        <v>198</v>
      </c>
      <c r="S56" s="31" t="s">
        <v>198</v>
      </c>
      <c r="T56" s="31" t="s">
        <v>198</v>
      </c>
      <c r="U56" s="31" t="s">
        <v>198</v>
      </c>
      <c r="V56" s="31" t="s">
        <v>198</v>
      </c>
      <c r="W56" s="31" t="s">
        <v>198</v>
      </c>
      <c r="X56" s="31" t="s">
        <v>198</v>
      </c>
      <c r="Y56" s="31" t="s">
        <v>198</v>
      </c>
      <c r="Z56" s="31" t="s">
        <v>198</v>
      </c>
      <c r="AA56" s="31" t="s">
        <v>198</v>
      </c>
      <c r="AB56" s="31" t="s">
        <v>198</v>
      </c>
      <c r="AC56" s="31" t="s">
        <v>198</v>
      </c>
      <c r="AD56" s="31" t="s">
        <v>198</v>
      </c>
      <c r="AE56" s="31" t="s">
        <v>198</v>
      </c>
      <c r="AF56" s="31" t="s">
        <v>198</v>
      </c>
      <c r="AG56" s="31" t="s">
        <v>198</v>
      </c>
      <c r="AH56" s="31" t="s">
        <v>198</v>
      </c>
    </row>
    <row x14ac:dyDescent="0.25" r="57" customHeight="1" ht="18.75">
      <c r="A57" s="30" t="s">
        <v>130</v>
      </c>
      <c r="B57" s="31">
        <v>1</v>
      </c>
      <c r="C57" s="31">
        <v>1</v>
      </c>
      <c r="D57" s="31">
        <v>1</v>
      </c>
      <c r="E57" s="31">
        <v>1</v>
      </c>
      <c r="F57" s="31">
        <v>1</v>
      </c>
      <c r="G57" s="31">
        <v>1</v>
      </c>
      <c r="H57" s="31">
        <v>1</v>
      </c>
      <c r="I57" s="31">
        <v>1</v>
      </c>
      <c r="J57" s="31">
        <v>1</v>
      </c>
      <c r="K57" s="31">
        <v>1</v>
      </c>
      <c r="L57" s="31">
        <v>1</v>
      </c>
      <c r="M57" s="31">
        <v>1</v>
      </c>
      <c r="N57" s="31">
        <f>AVERAGE(1,1,1.25)</f>
      </c>
      <c r="O57" s="31">
        <v>1</v>
      </c>
      <c r="P57" s="31">
        <f>AVERAGE(2,2,1.25)</f>
      </c>
      <c r="Q57" s="31">
        <f>AVERAGE(2,2,1.25)</f>
      </c>
      <c r="R57" s="31">
        <v>1.25</v>
      </c>
      <c r="S57" s="31">
        <f>AVERAGE(1,1,1.25)</f>
      </c>
      <c r="T57" s="31">
        <v>1</v>
      </c>
      <c r="U57" s="31">
        <v>1</v>
      </c>
      <c r="V57" s="31">
        <v>1</v>
      </c>
      <c r="W57" s="31">
        <v>1</v>
      </c>
      <c r="X57" s="31">
        <v>1</v>
      </c>
      <c r="Y57" s="31">
        <v>1</v>
      </c>
      <c r="Z57" s="31">
        <v>1</v>
      </c>
      <c r="AA57" s="31">
        <v>1</v>
      </c>
      <c r="AB57" s="31">
        <v>1</v>
      </c>
      <c r="AC57" s="31">
        <v>1</v>
      </c>
      <c r="AD57" s="31">
        <v>1</v>
      </c>
      <c r="AE57" s="31">
        <v>1</v>
      </c>
      <c r="AF57" s="31">
        <v>1</v>
      </c>
      <c r="AG57" s="31">
        <v>1</v>
      </c>
      <c r="AH57" s="31">
        <v>1</v>
      </c>
    </row>
    <row x14ac:dyDescent="0.25" r="58" customHeight="1" ht="18.75">
      <c r="A58" s="4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x14ac:dyDescent="0.25" r="59" customHeight="1" ht="18.75">
      <c r="A59" s="38" t="s">
        <v>64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x14ac:dyDescent="0.25" r="60" customHeight="1" ht="18.75">
      <c r="A60" s="209" t="s">
        <v>948</v>
      </c>
      <c r="B60" s="40" t="s">
        <v>949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x14ac:dyDescent="0.25" r="61" customHeight="1" ht="18.75">
      <c r="A61" s="30"/>
      <c r="B61" s="40" t="s">
        <v>950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x14ac:dyDescent="0.25" r="62" customHeight="1" ht="18.75">
      <c r="A62" s="30"/>
      <c r="B62" s="40" t="s">
        <v>951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</sheetData>
  <mergeCells count="6">
    <mergeCell ref="B3:D3"/>
    <mergeCell ref="F3:O3"/>
    <mergeCell ref="B4:D4"/>
    <mergeCell ref="F4:O5"/>
    <mergeCell ref="B5:D5"/>
    <mergeCell ref="A60:A6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</row>
    <row x14ac:dyDescent="0.25" r="3" customHeight="1" ht="18.75">
      <c r="A3" s="1" t="s">
        <v>2</v>
      </c>
      <c r="B3" s="5">
        <v>53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</row>
    <row x14ac:dyDescent="0.25" r="4" customHeight="1" ht="18.75">
      <c r="A4" s="1" t="s">
        <v>4</v>
      </c>
      <c r="B4" s="7" t="s">
        <v>921</v>
      </c>
      <c r="C4" s="7"/>
      <c r="D4" s="7"/>
      <c r="E4" s="2"/>
      <c r="F4" s="124" t="s">
        <v>922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138</v>
      </c>
      <c r="C8" s="33" t="s">
        <v>339</v>
      </c>
      <c r="D8" s="33" t="s">
        <v>339</v>
      </c>
      <c r="E8" s="33" t="s">
        <v>339</v>
      </c>
      <c r="F8" s="33" t="s">
        <v>339</v>
      </c>
      <c r="G8" s="33" t="s">
        <v>339</v>
      </c>
      <c r="H8" s="33" t="s">
        <v>339</v>
      </c>
      <c r="I8" s="33" t="s">
        <v>339</v>
      </c>
      <c r="J8" s="31" t="s">
        <v>339</v>
      </c>
      <c r="K8" s="33" t="s">
        <v>339</v>
      </c>
      <c r="L8" s="33" t="s">
        <v>339</v>
      </c>
      <c r="M8" s="33" t="s">
        <v>339</v>
      </c>
      <c r="N8" s="31" t="s">
        <v>339</v>
      </c>
      <c r="O8" s="31" t="s">
        <v>339</v>
      </c>
      <c r="P8" s="33" t="s">
        <v>482</v>
      </c>
      <c r="Q8" s="33" t="s">
        <v>482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139</v>
      </c>
      <c r="AB8" s="32"/>
      <c r="AC8" s="32"/>
      <c r="AD8" s="32"/>
      <c r="AE8" s="32"/>
      <c r="AF8" s="32"/>
      <c r="AG8" s="33" t="s">
        <v>139</v>
      </c>
      <c r="AH8" s="33" t="s">
        <v>139</v>
      </c>
    </row>
    <row x14ac:dyDescent="0.25" r="9" customHeight="1" ht="15.75">
      <c r="A9" s="30" t="s">
        <v>45</v>
      </c>
      <c r="B9" s="31" t="s">
        <v>139</v>
      </c>
      <c r="C9" s="31" t="s">
        <v>342</v>
      </c>
      <c r="D9" s="31" t="s">
        <v>339</v>
      </c>
      <c r="E9" s="31" t="s">
        <v>343</v>
      </c>
      <c r="F9" s="31" t="s">
        <v>343</v>
      </c>
      <c r="G9" s="31" t="s">
        <v>343</v>
      </c>
      <c r="H9" s="31" t="s">
        <v>343</v>
      </c>
      <c r="I9" s="31" t="s">
        <v>343</v>
      </c>
      <c r="J9" s="31" t="s">
        <v>343</v>
      </c>
      <c r="K9" s="31" t="s">
        <v>344</v>
      </c>
      <c r="L9" s="33" t="s">
        <v>345</v>
      </c>
      <c r="M9" s="31" t="s">
        <v>346</v>
      </c>
      <c r="N9" s="31" t="s">
        <v>346</v>
      </c>
      <c r="O9" s="31" t="s">
        <v>342</v>
      </c>
      <c r="P9" s="31" t="s">
        <v>482</v>
      </c>
      <c r="Q9" s="31" t="s">
        <v>482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139</v>
      </c>
      <c r="AB9" s="34"/>
      <c r="AC9" s="34"/>
      <c r="AD9" s="34"/>
      <c r="AE9" s="34"/>
      <c r="AF9" s="34"/>
      <c r="AG9" s="31" t="s">
        <v>139</v>
      </c>
      <c r="AH9" s="31" t="s">
        <v>139</v>
      </c>
    </row>
    <row x14ac:dyDescent="0.25" r="10" customHeight="1" ht="18.75">
      <c r="A10" s="35" t="s">
        <v>47</v>
      </c>
      <c r="B10" s="117">
        <v>1</v>
      </c>
      <c r="C10" s="117">
        <v>41</v>
      </c>
      <c r="D10" s="117">
        <v>2</v>
      </c>
      <c r="E10" s="117">
        <v>91</v>
      </c>
      <c r="F10" s="117">
        <v>91</v>
      </c>
      <c r="G10" s="117">
        <v>91</v>
      </c>
      <c r="H10" s="117">
        <v>91</v>
      </c>
      <c r="I10" s="117">
        <v>91</v>
      </c>
      <c r="J10" s="117">
        <v>91</v>
      </c>
      <c r="K10" s="117">
        <v>166</v>
      </c>
      <c r="L10" s="117">
        <v>164</v>
      </c>
      <c r="M10" s="117">
        <v>165</v>
      </c>
      <c r="N10" s="117">
        <v>165</v>
      </c>
      <c r="O10" s="117">
        <v>41</v>
      </c>
      <c r="P10" s="117">
        <v>43</v>
      </c>
      <c r="Q10" s="117">
        <v>43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</v>
      </c>
      <c r="AB10" s="37"/>
      <c r="AC10" s="37"/>
      <c r="AD10" s="37"/>
      <c r="AE10" s="37"/>
      <c r="AF10" s="37"/>
      <c r="AG10" s="117">
        <v>1</v>
      </c>
      <c r="AH10" s="117">
        <v>1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2.5</v>
      </c>
      <c r="Q16" s="31">
        <v>2.5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138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134</v>
      </c>
      <c r="K17" s="31" t="s">
        <v>320</v>
      </c>
      <c r="L17" s="31" t="s">
        <v>321</v>
      </c>
      <c r="M17" s="31" t="s">
        <v>322</v>
      </c>
      <c r="N17" s="31" t="s">
        <v>322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1" t="s">
        <v>138</v>
      </c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4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>
        <f>AVERAGE(2,0.5)</f>
      </c>
      <c r="L18" s="31">
        <f>AVERAGE(4,0.5)</f>
      </c>
      <c r="M18" s="31">
        <f>AVERAGE(4,2)</f>
      </c>
      <c r="N18" s="31">
        <f>AVERAGE(4,2)</f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>
        <v>4</v>
      </c>
      <c r="AH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2"/>
      <c r="AH20" s="2"/>
    </row>
    <row x14ac:dyDescent="0.25" r="21" customHeight="1" ht="18.75">
      <c r="A21" s="209" t="s">
        <v>923</v>
      </c>
      <c r="B21" s="40" t="s">
        <v>924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</row>
    <row x14ac:dyDescent="0.25" r="22" customHeight="1" ht="18.75">
      <c r="A22" s="30"/>
      <c r="B22" s="40" t="s">
        <v>925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2"/>
      <c r="AH22" s="2"/>
    </row>
    <row x14ac:dyDescent="0.25" r="23" customHeight="1" ht="18.75">
      <c r="A23" s="30"/>
      <c r="B23" s="40" t="s">
        <v>926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2"/>
      <c r="AH23" s="2"/>
    </row>
  </sheetData>
  <mergeCells count="6">
    <mergeCell ref="B3:D3"/>
    <mergeCell ref="F3:O3"/>
    <mergeCell ref="B4:D4"/>
    <mergeCell ref="F4:O5"/>
    <mergeCell ref="B5:D5"/>
    <mergeCell ref="A21:A2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54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915</v>
      </c>
      <c r="C4" s="7"/>
      <c r="D4" s="7"/>
      <c r="E4" s="2"/>
      <c r="F4" s="124" t="s">
        <v>916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140</v>
      </c>
      <c r="C8" s="31" t="s">
        <v>482</v>
      </c>
      <c r="D8" s="31" t="s">
        <v>482</v>
      </c>
      <c r="E8" s="33" t="s">
        <v>339</v>
      </c>
      <c r="F8" s="31" t="s">
        <v>339</v>
      </c>
      <c r="G8" s="31" t="s">
        <v>339</v>
      </c>
      <c r="H8" s="31" t="s">
        <v>339</v>
      </c>
      <c r="I8" s="31" t="s">
        <v>339</v>
      </c>
      <c r="J8" s="31" t="s">
        <v>339</v>
      </c>
      <c r="K8" s="31" t="s">
        <v>482</v>
      </c>
      <c r="L8" s="31" t="s">
        <v>482</v>
      </c>
      <c r="M8" s="31" t="s">
        <v>482</v>
      </c>
      <c r="N8" s="31" t="s">
        <v>482</v>
      </c>
      <c r="O8" s="31" t="s">
        <v>482</v>
      </c>
      <c r="P8" s="31" t="s">
        <v>482</v>
      </c>
      <c r="Q8" s="31" t="s">
        <v>482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482</v>
      </c>
      <c r="AB8" s="32"/>
      <c r="AC8" s="32"/>
      <c r="AD8" s="32"/>
      <c r="AE8" s="32"/>
      <c r="AF8" s="32"/>
      <c r="AG8" s="32"/>
      <c r="AH8" s="31" t="s">
        <v>917</v>
      </c>
    </row>
    <row x14ac:dyDescent="0.25" r="9" customHeight="1" ht="18.75">
      <c r="A9" s="30" t="s">
        <v>45</v>
      </c>
      <c r="B9" s="31" t="s">
        <v>346</v>
      </c>
      <c r="C9" s="31" t="s">
        <v>482</v>
      </c>
      <c r="D9" s="31" t="s">
        <v>482</v>
      </c>
      <c r="E9" s="31" t="s">
        <v>343</v>
      </c>
      <c r="F9" s="31" t="s">
        <v>343</v>
      </c>
      <c r="G9" s="31" t="s">
        <v>343</v>
      </c>
      <c r="H9" s="31" t="s">
        <v>343</v>
      </c>
      <c r="I9" s="31" t="s">
        <v>343</v>
      </c>
      <c r="J9" s="31" t="s">
        <v>343</v>
      </c>
      <c r="K9" s="31" t="s">
        <v>344</v>
      </c>
      <c r="L9" s="31" t="s">
        <v>485</v>
      </c>
      <c r="M9" s="31" t="s">
        <v>482</v>
      </c>
      <c r="N9" s="31" t="s">
        <v>346</v>
      </c>
      <c r="O9" s="31" t="s">
        <v>486</v>
      </c>
      <c r="P9" s="31" t="s">
        <v>482</v>
      </c>
      <c r="Q9" s="31" t="s">
        <v>482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482</v>
      </c>
      <c r="AB9" s="34"/>
      <c r="AC9" s="34"/>
      <c r="AD9" s="34"/>
      <c r="AE9" s="34"/>
      <c r="AF9" s="34"/>
      <c r="AG9" s="34"/>
      <c r="AH9" s="31" t="s">
        <v>918</v>
      </c>
    </row>
    <row x14ac:dyDescent="0.25" r="10" customHeight="1" ht="18.75">
      <c r="A10" s="35" t="s">
        <v>47</v>
      </c>
      <c r="B10" s="117">
        <v>165</v>
      </c>
      <c r="C10" s="117">
        <v>43</v>
      </c>
      <c r="D10" s="117">
        <v>43</v>
      </c>
      <c r="E10" s="117">
        <v>91</v>
      </c>
      <c r="F10" s="117">
        <v>91</v>
      </c>
      <c r="G10" s="117">
        <v>91</v>
      </c>
      <c r="H10" s="117">
        <v>91</v>
      </c>
      <c r="I10" s="117">
        <v>91</v>
      </c>
      <c r="J10" s="117">
        <v>91</v>
      </c>
      <c r="K10" s="117">
        <v>166</v>
      </c>
      <c r="L10" s="117">
        <v>167</v>
      </c>
      <c r="M10" s="117">
        <v>43</v>
      </c>
      <c r="N10" s="117">
        <v>165</v>
      </c>
      <c r="O10" s="117">
        <v>97</v>
      </c>
      <c r="P10" s="117">
        <v>43</v>
      </c>
      <c r="Q10" s="117">
        <v>43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43</v>
      </c>
      <c r="AB10" s="37"/>
      <c r="AC10" s="37"/>
      <c r="AD10" s="37"/>
      <c r="AE10" s="37"/>
      <c r="AF10" s="37"/>
      <c r="AG10" s="37"/>
      <c r="AH10" s="117">
        <v>138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162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162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488</v>
      </c>
      <c r="P15" s="31" t="s">
        <v>140</v>
      </c>
      <c r="Q15" s="31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2.5</v>
      </c>
      <c r="D16" s="31">
        <v>2.5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f>AVERAGE(2.5,3)</f>
      </c>
      <c r="M16" s="31">
        <v>2.5</v>
      </c>
      <c r="N16" s="31">
        <v>3</v>
      </c>
      <c r="O16" s="31">
        <v>0</v>
      </c>
      <c r="P16" s="31">
        <v>2.5</v>
      </c>
      <c r="Q16" s="31">
        <v>2.5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2.5</v>
      </c>
      <c r="AB16" s="31"/>
      <c r="AC16" s="31"/>
      <c r="AD16" s="31"/>
      <c r="AE16" s="31"/>
      <c r="AF16" s="31"/>
      <c r="AG16" s="31"/>
      <c r="AH16" s="31">
        <v>2.5</v>
      </c>
    </row>
    <row x14ac:dyDescent="0.25" r="17" customHeight="1" ht="18.75">
      <c r="A17" s="30" t="s">
        <v>129</v>
      </c>
      <c r="B17" s="31" t="s">
        <v>322</v>
      </c>
      <c r="C17" s="31" t="s">
        <v>169</v>
      </c>
      <c r="D17" s="31" t="s">
        <v>169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134</v>
      </c>
      <c r="K17" s="31" t="s">
        <v>320</v>
      </c>
      <c r="L17" s="31" t="s">
        <v>320</v>
      </c>
      <c r="M17" s="31" t="s">
        <v>169</v>
      </c>
      <c r="N17" s="31" t="s">
        <v>322</v>
      </c>
      <c r="O17" s="31" t="s">
        <v>134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169</v>
      </c>
      <c r="AB17" s="32"/>
      <c r="AC17" s="32"/>
      <c r="AD17" s="32"/>
      <c r="AE17" s="32"/>
      <c r="AF17" s="32"/>
      <c r="AG17" s="32"/>
      <c r="AH17" s="31" t="s">
        <v>919</v>
      </c>
    </row>
    <row x14ac:dyDescent="0.25" r="18" customHeight="1" ht="18.75">
      <c r="A18" s="30" t="s">
        <v>130</v>
      </c>
      <c r="B18" s="31">
        <f>AVERAGE(4,2)</f>
      </c>
      <c r="C18" s="31">
        <v>2</v>
      </c>
      <c r="D18" s="31">
        <v>2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>
        <f>AVERAGE(2,0.5)</f>
      </c>
      <c r="L18" s="31">
        <f>AVERAGE(2,0.5)</f>
      </c>
      <c r="M18" s="31">
        <v>2</v>
      </c>
      <c r="N18" s="31">
        <f>AVERAGE(4,2)</f>
      </c>
      <c r="O18" s="31">
        <f>1/3</f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2</v>
      </c>
      <c r="AB18" s="31"/>
      <c r="AC18" s="31"/>
      <c r="AD18" s="31"/>
      <c r="AE18" s="31"/>
      <c r="AF18" s="31"/>
      <c r="AG18" s="31"/>
      <c r="AH18" s="31">
        <f>AVERAGE(2,0)</f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920</v>
      </c>
      <c r="B21" s="40" t="s">
        <v>778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4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4" width="13.576428571428572" customWidth="1" bestFit="1"/>
    <col min="39" max="39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  <c r="AI1" s="3"/>
      <c r="AJ1" s="2"/>
      <c r="AK1" s="2"/>
      <c r="AL1" s="3"/>
      <c r="AM1" s="2"/>
    </row>
    <row x14ac:dyDescent="0.25" r="2" customHeight="1" ht="18.75">
      <c r="A2" s="123"/>
      <c r="B2" s="2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  <c r="AI2" s="3"/>
      <c r="AJ2" s="2"/>
      <c r="AK2" s="2"/>
      <c r="AL2" s="3"/>
      <c r="AM2" s="2"/>
    </row>
    <row x14ac:dyDescent="0.25" r="3" customHeight="1" ht="18.75">
      <c r="A3" s="1" t="s">
        <v>2</v>
      </c>
      <c r="B3" s="5">
        <v>55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  <c r="AI3" s="3"/>
      <c r="AJ3" s="2"/>
      <c r="AK3" s="2"/>
      <c r="AL3" s="3"/>
      <c r="AM3" s="2"/>
    </row>
    <row x14ac:dyDescent="0.25" r="4" customHeight="1" ht="18.75">
      <c r="A4" s="1" t="s">
        <v>4</v>
      </c>
      <c r="B4" s="7" t="s">
        <v>898</v>
      </c>
      <c r="C4" s="7"/>
      <c r="D4" s="7"/>
      <c r="E4" s="2"/>
      <c r="F4" s="124" t="s">
        <v>903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  <c r="AI4" s="3"/>
      <c r="AJ4" s="2"/>
      <c r="AK4" s="2"/>
      <c r="AL4" s="3"/>
      <c r="AM4" s="2"/>
    </row>
    <row x14ac:dyDescent="0.25" r="5" customHeight="1" ht="18.75">
      <c r="A5" s="1" t="s">
        <v>7</v>
      </c>
      <c r="B5" s="7" t="s">
        <v>219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  <c r="AI5" s="3"/>
      <c r="AJ5" s="2"/>
      <c r="AK5" s="2"/>
      <c r="AL5" s="3"/>
      <c r="AM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  <c r="AL6" s="3"/>
      <c r="AM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56" t="s">
        <v>41</v>
      </c>
      <c r="AH7" s="56" t="s">
        <v>42</v>
      </c>
      <c r="AI7" s="3"/>
      <c r="AJ7" s="56" t="s">
        <v>41</v>
      </c>
      <c r="AK7" s="56" t="s">
        <v>42</v>
      </c>
      <c r="AL7" s="3"/>
      <c r="AM7" s="99" t="s">
        <v>12</v>
      </c>
    </row>
    <row x14ac:dyDescent="0.25" r="8" customHeight="1" ht="18.75">
      <c r="A8" s="30" t="s">
        <v>43</v>
      </c>
      <c r="B8" s="31" t="s">
        <v>141</v>
      </c>
      <c r="C8" s="31" t="s">
        <v>312</v>
      </c>
      <c r="D8" s="31" t="s">
        <v>312</v>
      </c>
      <c r="E8" s="31" t="s">
        <v>312</v>
      </c>
      <c r="F8" s="31" t="s">
        <v>312</v>
      </c>
      <c r="G8" s="31" t="s">
        <v>312</v>
      </c>
      <c r="H8" s="31" t="s">
        <v>312</v>
      </c>
      <c r="I8" s="31" t="s">
        <v>312</v>
      </c>
      <c r="J8" s="31" t="s">
        <v>312</v>
      </c>
      <c r="K8" s="31" t="s">
        <v>312</v>
      </c>
      <c r="L8" s="31" t="s">
        <v>312</v>
      </c>
      <c r="M8" s="31" t="s">
        <v>312</v>
      </c>
      <c r="N8" s="31" t="s">
        <v>312</v>
      </c>
      <c r="O8" s="31" t="s">
        <v>312</v>
      </c>
      <c r="P8" s="146" t="s">
        <v>358</v>
      </c>
      <c r="Q8" s="146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327</v>
      </c>
      <c r="AB8" s="32"/>
      <c r="AC8" s="32"/>
      <c r="AD8" s="32"/>
      <c r="AE8" s="32"/>
      <c r="AF8" s="32"/>
      <c r="AG8" s="31" t="s">
        <v>327</v>
      </c>
      <c r="AH8" s="31" t="s">
        <v>327</v>
      </c>
      <c r="AI8" s="3"/>
      <c r="AJ8" s="31" t="s">
        <v>329</v>
      </c>
      <c r="AK8" s="31" t="s">
        <v>329</v>
      </c>
      <c r="AL8" s="3"/>
      <c r="AM8" s="33" t="s">
        <v>312</v>
      </c>
    </row>
    <row x14ac:dyDescent="0.25" r="9" customHeight="1" ht="15.75">
      <c r="A9" s="30" t="s">
        <v>45</v>
      </c>
      <c r="B9" s="31" t="s">
        <v>142</v>
      </c>
      <c r="C9" s="31" t="s">
        <v>314</v>
      </c>
      <c r="D9" s="31" t="s">
        <v>315</v>
      </c>
      <c r="E9" s="31" t="s">
        <v>316</v>
      </c>
      <c r="F9" s="31" t="s">
        <v>316</v>
      </c>
      <c r="G9" s="31" t="s">
        <v>316</v>
      </c>
      <c r="H9" s="31" t="s">
        <v>316</v>
      </c>
      <c r="I9" s="31" t="s">
        <v>316</v>
      </c>
      <c r="J9" s="31" t="s">
        <v>317</v>
      </c>
      <c r="K9" s="31" t="s">
        <v>317</v>
      </c>
      <c r="L9" s="31" t="s">
        <v>318</v>
      </c>
      <c r="M9" s="31" t="s">
        <v>319</v>
      </c>
      <c r="N9" s="31" t="s">
        <v>319</v>
      </c>
      <c r="O9" s="139" t="s">
        <v>314</v>
      </c>
      <c r="P9" s="146" t="s">
        <v>358</v>
      </c>
      <c r="Q9" s="146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142</v>
      </c>
      <c r="AB9" s="34"/>
      <c r="AC9" s="34"/>
      <c r="AD9" s="34"/>
      <c r="AE9" s="34"/>
      <c r="AF9" s="34"/>
      <c r="AG9" s="31" t="s">
        <v>142</v>
      </c>
      <c r="AH9" s="31" t="s">
        <v>142</v>
      </c>
      <c r="AI9" s="3"/>
      <c r="AJ9" s="31" t="s">
        <v>293</v>
      </c>
      <c r="AK9" s="31" t="s">
        <v>293</v>
      </c>
      <c r="AL9" s="3"/>
      <c r="AM9" s="31" t="s">
        <v>272</v>
      </c>
    </row>
    <row x14ac:dyDescent="0.25" r="10" customHeight="1" ht="18.75">
      <c r="A10" s="35" t="s">
        <v>47</v>
      </c>
      <c r="B10" s="117">
        <v>5</v>
      </c>
      <c r="C10" s="117">
        <v>45</v>
      </c>
      <c r="D10" s="117">
        <v>6</v>
      </c>
      <c r="E10" s="117">
        <v>92</v>
      </c>
      <c r="F10" s="117">
        <v>92</v>
      </c>
      <c r="G10" s="117">
        <v>92</v>
      </c>
      <c r="H10" s="117">
        <v>92</v>
      </c>
      <c r="I10" s="117">
        <v>92</v>
      </c>
      <c r="J10" s="117">
        <v>170</v>
      </c>
      <c r="K10" s="117">
        <v>170</v>
      </c>
      <c r="L10" s="117">
        <v>168</v>
      </c>
      <c r="M10" s="117">
        <v>169</v>
      </c>
      <c r="N10" s="117">
        <v>169</v>
      </c>
      <c r="O10" s="117">
        <v>45</v>
      </c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5</v>
      </c>
      <c r="AB10" s="37"/>
      <c r="AC10" s="37"/>
      <c r="AD10" s="37"/>
      <c r="AE10" s="37"/>
      <c r="AF10" s="37"/>
      <c r="AG10" s="117">
        <v>5</v>
      </c>
      <c r="AH10" s="117">
        <v>5</v>
      </c>
      <c r="AI10" s="3"/>
      <c r="AJ10" s="117">
        <v>26</v>
      </c>
      <c r="AK10" s="117">
        <v>26</v>
      </c>
      <c r="AL10" s="3"/>
      <c r="AM10" s="117">
        <v>35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140" t="s">
        <v>52</v>
      </c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1" t="s">
        <v>52</v>
      </c>
      <c r="AH11" s="31" t="s">
        <v>52</v>
      </c>
      <c r="AI11" s="3"/>
      <c r="AJ11" s="31" t="s">
        <v>52</v>
      </c>
      <c r="AK11" s="31" t="s">
        <v>52</v>
      </c>
      <c r="AL11" s="3"/>
      <c r="AM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139" t="s">
        <v>52</v>
      </c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1" t="s">
        <v>49</v>
      </c>
      <c r="AH12" s="31" t="s">
        <v>49</v>
      </c>
      <c r="AI12" s="3"/>
      <c r="AJ12" s="31" t="s">
        <v>49</v>
      </c>
      <c r="AK12" s="31" t="s">
        <v>49</v>
      </c>
      <c r="AL12" s="3"/>
      <c r="AM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139" t="s">
        <v>49</v>
      </c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1" t="s">
        <v>49</v>
      </c>
      <c r="AH13" s="31" t="s">
        <v>49</v>
      </c>
      <c r="AI13" s="3"/>
      <c r="AJ13" s="31" t="s">
        <v>52</v>
      </c>
      <c r="AK13" s="31" t="s">
        <v>52</v>
      </c>
      <c r="AL13" s="3"/>
      <c r="AM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139" t="s">
        <v>49</v>
      </c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"/>
      <c r="AM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139" t="s">
        <v>143</v>
      </c>
      <c r="P15" s="143" t="s">
        <v>143</v>
      </c>
      <c r="Q15" s="143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1" t="s">
        <v>143</v>
      </c>
      <c r="AH15" s="31" t="s">
        <v>143</v>
      </c>
      <c r="AI15" s="3"/>
      <c r="AJ15" s="31" t="s">
        <v>143</v>
      </c>
      <c r="AK15" s="31" t="s">
        <v>143</v>
      </c>
      <c r="AL15" s="3"/>
      <c r="AM15" s="31" t="s">
        <v>133</v>
      </c>
    </row>
    <row x14ac:dyDescent="0.25" r="16" customHeight="1" ht="18.75">
      <c r="A16" s="30" t="s">
        <v>128</v>
      </c>
      <c r="B16" s="31">
        <f>5/3</f>
      </c>
      <c r="C16" s="31">
        <v>2</v>
      </c>
      <c r="D16" s="31">
        <f>5/3</f>
      </c>
      <c r="E16" s="31">
        <f>11/6</f>
      </c>
      <c r="F16" s="31">
        <f>11/6</f>
      </c>
      <c r="G16" s="31">
        <f>11/6</f>
      </c>
      <c r="H16" s="31">
        <f>11/6</f>
      </c>
      <c r="I16" s="31">
        <f>11/6</f>
      </c>
      <c r="J16" s="31">
        <f>AVERAGE(2,11/6)</f>
      </c>
      <c r="K16" s="31">
        <f>AVERAGE(2,11/6)</f>
      </c>
      <c r="L16" s="31">
        <f>AVERAGE(5/3,11/6)</f>
      </c>
      <c r="M16" s="31">
        <f>AVERAGE(5/3,2)</f>
      </c>
      <c r="N16" s="31">
        <f>AVERAGE(5/3,2)</f>
      </c>
      <c r="O16" s="139">
        <v>2</v>
      </c>
      <c r="P16" s="143">
        <f>11/6</f>
      </c>
      <c r="Q16" s="143">
        <f>11/6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5/3</f>
      </c>
      <c r="AB16" s="31"/>
      <c r="AC16" s="31"/>
      <c r="AD16" s="31"/>
      <c r="AE16" s="31"/>
      <c r="AF16" s="31"/>
      <c r="AG16" s="31">
        <f>5/3</f>
      </c>
      <c r="AH16" s="31">
        <f>5/3</f>
      </c>
      <c r="AI16" s="3"/>
      <c r="AJ16" s="31">
        <f>4/3</f>
      </c>
      <c r="AK16" s="31">
        <f>4/3</f>
      </c>
      <c r="AL16" s="3"/>
      <c r="AM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138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1" t="s">
        <v>322</v>
      </c>
      <c r="O17" s="139" t="s">
        <v>169</v>
      </c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1" t="s">
        <v>138</v>
      </c>
      <c r="AH17" s="31" t="s">
        <v>138</v>
      </c>
      <c r="AI17" s="3"/>
      <c r="AJ17" s="31" t="s">
        <v>274</v>
      </c>
      <c r="AK17" s="31" t="s">
        <v>274</v>
      </c>
      <c r="AL17" s="3"/>
      <c r="AM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4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>
        <f>AVERAGE(4,2)</f>
      </c>
      <c r="O18" s="139">
        <v>2</v>
      </c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>
        <v>4</v>
      </c>
      <c r="AH18" s="31">
        <v>4</v>
      </c>
      <c r="AI18" s="3"/>
      <c r="AJ18" s="31">
        <v>3</v>
      </c>
      <c r="AK18" s="31">
        <v>3</v>
      </c>
      <c r="AL18" s="3"/>
      <c r="AM18" s="31">
        <v>3</v>
      </c>
    </row>
    <row x14ac:dyDescent="0.25" r="19" customHeight="1" ht="15.75">
      <c r="A19" s="46"/>
      <c r="B19" s="2"/>
      <c r="C19" s="2"/>
      <c r="D19" s="138" t="s">
        <v>904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138" t="s">
        <v>905</v>
      </c>
      <c r="AH19" s="138"/>
      <c r="AI19" s="3"/>
      <c r="AJ19" s="138" t="s">
        <v>906</v>
      </c>
      <c r="AK19" s="138"/>
      <c r="AL19" s="3"/>
      <c r="AM19" s="138" t="s">
        <v>907</v>
      </c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2"/>
      <c r="AH20" s="2"/>
      <c r="AI20" s="3"/>
      <c r="AJ20" s="2"/>
      <c r="AK20" s="2"/>
      <c r="AL20" s="3"/>
      <c r="AM20" s="2"/>
    </row>
    <row x14ac:dyDescent="0.25" r="21" customHeight="1" ht="18.75">
      <c r="A21" s="213" t="s">
        <v>908</v>
      </c>
      <c r="B21" s="214" t="s">
        <v>901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  <c r="AI21" s="3"/>
      <c r="AJ21" s="2"/>
      <c r="AK21" s="2"/>
      <c r="AL21" s="3"/>
      <c r="AM21" s="2"/>
    </row>
    <row x14ac:dyDescent="0.25" r="22" customHeight="1" ht="18.75">
      <c r="A22" s="122"/>
      <c r="B22" s="214" t="s">
        <v>902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2"/>
      <c r="AH22" s="2"/>
      <c r="AI22" s="3"/>
      <c r="AJ22" s="2"/>
      <c r="AK22" s="2"/>
      <c r="AL22" s="3"/>
      <c r="AM22" s="2"/>
    </row>
    <row x14ac:dyDescent="0.25" r="23" customHeight="1" ht="18.75">
      <c r="A23" s="122"/>
      <c r="B23" s="214" t="s">
        <v>861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2"/>
      <c r="AH23" s="2"/>
      <c r="AI23" s="3"/>
      <c r="AJ23" s="2"/>
      <c r="AK23" s="2"/>
      <c r="AL23" s="3"/>
      <c r="AM23" s="2"/>
    </row>
    <row x14ac:dyDescent="0.25" r="24" customHeight="1" ht="18.75">
      <c r="A24" s="207" t="s">
        <v>909</v>
      </c>
      <c r="B24" s="214" t="s">
        <v>901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3"/>
      <c r="T24" s="3"/>
      <c r="U24" s="3"/>
      <c r="V24" s="3"/>
      <c r="W24" s="3"/>
      <c r="X24" s="3"/>
      <c r="Y24" s="3"/>
      <c r="Z24" s="3"/>
      <c r="AA24" s="2"/>
      <c r="AB24" s="3"/>
      <c r="AC24" s="3"/>
      <c r="AD24" s="3"/>
      <c r="AE24" s="3"/>
      <c r="AF24" s="3"/>
      <c r="AG24" s="2"/>
      <c r="AH24" s="2"/>
      <c r="AI24" s="3"/>
      <c r="AJ24" s="2"/>
      <c r="AK24" s="2"/>
      <c r="AL24" s="3"/>
      <c r="AM24" s="2"/>
    </row>
    <row x14ac:dyDescent="0.25" r="25" customHeight="1" ht="18.75">
      <c r="A25" s="123"/>
      <c r="B25" s="214" t="s">
        <v>910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2"/>
      <c r="AB25" s="3"/>
      <c r="AC25" s="3"/>
      <c r="AD25" s="3"/>
      <c r="AE25" s="3"/>
      <c r="AF25" s="3"/>
      <c r="AG25" s="2"/>
      <c r="AH25" s="2"/>
      <c r="AI25" s="3"/>
      <c r="AJ25" s="2"/>
      <c r="AK25" s="2"/>
      <c r="AL25" s="3"/>
      <c r="AM25" s="2"/>
    </row>
    <row x14ac:dyDescent="0.25" r="26" customHeight="1" ht="18.75">
      <c r="A26" s="123"/>
      <c r="B26" s="214" t="s">
        <v>861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2"/>
      <c r="AB26" s="3"/>
      <c r="AC26" s="3"/>
      <c r="AD26" s="3"/>
      <c r="AE26" s="3"/>
      <c r="AF26" s="3"/>
      <c r="AG26" s="2"/>
      <c r="AH26" s="2"/>
      <c r="AI26" s="3"/>
      <c r="AJ26" s="2"/>
      <c r="AK26" s="2"/>
      <c r="AL26" s="3"/>
      <c r="AM26" s="2"/>
    </row>
    <row x14ac:dyDescent="0.25" r="27" customHeight="1" ht="18.75">
      <c r="A27" s="123"/>
      <c r="B27" s="214" t="s">
        <v>911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2"/>
      <c r="AB27" s="3"/>
      <c r="AC27" s="3"/>
      <c r="AD27" s="3"/>
      <c r="AE27" s="3"/>
      <c r="AF27" s="3"/>
      <c r="AG27" s="2"/>
      <c r="AH27" s="2"/>
      <c r="AI27" s="3"/>
      <c r="AJ27" s="2"/>
      <c r="AK27" s="2"/>
      <c r="AL27" s="3"/>
      <c r="AM27" s="2"/>
    </row>
    <row x14ac:dyDescent="0.25" r="28" customHeight="1" ht="18.75">
      <c r="A28" s="207" t="s">
        <v>912</v>
      </c>
      <c r="B28" s="214" t="s">
        <v>913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2"/>
      <c r="AB28" s="3"/>
      <c r="AC28" s="3"/>
      <c r="AD28" s="3"/>
      <c r="AE28" s="3"/>
      <c r="AF28" s="3"/>
      <c r="AG28" s="2"/>
      <c r="AH28" s="2"/>
      <c r="AI28" s="3"/>
      <c r="AJ28" s="2"/>
      <c r="AK28" s="2"/>
      <c r="AL28" s="3"/>
      <c r="AM28" s="2"/>
    </row>
    <row x14ac:dyDescent="0.25" r="29" customHeight="1" ht="18.75">
      <c r="A29" s="123"/>
      <c r="B29" s="214" t="s">
        <v>910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2"/>
      <c r="AB29" s="3"/>
      <c r="AC29" s="3"/>
      <c r="AD29" s="3"/>
      <c r="AE29" s="3"/>
      <c r="AF29" s="3"/>
      <c r="AG29" s="2"/>
      <c r="AH29" s="2"/>
      <c r="AI29" s="3"/>
      <c r="AJ29" s="2"/>
      <c r="AK29" s="2"/>
      <c r="AL29" s="3"/>
      <c r="AM29" s="2"/>
    </row>
    <row x14ac:dyDescent="0.25" r="30" customHeight="1" ht="18.75">
      <c r="A30" s="123"/>
      <c r="B30" s="214" t="s">
        <v>861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  <c r="Z30" s="3"/>
      <c r="AA30" s="2"/>
      <c r="AB30" s="3"/>
      <c r="AC30" s="3"/>
      <c r="AD30" s="3"/>
      <c r="AE30" s="3"/>
      <c r="AF30" s="3"/>
      <c r="AG30" s="2"/>
      <c r="AH30" s="2"/>
      <c r="AI30" s="3"/>
      <c r="AJ30" s="2"/>
      <c r="AK30" s="2"/>
      <c r="AL30" s="3"/>
      <c r="AM30" s="2"/>
    </row>
    <row x14ac:dyDescent="0.25" r="31" customHeight="1" ht="18.75">
      <c r="A31" s="123"/>
      <c r="B31" s="214" t="s">
        <v>914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3"/>
      <c r="AD31" s="3"/>
      <c r="AE31" s="3"/>
      <c r="AF31" s="3"/>
      <c r="AG31" s="2"/>
      <c r="AH31" s="2"/>
      <c r="AI31" s="3"/>
      <c r="AJ31" s="2"/>
      <c r="AK31" s="2"/>
      <c r="AL31" s="3"/>
      <c r="AM31" s="2"/>
    </row>
    <row x14ac:dyDescent="0.25" r="32" customHeight="1" ht="18.75">
      <c r="A32" s="123"/>
      <c r="B32" s="214" t="s">
        <v>911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2"/>
      <c r="AH32" s="2"/>
      <c r="AI32" s="3"/>
      <c r="AJ32" s="2"/>
      <c r="AK32" s="2"/>
      <c r="AL32" s="3"/>
      <c r="AM32" s="2"/>
    </row>
    <row x14ac:dyDescent="0.25" r="33" customHeight="1" ht="18.75">
      <c r="A33" s="123"/>
      <c r="B33" s="2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2"/>
      <c r="AH33" s="2"/>
      <c r="AI33" s="3"/>
      <c r="AJ33" s="2"/>
      <c r="AK33" s="2"/>
      <c r="AL33" s="3"/>
      <c r="AM33" s="2"/>
    </row>
    <row x14ac:dyDescent="0.25" r="34" customHeight="1" ht="55.5">
      <c r="A34" s="215" t="s">
        <v>896</v>
      </c>
      <c r="B34" s="216" t="s">
        <v>897</v>
      </c>
      <c r="C34" s="216"/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2"/>
      <c r="AH34" s="2"/>
      <c r="AI34" s="3"/>
      <c r="AJ34" s="2"/>
      <c r="AK34" s="2"/>
      <c r="AL34" s="3"/>
      <c r="AM34" s="2"/>
    </row>
  </sheetData>
  <mergeCells count="11">
    <mergeCell ref="B3:D3"/>
    <mergeCell ref="F3:O3"/>
    <mergeCell ref="B4:D4"/>
    <mergeCell ref="F4:O5"/>
    <mergeCell ref="B5:D5"/>
    <mergeCell ref="AG19:AH19"/>
    <mergeCell ref="AJ19:AK19"/>
    <mergeCell ref="A21:A23"/>
    <mergeCell ref="A24:A27"/>
    <mergeCell ref="A28:A32"/>
    <mergeCell ref="B34:O3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56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898</v>
      </c>
      <c r="C4" s="7"/>
      <c r="D4" s="7"/>
      <c r="E4" s="2"/>
      <c r="F4" s="124" t="s">
        <v>899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204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139" t="s">
        <v>141</v>
      </c>
      <c r="C8" s="33" t="s">
        <v>312</v>
      </c>
      <c r="D8" s="33" t="s">
        <v>312</v>
      </c>
      <c r="E8" s="31" t="s">
        <v>312</v>
      </c>
      <c r="F8" s="31" t="s">
        <v>312</v>
      </c>
      <c r="G8" s="31" t="s">
        <v>312</v>
      </c>
      <c r="H8" s="31" t="s">
        <v>312</v>
      </c>
      <c r="I8" s="31" t="s">
        <v>312</v>
      </c>
      <c r="J8" s="31" t="s">
        <v>312</v>
      </c>
      <c r="K8" s="33" t="s">
        <v>312</v>
      </c>
      <c r="L8" s="33" t="s">
        <v>312</v>
      </c>
      <c r="M8" s="33" t="s">
        <v>312</v>
      </c>
      <c r="N8" s="31" t="s">
        <v>312</v>
      </c>
      <c r="O8" s="31" t="s">
        <v>312</v>
      </c>
      <c r="P8" s="146" t="s">
        <v>358</v>
      </c>
      <c r="Q8" s="146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329</v>
      </c>
      <c r="AB8" s="32"/>
      <c r="AC8" s="32"/>
      <c r="AD8" s="32"/>
      <c r="AE8" s="32"/>
      <c r="AF8" s="32"/>
      <c r="AG8" s="32"/>
      <c r="AH8" s="33" t="s">
        <v>329</v>
      </c>
    </row>
    <row x14ac:dyDescent="0.25" r="9" customHeight="1" ht="18.75">
      <c r="A9" s="30" t="s">
        <v>45</v>
      </c>
      <c r="B9" s="33" t="s">
        <v>142</v>
      </c>
      <c r="C9" s="139" t="s">
        <v>314</v>
      </c>
      <c r="D9" s="31" t="s">
        <v>315</v>
      </c>
      <c r="E9" s="31" t="s">
        <v>316</v>
      </c>
      <c r="F9" s="31" t="s">
        <v>316</v>
      </c>
      <c r="G9" s="31" t="s">
        <v>316</v>
      </c>
      <c r="H9" s="31" t="s">
        <v>316</v>
      </c>
      <c r="I9" s="31" t="s">
        <v>316</v>
      </c>
      <c r="J9" s="31" t="s">
        <v>317</v>
      </c>
      <c r="K9" s="33" t="s">
        <v>317</v>
      </c>
      <c r="L9" s="33" t="s">
        <v>318</v>
      </c>
      <c r="M9" s="33" t="s">
        <v>319</v>
      </c>
      <c r="N9" s="31" t="s">
        <v>319</v>
      </c>
      <c r="O9" s="139" t="s">
        <v>314</v>
      </c>
      <c r="P9" s="146" t="s">
        <v>358</v>
      </c>
      <c r="Q9" s="146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142</v>
      </c>
      <c r="AB9" s="34"/>
      <c r="AC9" s="34"/>
      <c r="AD9" s="34"/>
      <c r="AE9" s="34"/>
      <c r="AF9" s="34"/>
      <c r="AG9" s="34"/>
      <c r="AH9" s="33" t="s">
        <v>142</v>
      </c>
    </row>
    <row x14ac:dyDescent="0.25" r="10" customHeight="1" ht="18.75">
      <c r="A10" s="35" t="s">
        <v>47</v>
      </c>
      <c r="B10" s="117">
        <v>5</v>
      </c>
      <c r="C10" s="117">
        <v>45</v>
      </c>
      <c r="D10" s="117">
        <v>6</v>
      </c>
      <c r="E10" s="117">
        <v>92</v>
      </c>
      <c r="F10" s="117">
        <v>92</v>
      </c>
      <c r="G10" s="117">
        <v>92</v>
      </c>
      <c r="H10" s="117">
        <v>92</v>
      </c>
      <c r="I10" s="117">
        <v>92</v>
      </c>
      <c r="J10" s="117">
        <v>170</v>
      </c>
      <c r="K10" s="117">
        <v>170</v>
      </c>
      <c r="L10" s="117">
        <v>168</v>
      </c>
      <c r="M10" s="117">
        <v>169</v>
      </c>
      <c r="N10" s="117">
        <v>169</v>
      </c>
      <c r="O10" s="117">
        <v>45</v>
      </c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5</v>
      </c>
      <c r="AB10" s="37"/>
      <c r="AC10" s="37"/>
      <c r="AD10" s="37"/>
      <c r="AE10" s="37"/>
      <c r="AF10" s="37"/>
      <c r="AG10" s="37"/>
      <c r="AH10" s="117">
        <v>5</v>
      </c>
    </row>
    <row x14ac:dyDescent="0.25" r="11" customHeight="1" ht="18.75">
      <c r="A11" s="30" t="s">
        <v>123</v>
      </c>
      <c r="B11" s="31" t="s">
        <v>52</v>
      </c>
      <c r="C11" s="140" t="s">
        <v>52</v>
      </c>
      <c r="D11" s="33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140" t="s">
        <v>52</v>
      </c>
      <c r="L11" s="140" t="s">
        <v>52</v>
      </c>
      <c r="M11" s="140" t="s">
        <v>52</v>
      </c>
      <c r="N11" s="31" t="s">
        <v>52</v>
      </c>
      <c r="O11" s="140" t="s">
        <v>52</v>
      </c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139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139" t="s">
        <v>52</v>
      </c>
      <c r="L12" s="139" t="s">
        <v>52</v>
      </c>
      <c r="M12" s="139" t="s">
        <v>52</v>
      </c>
      <c r="N12" s="31" t="s">
        <v>52</v>
      </c>
      <c r="O12" s="139" t="s">
        <v>52</v>
      </c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139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139" t="s">
        <v>49</v>
      </c>
      <c r="L13" s="139" t="s">
        <v>49</v>
      </c>
      <c r="M13" s="139" t="s">
        <v>49</v>
      </c>
      <c r="N13" s="31" t="s">
        <v>49</v>
      </c>
      <c r="O13" s="139" t="s">
        <v>49</v>
      </c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139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139" t="s">
        <v>49</v>
      </c>
      <c r="L14" s="139" t="s">
        <v>49</v>
      </c>
      <c r="M14" s="139" t="s">
        <v>49</v>
      </c>
      <c r="N14" s="31" t="s">
        <v>49</v>
      </c>
      <c r="O14" s="139" t="s">
        <v>49</v>
      </c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139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139" t="s">
        <v>143</v>
      </c>
      <c r="L15" s="139" t="s">
        <v>143</v>
      </c>
      <c r="M15" s="139" t="s">
        <v>143</v>
      </c>
      <c r="N15" s="31" t="s">
        <v>143</v>
      </c>
      <c r="O15" s="139" t="s">
        <v>143</v>
      </c>
      <c r="P15" s="143" t="s">
        <v>143</v>
      </c>
      <c r="Q15" s="143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</row>
    <row x14ac:dyDescent="0.25" r="16" customHeight="1" ht="18.75">
      <c r="A16" s="30" t="s">
        <v>128</v>
      </c>
      <c r="B16" s="31">
        <f>5/3</f>
      </c>
      <c r="C16" s="139">
        <v>2</v>
      </c>
      <c r="D16" s="31">
        <f>5/3</f>
      </c>
      <c r="E16" s="31">
        <f>11/6</f>
      </c>
      <c r="F16" s="31">
        <f>11/6</f>
      </c>
      <c r="G16" s="31">
        <f>11/6</f>
      </c>
      <c r="H16" s="31">
        <f>11/6</f>
      </c>
      <c r="I16" s="31">
        <f>11/6</f>
      </c>
      <c r="J16" s="31">
        <f>AVERAGE(2,11/6)</f>
      </c>
      <c r="K16" s="31">
        <f>AVERAGE(2,11/6)</f>
      </c>
      <c r="L16" s="31">
        <f>AVERAGE(5/3,11/6)</f>
      </c>
      <c r="M16" s="31">
        <f>AVERAGE(5/3,2)</f>
      </c>
      <c r="N16" s="31">
        <f>AVERAGE(5/3,2)</f>
      </c>
      <c r="O16" s="139">
        <v>2</v>
      </c>
      <c r="P16" s="143">
        <f>11/6</f>
      </c>
      <c r="Q16" s="143">
        <f>11/6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5/3</f>
      </c>
      <c r="AB16" s="31"/>
      <c r="AC16" s="31"/>
      <c r="AD16" s="31"/>
      <c r="AE16" s="31"/>
      <c r="AF16" s="31"/>
      <c r="AG16" s="31"/>
      <c r="AH16" s="31">
        <f>5/3</f>
      </c>
    </row>
    <row x14ac:dyDescent="0.25" r="17" customHeight="1" ht="18.75">
      <c r="A17" s="30" t="s">
        <v>129</v>
      </c>
      <c r="B17" s="31" t="s">
        <v>138</v>
      </c>
      <c r="C17" s="139" t="s">
        <v>169</v>
      </c>
      <c r="D17" s="31" t="s">
        <v>138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1" t="s">
        <v>322</v>
      </c>
      <c r="O17" s="139" t="s">
        <v>169</v>
      </c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4</v>
      </c>
      <c r="C18" s="139">
        <v>2</v>
      </c>
      <c r="D18" s="31">
        <v>4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>
        <f>AVERAGE(4,2)</f>
      </c>
      <c r="O18" s="139">
        <v>2</v>
      </c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209" t="s">
        <v>900</v>
      </c>
      <c r="B21" s="40" t="s">
        <v>901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  <row x14ac:dyDescent="0.25" r="22" customHeight="1" ht="18.75">
      <c r="A22" s="30"/>
      <c r="B22" s="40" t="s">
        <v>902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</row>
    <row x14ac:dyDescent="0.25" r="23" customHeight="1" ht="18.75">
      <c r="A23" s="30"/>
      <c r="B23" s="40" t="s">
        <v>861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</row>
  </sheetData>
  <mergeCells count="6">
    <mergeCell ref="B3:D3"/>
    <mergeCell ref="F3:O3"/>
    <mergeCell ref="B4:D4"/>
    <mergeCell ref="F4:O5"/>
    <mergeCell ref="B5:D5"/>
    <mergeCell ref="A21:A2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9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</row>
    <row x14ac:dyDescent="0.25" r="3" customHeight="1" ht="18.75">
      <c r="A3" s="1" t="s">
        <v>2</v>
      </c>
      <c r="B3" s="5">
        <v>57</v>
      </c>
      <c r="C3" s="7"/>
      <c r="D3" s="7"/>
      <c r="E3" s="45"/>
      <c r="F3" s="45" t="s">
        <v>3</v>
      </c>
      <c r="G3" s="45"/>
      <c r="H3" s="45"/>
      <c r="I3" s="45"/>
      <c r="J3" s="45"/>
      <c r="K3" s="45"/>
      <c r="L3" s="45"/>
      <c r="M3" s="45"/>
      <c r="N3" s="1"/>
      <c r="O3" s="1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</row>
    <row x14ac:dyDescent="0.25" r="4" customHeight="1" ht="18.75">
      <c r="A4" s="1" t="s">
        <v>4</v>
      </c>
      <c r="B4" s="7" t="s">
        <v>870</v>
      </c>
      <c r="C4" s="7"/>
      <c r="D4" s="7"/>
      <c r="E4" s="2"/>
      <c r="F4" s="47" t="s">
        <v>886</v>
      </c>
      <c r="G4" s="48"/>
      <c r="H4" s="48"/>
      <c r="I4" s="48"/>
      <c r="J4" s="48"/>
      <c r="K4" s="48"/>
      <c r="L4" s="48"/>
      <c r="M4" s="48"/>
      <c r="N4" s="9"/>
      <c r="O4" s="9"/>
      <c r="P4" s="48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</row>
    <row x14ac:dyDescent="0.25" r="5" customHeight="1" ht="17.45">
      <c r="A5" s="1" t="s">
        <v>7</v>
      </c>
      <c r="B5" s="7" t="s">
        <v>219</v>
      </c>
      <c r="C5" s="7"/>
      <c r="D5" s="7"/>
      <c r="E5" s="2"/>
      <c r="F5" s="48"/>
      <c r="G5" s="48"/>
      <c r="H5" s="48"/>
      <c r="I5" s="48"/>
      <c r="J5" s="48"/>
      <c r="K5" s="48"/>
      <c r="L5" s="48"/>
      <c r="M5" s="48"/>
      <c r="N5" s="9"/>
      <c r="O5" s="9"/>
      <c r="P5" s="48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  <c r="AI7" s="3"/>
      <c r="AJ7" s="112" t="s">
        <v>41</v>
      </c>
      <c r="AK7" s="112" t="s">
        <v>42</v>
      </c>
    </row>
    <row x14ac:dyDescent="0.25" r="8" customHeight="1" ht="18.75">
      <c r="A8" s="30" t="s">
        <v>43</v>
      </c>
      <c r="B8" s="139" t="s">
        <v>143</v>
      </c>
      <c r="C8" s="33" t="s">
        <v>358</v>
      </c>
      <c r="D8" s="33" t="s">
        <v>358</v>
      </c>
      <c r="E8" s="33" t="s">
        <v>358</v>
      </c>
      <c r="F8" s="33" t="s">
        <v>358</v>
      </c>
      <c r="G8" s="33" t="s">
        <v>358</v>
      </c>
      <c r="H8" s="33" t="s">
        <v>358</v>
      </c>
      <c r="I8" s="33" t="s">
        <v>358</v>
      </c>
      <c r="J8" s="33" t="s">
        <v>358</v>
      </c>
      <c r="K8" s="33" t="s">
        <v>367</v>
      </c>
      <c r="L8" s="33" t="s">
        <v>367</v>
      </c>
      <c r="M8" s="33" t="s">
        <v>367</v>
      </c>
      <c r="N8" s="32"/>
      <c r="O8" s="32"/>
      <c r="P8" s="146" t="s">
        <v>358</v>
      </c>
      <c r="Q8" s="146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312</v>
      </c>
      <c r="AB8" s="32"/>
      <c r="AC8" s="32"/>
      <c r="AD8" s="32"/>
      <c r="AE8" s="32"/>
      <c r="AF8" s="32"/>
      <c r="AG8" s="34"/>
      <c r="AH8" s="33" t="s">
        <v>312</v>
      </c>
      <c r="AI8" s="3"/>
      <c r="AJ8" s="33" t="s">
        <v>581</v>
      </c>
      <c r="AK8" s="33" t="s">
        <v>411</v>
      </c>
    </row>
    <row x14ac:dyDescent="0.25" r="9" customHeight="1" ht="18.75">
      <c r="A9" s="30" t="s">
        <v>45</v>
      </c>
      <c r="B9" s="33" t="s">
        <v>315</v>
      </c>
      <c r="C9" s="33" t="s">
        <v>358</v>
      </c>
      <c r="D9" s="33" t="s">
        <v>358</v>
      </c>
      <c r="E9" s="33" t="s">
        <v>358</v>
      </c>
      <c r="F9" s="33" t="s">
        <v>824</v>
      </c>
      <c r="G9" s="33" t="s">
        <v>358</v>
      </c>
      <c r="H9" s="33" t="s">
        <v>358</v>
      </c>
      <c r="I9" s="33" t="s">
        <v>358</v>
      </c>
      <c r="J9" s="33" t="s">
        <v>824</v>
      </c>
      <c r="K9" s="33" t="s">
        <v>368</v>
      </c>
      <c r="L9" s="33" t="s">
        <v>368</v>
      </c>
      <c r="M9" s="33" t="s">
        <v>368</v>
      </c>
      <c r="N9" s="34"/>
      <c r="O9" s="34"/>
      <c r="P9" s="146" t="s">
        <v>358</v>
      </c>
      <c r="Q9" s="146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315</v>
      </c>
      <c r="AB9" s="34"/>
      <c r="AC9" s="34"/>
      <c r="AD9" s="34"/>
      <c r="AE9" s="34"/>
      <c r="AF9" s="34"/>
      <c r="AG9" s="34"/>
      <c r="AH9" s="33" t="s">
        <v>315</v>
      </c>
      <c r="AI9" s="3"/>
      <c r="AJ9" s="33" t="s">
        <v>582</v>
      </c>
      <c r="AK9" s="33" t="s">
        <v>409</v>
      </c>
    </row>
    <row x14ac:dyDescent="0.25" r="10" customHeight="1" ht="18.75">
      <c r="A10" s="35" t="s">
        <v>47</v>
      </c>
      <c r="B10" s="117">
        <v>6</v>
      </c>
      <c r="C10" s="36" t="s">
        <v>358</v>
      </c>
      <c r="D10" s="36" t="s">
        <v>358</v>
      </c>
      <c r="E10" s="36" t="s">
        <v>358</v>
      </c>
      <c r="F10" s="117">
        <v>174</v>
      </c>
      <c r="G10" s="36" t="s">
        <v>358</v>
      </c>
      <c r="H10" s="36" t="s">
        <v>358</v>
      </c>
      <c r="I10" s="36" t="s">
        <v>358</v>
      </c>
      <c r="J10" s="117">
        <v>174</v>
      </c>
      <c r="K10" s="117">
        <v>151</v>
      </c>
      <c r="L10" s="117">
        <v>151</v>
      </c>
      <c r="M10" s="117">
        <v>151</v>
      </c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6</v>
      </c>
      <c r="AB10" s="37"/>
      <c r="AC10" s="37"/>
      <c r="AD10" s="37"/>
      <c r="AE10" s="37"/>
      <c r="AF10" s="37"/>
      <c r="AG10" s="37"/>
      <c r="AH10" s="117">
        <v>6</v>
      </c>
      <c r="AI10" s="3"/>
      <c r="AJ10" s="117">
        <v>27</v>
      </c>
      <c r="AK10" s="117">
        <v>49</v>
      </c>
    </row>
    <row x14ac:dyDescent="0.25" r="11" customHeight="1" ht="18.75">
      <c r="A11" s="30" t="s">
        <v>123</v>
      </c>
      <c r="B11" s="31" t="s">
        <v>52</v>
      </c>
      <c r="C11" s="31" t="s">
        <v>49</v>
      </c>
      <c r="D11" s="31" t="s">
        <v>49</v>
      </c>
      <c r="E11" s="31" t="s">
        <v>49</v>
      </c>
      <c r="F11" s="31" t="s">
        <v>162</v>
      </c>
      <c r="G11" s="31" t="s">
        <v>49</v>
      </c>
      <c r="H11" s="31" t="s">
        <v>49</v>
      </c>
      <c r="I11" s="31" t="s">
        <v>49</v>
      </c>
      <c r="J11" s="31" t="s">
        <v>162</v>
      </c>
      <c r="K11" s="31" t="s">
        <v>162</v>
      </c>
      <c r="L11" s="31" t="s">
        <v>162</v>
      </c>
      <c r="M11" s="31" t="s">
        <v>162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  <c r="AI11" s="3"/>
      <c r="AJ11" s="31" t="s">
        <v>52</v>
      </c>
      <c r="AK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49</v>
      </c>
      <c r="D12" s="31" t="s">
        <v>49</v>
      </c>
      <c r="E12" s="31" t="s">
        <v>49</v>
      </c>
      <c r="F12" s="31" t="s">
        <v>162</v>
      </c>
      <c r="G12" s="31" t="s">
        <v>49</v>
      </c>
      <c r="H12" s="31" t="s">
        <v>49</v>
      </c>
      <c r="I12" s="31" t="s">
        <v>49</v>
      </c>
      <c r="J12" s="31" t="s">
        <v>162</v>
      </c>
      <c r="K12" s="31" t="s">
        <v>162</v>
      </c>
      <c r="L12" s="31" t="s">
        <v>162</v>
      </c>
      <c r="M12" s="31" t="s">
        <v>162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  <c r="AI12" s="3"/>
      <c r="AJ12" s="31" t="s">
        <v>52</v>
      </c>
      <c r="AK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31" t="s">
        <v>52</v>
      </c>
      <c r="AK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133</v>
      </c>
      <c r="G15" s="31" t="s">
        <v>143</v>
      </c>
      <c r="H15" s="31" t="s">
        <v>143</v>
      </c>
      <c r="I15" s="31" t="s">
        <v>143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2"/>
      <c r="O15" s="32"/>
      <c r="P15" s="143" t="s">
        <v>143</v>
      </c>
      <c r="Q15" s="143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  <c r="AI15" s="3"/>
      <c r="AJ15" s="31" t="s">
        <v>143</v>
      </c>
      <c r="AK15" s="31" t="s">
        <v>143</v>
      </c>
    </row>
    <row x14ac:dyDescent="0.25" r="16" customHeight="1" ht="18.75">
      <c r="A16" s="30" t="s">
        <v>128</v>
      </c>
      <c r="B16" s="31">
        <f>5/3</f>
      </c>
      <c r="C16" s="31">
        <f>AVERAGE(2,5/3)</f>
      </c>
      <c r="D16" s="31">
        <f>AVERAGE(2,5/3)</f>
      </c>
      <c r="E16" s="31">
        <f>AVERAGE(2,5/3)</f>
      </c>
      <c r="F16" s="31">
        <v>-2</v>
      </c>
      <c r="G16" s="31">
        <f>AVERAGE(2,5/3)</f>
      </c>
      <c r="H16" s="31">
        <f>AVERAGE(2,5/3)</f>
      </c>
      <c r="I16" s="31">
        <f>AVERAGE(2,5/3)</f>
      </c>
      <c r="J16" s="31">
        <v>-2</v>
      </c>
      <c r="K16" s="31">
        <v>-2</v>
      </c>
      <c r="L16" s="31">
        <v>-2</v>
      </c>
      <c r="M16" s="31">
        <v>-2</v>
      </c>
      <c r="N16" s="31"/>
      <c r="O16" s="31"/>
      <c r="P16" s="143">
        <f>11/6</f>
      </c>
      <c r="Q16" s="143">
        <f>11/6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5/3</f>
      </c>
      <c r="AB16" s="31"/>
      <c r="AC16" s="31"/>
      <c r="AD16" s="31"/>
      <c r="AE16" s="31"/>
      <c r="AF16" s="31"/>
      <c r="AG16" s="31"/>
      <c r="AH16" s="31">
        <f>5/3</f>
      </c>
      <c r="AI16" s="3"/>
      <c r="AJ16" s="31">
        <f>4/3</f>
      </c>
      <c r="AK16" s="31">
        <f>4/3</f>
      </c>
    </row>
    <row x14ac:dyDescent="0.25" r="17" customHeight="1" ht="18.75">
      <c r="A17" s="30" t="s">
        <v>129</v>
      </c>
      <c r="B17" s="31" t="s">
        <v>138</v>
      </c>
      <c r="C17" s="33" t="s">
        <v>358</v>
      </c>
      <c r="D17" s="33" t="s">
        <v>358</v>
      </c>
      <c r="E17" s="33" t="s">
        <v>358</v>
      </c>
      <c r="F17" s="33" t="s">
        <v>369</v>
      </c>
      <c r="G17" s="33" t="s">
        <v>358</v>
      </c>
      <c r="H17" s="33" t="s">
        <v>358</v>
      </c>
      <c r="I17" s="33" t="s">
        <v>358</v>
      </c>
      <c r="J17" s="33" t="s">
        <v>369</v>
      </c>
      <c r="K17" s="31" t="s">
        <v>369</v>
      </c>
      <c r="L17" s="31" t="s">
        <v>369</v>
      </c>
      <c r="M17" s="31" t="s">
        <v>369</v>
      </c>
      <c r="N17" s="32"/>
      <c r="O17" s="32"/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  <c r="AI17" s="3"/>
      <c r="AJ17" s="31" t="s">
        <v>274</v>
      </c>
      <c r="AK17" s="31" t="s">
        <v>169</v>
      </c>
    </row>
    <row x14ac:dyDescent="0.25" r="18" customHeight="1" ht="18.75">
      <c r="A18" s="30" t="s">
        <v>130</v>
      </c>
      <c r="B18" s="31">
        <v>4</v>
      </c>
      <c r="C18" s="31">
        <v>0</v>
      </c>
      <c r="D18" s="31">
        <v>0</v>
      </c>
      <c r="E18" s="31">
        <v>0</v>
      </c>
      <c r="F18" s="31">
        <f>AVERAGE(-2,0)</f>
      </c>
      <c r="G18" s="31">
        <v>0</v>
      </c>
      <c r="H18" s="31">
        <v>0</v>
      </c>
      <c r="I18" s="31">
        <v>0</v>
      </c>
      <c r="J18" s="31">
        <f>AVERAGE(-2,0)</f>
      </c>
      <c r="K18" s="31">
        <f>AVERAGE(1/3,0)</f>
      </c>
      <c r="L18" s="31">
        <f>AVERAGE(1/3,0)</f>
      </c>
      <c r="M18" s="31">
        <f>AVERAGE(1/3,0)</f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  <c r="AI18" s="3"/>
      <c r="AJ18" s="31">
        <v>3</v>
      </c>
      <c r="AK18" s="31">
        <v>2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120" t="s">
        <v>887</v>
      </c>
      <c r="AH19" s="121"/>
      <c r="AI19" s="3"/>
      <c r="AJ19" s="121" t="s">
        <v>888</v>
      </c>
      <c r="AK19" s="121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  <c r="AI20" s="3"/>
      <c r="AJ20" s="2"/>
      <c r="AK20" s="2"/>
    </row>
    <row x14ac:dyDescent="0.25" r="21" customHeight="1" ht="18.75">
      <c r="A21" s="213" t="s">
        <v>889</v>
      </c>
      <c r="B21" s="214" t="s">
        <v>890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  <c r="AI21" s="3"/>
      <c r="AJ21" s="2"/>
      <c r="AK21" s="2"/>
    </row>
    <row x14ac:dyDescent="0.25" r="22" customHeight="1" ht="18.75">
      <c r="A22" s="122"/>
      <c r="B22" s="214" t="s">
        <v>891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  <c r="AI22" s="3"/>
      <c r="AJ22" s="2"/>
      <c r="AK22" s="2"/>
    </row>
    <row x14ac:dyDescent="0.25" r="23" customHeight="1" ht="18.75">
      <c r="A23" s="122"/>
      <c r="B23" s="214" t="s">
        <v>892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  <c r="AI23" s="3"/>
      <c r="AJ23" s="2"/>
      <c r="AK23" s="2"/>
    </row>
    <row x14ac:dyDescent="0.25" r="24" customHeight="1" ht="18.75">
      <c r="A24" s="207" t="s">
        <v>893</v>
      </c>
      <c r="B24" s="214" t="s">
        <v>894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2"/>
      <c r="Q24" s="2"/>
      <c r="R24" s="3"/>
      <c r="S24" s="3"/>
      <c r="T24" s="3"/>
      <c r="U24" s="3"/>
      <c r="V24" s="3"/>
      <c r="W24" s="3"/>
      <c r="X24" s="3"/>
      <c r="Y24" s="3"/>
      <c r="Z24" s="3"/>
      <c r="AA24" s="2"/>
      <c r="AB24" s="3"/>
      <c r="AC24" s="3"/>
      <c r="AD24" s="3"/>
      <c r="AE24" s="3"/>
      <c r="AF24" s="3"/>
      <c r="AG24" s="3"/>
      <c r="AH24" s="2"/>
      <c r="AI24" s="3"/>
      <c r="AJ24" s="2"/>
      <c r="AK24" s="2"/>
    </row>
    <row x14ac:dyDescent="0.25" r="25" customHeight="1" ht="18.75">
      <c r="A25" s="123"/>
      <c r="B25" s="214" t="s">
        <v>895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2"/>
      <c r="AB25" s="3"/>
      <c r="AC25" s="3"/>
      <c r="AD25" s="3"/>
      <c r="AE25" s="3"/>
      <c r="AF25" s="3"/>
      <c r="AG25" s="3"/>
      <c r="AH25" s="2"/>
      <c r="AI25" s="3"/>
      <c r="AJ25" s="2"/>
      <c r="AK25" s="2"/>
    </row>
    <row x14ac:dyDescent="0.25" r="26" customHeight="1" ht="18.75">
      <c r="A26" s="123"/>
      <c r="B26" s="214" t="s">
        <v>891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2"/>
      <c r="AB26" s="3"/>
      <c r="AC26" s="3"/>
      <c r="AD26" s="3"/>
      <c r="AE26" s="3"/>
      <c r="AF26" s="3"/>
      <c r="AG26" s="3"/>
      <c r="AH26" s="2"/>
      <c r="AI26" s="3"/>
      <c r="AJ26" s="2"/>
      <c r="AK26" s="2"/>
    </row>
    <row x14ac:dyDescent="0.25" r="27" customHeight="1" ht="18.75">
      <c r="A27" s="123"/>
      <c r="B27" s="214" t="s">
        <v>892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2"/>
      <c r="AB27" s="3"/>
      <c r="AC27" s="3"/>
      <c r="AD27" s="3"/>
      <c r="AE27" s="3"/>
      <c r="AF27" s="3"/>
      <c r="AG27" s="3"/>
      <c r="AH27" s="2"/>
      <c r="AI27" s="3"/>
      <c r="AJ27" s="2"/>
      <c r="AK27" s="2"/>
    </row>
    <row x14ac:dyDescent="0.25" r="28" customHeight="1" ht="18.75">
      <c r="A28" s="123"/>
      <c r="B28" s="2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2"/>
      <c r="AB28" s="3"/>
      <c r="AC28" s="3"/>
      <c r="AD28" s="3"/>
      <c r="AE28" s="3"/>
      <c r="AF28" s="3"/>
      <c r="AG28" s="3"/>
      <c r="AH28" s="2"/>
      <c r="AI28" s="3"/>
      <c r="AJ28" s="2"/>
      <c r="AK28" s="2"/>
    </row>
    <row x14ac:dyDescent="0.25" r="29" customHeight="1" ht="54">
      <c r="A29" s="215" t="s">
        <v>896</v>
      </c>
      <c r="B29" s="216" t="s">
        <v>897</v>
      </c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7"/>
      <c r="O29" s="217"/>
      <c r="P29" s="2"/>
      <c r="Q29" s="2"/>
      <c r="R29" s="3"/>
      <c r="S29" s="3"/>
      <c r="T29" s="3"/>
      <c r="U29" s="3"/>
      <c r="V29" s="3"/>
      <c r="W29" s="3"/>
      <c r="X29" s="3"/>
      <c r="Y29" s="3"/>
      <c r="Z29" s="3"/>
      <c r="AA29" s="2"/>
      <c r="AB29" s="3"/>
      <c r="AC29" s="3"/>
      <c r="AD29" s="3"/>
      <c r="AE29" s="3"/>
      <c r="AF29" s="3"/>
      <c r="AG29" s="3"/>
      <c r="AH29" s="2"/>
      <c r="AI29" s="3"/>
      <c r="AJ29" s="2"/>
      <c r="AK29" s="2"/>
    </row>
  </sheetData>
  <mergeCells count="10">
    <mergeCell ref="B3:D3"/>
    <mergeCell ref="F3:O3"/>
    <mergeCell ref="B4:D4"/>
    <mergeCell ref="F4:P5"/>
    <mergeCell ref="B5:D5"/>
    <mergeCell ref="AG19:AH19"/>
    <mergeCell ref="AJ19:AK19"/>
    <mergeCell ref="A21:A23"/>
    <mergeCell ref="A24:A27"/>
    <mergeCell ref="B29:O29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28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4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  <col min="48" max="48" style="43" width="13.576428571428572" customWidth="1" bestFit="1"/>
    <col min="49" max="49" style="43" width="13.576428571428572" customWidth="1" bestFit="1"/>
    <col min="50" max="50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  <c r="AL1" s="2"/>
      <c r="AM1" s="2"/>
      <c r="AN1" s="2"/>
      <c r="AO1" s="2"/>
      <c r="AP1" s="2"/>
      <c r="AQ1" s="3"/>
      <c r="AR1" s="2"/>
      <c r="AS1" s="2"/>
      <c r="AT1" s="2"/>
      <c r="AU1" s="2"/>
      <c r="AV1" s="2"/>
      <c r="AW1" s="2"/>
      <c r="AX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  <c r="AL2" s="2"/>
      <c r="AM2" s="2"/>
      <c r="AN2" s="2"/>
      <c r="AO2" s="2"/>
      <c r="AP2" s="2"/>
      <c r="AQ2" s="3"/>
      <c r="AR2" s="2"/>
      <c r="AS2" s="2"/>
      <c r="AT2" s="2"/>
      <c r="AU2" s="2"/>
      <c r="AV2" s="2"/>
      <c r="AW2" s="2"/>
      <c r="AX2" s="2"/>
    </row>
    <row x14ac:dyDescent="0.25" r="3" customHeight="1" ht="18.75">
      <c r="A3" s="1" t="s">
        <v>2</v>
      </c>
      <c r="B3" s="5">
        <v>58</v>
      </c>
      <c r="C3" s="7"/>
      <c r="D3" s="7"/>
      <c r="E3" s="45"/>
      <c r="F3" s="45" t="s">
        <v>3</v>
      </c>
      <c r="G3" s="45"/>
      <c r="H3" s="45"/>
      <c r="I3" s="45"/>
      <c r="J3" s="45"/>
      <c r="K3" s="45"/>
      <c r="L3" s="45"/>
      <c r="M3" s="45"/>
      <c r="N3" s="1"/>
      <c r="O3" s="1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  <c r="AL3" s="2"/>
      <c r="AM3" s="2"/>
      <c r="AN3" s="2"/>
      <c r="AO3" s="2"/>
      <c r="AP3" s="2"/>
      <c r="AQ3" s="3"/>
      <c r="AR3" s="2"/>
      <c r="AS3" s="2"/>
      <c r="AT3" s="2"/>
      <c r="AU3" s="2"/>
      <c r="AV3" s="2"/>
      <c r="AW3" s="2"/>
      <c r="AX3" s="2"/>
    </row>
    <row x14ac:dyDescent="0.25" r="4" customHeight="1" ht="18.75">
      <c r="A4" s="1" t="s">
        <v>4</v>
      </c>
      <c r="B4" s="7" t="s">
        <v>870</v>
      </c>
      <c r="C4" s="7"/>
      <c r="D4" s="7"/>
      <c r="E4" s="2"/>
      <c r="F4" s="47" t="s">
        <v>871</v>
      </c>
      <c r="G4" s="48"/>
      <c r="H4" s="48"/>
      <c r="I4" s="48"/>
      <c r="J4" s="48"/>
      <c r="K4" s="48"/>
      <c r="L4" s="48"/>
      <c r="M4" s="48"/>
      <c r="N4" s="9"/>
      <c r="O4" s="9"/>
      <c r="P4" s="48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  <c r="AL4" s="2"/>
      <c r="AM4" s="2"/>
      <c r="AN4" s="2"/>
      <c r="AO4" s="2"/>
      <c r="AP4" s="2"/>
      <c r="AQ4" s="3"/>
      <c r="AR4" s="2"/>
      <c r="AS4" s="2"/>
      <c r="AT4" s="2"/>
      <c r="AU4" s="2"/>
      <c r="AV4" s="2"/>
      <c r="AW4" s="2"/>
      <c r="AX4" s="2"/>
    </row>
    <row x14ac:dyDescent="0.25" r="5" customHeight="1" ht="17.45">
      <c r="A5" s="1" t="s">
        <v>7</v>
      </c>
      <c r="B5" s="7" t="s">
        <v>204</v>
      </c>
      <c r="C5" s="7"/>
      <c r="D5" s="7"/>
      <c r="E5" s="2"/>
      <c r="F5" s="48"/>
      <c r="G5" s="48"/>
      <c r="H5" s="48"/>
      <c r="I5" s="48"/>
      <c r="J5" s="48"/>
      <c r="K5" s="48"/>
      <c r="L5" s="48"/>
      <c r="M5" s="48"/>
      <c r="N5" s="9"/>
      <c r="O5" s="9"/>
      <c r="P5" s="48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  <c r="AL5" s="2"/>
      <c r="AM5" s="2"/>
      <c r="AN5" s="2"/>
      <c r="AO5" s="2"/>
      <c r="AP5" s="2"/>
      <c r="AQ5" s="3"/>
      <c r="AR5" s="2"/>
      <c r="AS5" s="2"/>
      <c r="AT5" s="2"/>
      <c r="AU5" s="2"/>
      <c r="AV5" s="2"/>
      <c r="AW5" s="2"/>
      <c r="AX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  <c r="AL6" s="2"/>
      <c r="AM6" s="2"/>
      <c r="AN6" s="2"/>
      <c r="AO6" s="2"/>
      <c r="AP6" s="2"/>
      <c r="AQ6" s="3"/>
      <c r="AR6" s="2"/>
      <c r="AS6" s="2"/>
      <c r="AT6" s="2"/>
      <c r="AU6" s="2"/>
      <c r="AV6" s="2"/>
      <c r="AW6" s="2"/>
      <c r="AX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  <c r="AI7" s="3"/>
      <c r="AJ7" s="99" t="s">
        <v>11</v>
      </c>
      <c r="AK7" s="99" t="s">
        <v>12</v>
      </c>
      <c r="AL7" s="128" t="s">
        <v>13</v>
      </c>
      <c r="AM7" s="129" t="s">
        <v>14</v>
      </c>
      <c r="AN7" s="100" t="s">
        <v>15</v>
      </c>
      <c r="AO7" s="100" t="s">
        <v>16</v>
      </c>
      <c r="AP7" s="100" t="s">
        <v>17</v>
      </c>
      <c r="AQ7" s="3"/>
      <c r="AR7" s="99" t="s">
        <v>11</v>
      </c>
      <c r="AS7" s="49" t="s">
        <v>12</v>
      </c>
      <c r="AT7" s="50" t="s">
        <v>13</v>
      </c>
      <c r="AU7" s="129" t="s">
        <v>14</v>
      </c>
      <c r="AV7" s="52" t="s">
        <v>15</v>
      </c>
      <c r="AW7" s="52" t="s">
        <v>16</v>
      </c>
      <c r="AX7" s="52" t="s">
        <v>17</v>
      </c>
    </row>
    <row x14ac:dyDescent="0.25" r="8" customHeight="1" ht="18.75">
      <c r="A8" s="30" t="s">
        <v>43</v>
      </c>
      <c r="B8" s="139" t="s">
        <v>143</v>
      </c>
      <c r="C8" s="33" t="s">
        <v>358</v>
      </c>
      <c r="D8" s="33" t="s">
        <v>358</v>
      </c>
      <c r="E8" s="33" t="s">
        <v>358</v>
      </c>
      <c r="F8" s="31" t="s">
        <v>312</v>
      </c>
      <c r="G8" s="31" t="s">
        <v>312</v>
      </c>
      <c r="H8" s="31" t="s">
        <v>312</v>
      </c>
      <c r="I8" s="31" t="s">
        <v>312</v>
      </c>
      <c r="J8" s="31" t="s">
        <v>312</v>
      </c>
      <c r="K8" s="146" t="s">
        <v>358</v>
      </c>
      <c r="L8" s="146" t="s">
        <v>358</v>
      </c>
      <c r="M8" s="146" t="s">
        <v>358</v>
      </c>
      <c r="N8" s="32"/>
      <c r="O8" s="32"/>
      <c r="P8" s="146" t="s">
        <v>358</v>
      </c>
      <c r="Q8" s="146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312</v>
      </c>
      <c r="AB8" s="32"/>
      <c r="AC8" s="32"/>
      <c r="AD8" s="32"/>
      <c r="AE8" s="32"/>
      <c r="AF8" s="32"/>
      <c r="AG8" s="32"/>
      <c r="AH8" s="33" t="s">
        <v>312</v>
      </c>
      <c r="AI8" s="3"/>
      <c r="AJ8" s="33" t="s">
        <v>68</v>
      </c>
      <c r="AK8" s="33" t="s">
        <v>68</v>
      </c>
      <c r="AL8" s="146" t="s">
        <v>358</v>
      </c>
      <c r="AM8" s="146" t="s">
        <v>358</v>
      </c>
      <c r="AN8" s="31" t="s">
        <v>872</v>
      </c>
      <c r="AO8" s="31" t="s">
        <v>872</v>
      </c>
      <c r="AP8" s="31" t="s">
        <v>872</v>
      </c>
      <c r="AQ8" s="3"/>
      <c r="AR8" s="139" t="s">
        <v>149</v>
      </c>
      <c r="AS8" s="31" t="s">
        <v>149</v>
      </c>
      <c r="AT8" s="31" t="s">
        <v>149</v>
      </c>
      <c r="AU8" s="31" t="s">
        <v>149</v>
      </c>
      <c r="AV8" s="31" t="s">
        <v>149</v>
      </c>
      <c r="AW8" s="31" t="s">
        <v>149</v>
      </c>
      <c r="AX8" s="31" t="s">
        <v>149</v>
      </c>
    </row>
    <row x14ac:dyDescent="0.25" r="9" customHeight="1" ht="15.75">
      <c r="A9" s="30" t="s">
        <v>45</v>
      </c>
      <c r="B9" s="33" t="s">
        <v>315</v>
      </c>
      <c r="C9" s="33" t="s">
        <v>358</v>
      </c>
      <c r="D9" s="33" t="s">
        <v>358</v>
      </c>
      <c r="E9" s="33" t="s">
        <v>358</v>
      </c>
      <c r="F9" s="31" t="s">
        <v>316</v>
      </c>
      <c r="G9" s="31" t="s">
        <v>316</v>
      </c>
      <c r="H9" s="31" t="s">
        <v>316</v>
      </c>
      <c r="I9" s="31" t="s">
        <v>316</v>
      </c>
      <c r="J9" s="31" t="s">
        <v>317</v>
      </c>
      <c r="K9" s="146" t="s">
        <v>358</v>
      </c>
      <c r="L9" s="146" t="s">
        <v>358</v>
      </c>
      <c r="M9" s="146" t="s">
        <v>358</v>
      </c>
      <c r="N9" s="34"/>
      <c r="O9" s="34"/>
      <c r="P9" s="146" t="s">
        <v>358</v>
      </c>
      <c r="Q9" s="146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315</v>
      </c>
      <c r="AB9" s="34"/>
      <c r="AC9" s="34"/>
      <c r="AD9" s="34"/>
      <c r="AE9" s="34"/>
      <c r="AF9" s="34"/>
      <c r="AG9" s="34"/>
      <c r="AH9" s="33" t="s">
        <v>315</v>
      </c>
      <c r="AI9" s="3"/>
      <c r="AJ9" s="31" t="s">
        <v>132</v>
      </c>
      <c r="AK9" s="31" t="s">
        <v>132</v>
      </c>
      <c r="AL9" s="146" t="s">
        <v>358</v>
      </c>
      <c r="AM9" s="146" t="s">
        <v>358</v>
      </c>
      <c r="AN9" s="31" t="s">
        <v>873</v>
      </c>
      <c r="AO9" s="31" t="s">
        <v>873</v>
      </c>
      <c r="AP9" s="31" t="s">
        <v>873</v>
      </c>
      <c r="AQ9" s="3"/>
      <c r="AR9" s="139" t="s">
        <v>156</v>
      </c>
      <c r="AS9" s="31" t="s">
        <v>149</v>
      </c>
      <c r="AT9" s="31" t="s">
        <v>149</v>
      </c>
      <c r="AU9" s="31" t="s">
        <v>149</v>
      </c>
      <c r="AV9" s="31" t="s">
        <v>149</v>
      </c>
      <c r="AW9" s="31" t="s">
        <v>149</v>
      </c>
      <c r="AX9" s="31" t="s">
        <v>149</v>
      </c>
    </row>
    <row x14ac:dyDescent="0.25" r="10" customHeight="1" ht="18.75">
      <c r="A10" s="35" t="s">
        <v>47</v>
      </c>
      <c r="B10" s="117">
        <v>6</v>
      </c>
      <c r="C10" s="36" t="s">
        <v>358</v>
      </c>
      <c r="D10" s="36" t="s">
        <v>358</v>
      </c>
      <c r="E10" s="36" t="s">
        <v>358</v>
      </c>
      <c r="F10" s="117">
        <v>92</v>
      </c>
      <c r="G10" s="117">
        <v>92</v>
      </c>
      <c r="H10" s="117">
        <v>92</v>
      </c>
      <c r="I10" s="117">
        <v>92</v>
      </c>
      <c r="J10" s="117">
        <v>170</v>
      </c>
      <c r="K10" s="144"/>
      <c r="L10" s="144"/>
      <c r="M10" s="144"/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6</v>
      </c>
      <c r="AB10" s="37"/>
      <c r="AC10" s="37"/>
      <c r="AD10" s="37"/>
      <c r="AE10" s="37"/>
      <c r="AF10" s="37"/>
      <c r="AG10" s="37"/>
      <c r="AH10" s="117">
        <v>6</v>
      </c>
      <c r="AI10" s="3"/>
      <c r="AJ10" s="117">
        <v>98</v>
      </c>
      <c r="AK10" s="117">
        <v>98</v>
      </c>
      <c r="AL10" s="144"/>
      <c r="AM10" s="144"/>
      <c r="AN10" s="117">
        <v>175</v>
      </c>
      <c r="AO10" s="117">
        <v>175</v>
      </c>
      <c r="AP10" s="117">
        <v>175</v>
      </c>
      <c r="AQ10" s="3"/>
      <c r="AR10" s="167">
        <v>87</v>
      </c>
      <c r="AS10" s="117">
        <v>85</v>
      </c>
      <c r="AT10" s="117">
        <v>85</v>
      </c>
      <c r="AU10" s="117">
        <v>85</v>
      </c>
      <c r="AV10" s="117">
        <v>85</v>
      </c>
      <c r="AW10" s="117">
        <v>85</v>
      </c>
      <c r="AX10" s="117">
        <v>85</v>
      </c>
    </row>
    <row x14ac:dyDescent="0.25" r="11" customHeight="1" ht="18.75">
      <c r="A11" s="30" t="s">
        <v>123</v>
      </c>
      <c r="B11" s="31" t="s">
        <v>52</v>
      </c>
      <c r="C11" s="31" t="s">
        <v>49</v>
      </c>
      <c r="D11" s="31" t="s">
        <v>49</v>
      </c>
      <c r="E11" s="31" t="s">
        <v>49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143" t="s">
        <v>49</v>
      </c>
      <c r="L11" s="143" t="s">
        <v>49</v>
      </c>
      <c r="M11" s="143" t="s">
        <v>49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  <c r="AI11" s="3"/>
      <c r="AJ11" s="31" t="s">
        <v>52</v>
      </c>
      <c r="AK11" s="31" t="s">
        <v>52</v>
      </c>
      <c r="AL11" s="143" t="s">
        <v>49</v>
      </c>
      <c r="AM11" s="143" t="s">
        <v>49</v>
      </c>
      <c r="AN11" s="31" t="s">
        <v>162</v>
      </c>
      <c r="AO11" s="31" t="s">
        <v>162</v>
      </c>
      <c r="AP11" s="31" t="s">
        <v>162</v>
      </c>
      <c r="AQ11" s="3"/>
      <c r="AR11" s="139" t="s">
        <v>52</v>
      </c>
      <c r="AS11" s="31" t="s">
        <v>52</v>
      </c>
      <c r="AT11" s="31" t="s">
        <v>52</v>
      </c>
      <c r="AU11" s="31" t="s">
        <v>52</v>
      </c>
      <c r="AV11" s="31" t="s">
        <v>52</v>
      </c>
      <c r="AW11" s="31" t="s">
        <v>52</v>
      </c>
      <c r="AX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143" t="s">
        <v>49</v>
      </c>
      <c r="L12" s="143" t="s">
        <v>49</v>
      </c>
      <c r="M12" s="143" t="s">
        <v>49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  <c r="AI12" s="3"/>
      <c r="AJ12" s="31" t="s">
        <v>52</v>
      </c>
      <c r="AK12" s="31" t="s">
        <v>52</v>
      </c>
      <c r="AL12" s="143" t="s">
        <v>49</v>
      </c>
      <c r="AM12" s="143" t="s">
        <v>49</v>
      </c>
      <c r="AN12" s="31" t="s">
        <v>162</v>
      </c>
      <c r="AO12" s="31" t="s">
        <v>162</v>
      </c>
      <c r="AP12" s="31" t="s">
        <v>162</v>
      </c>
      <c r="AQ12" s="3"/>
      <c r="AR12" s="139" t="s">
        <v>52</v>
      </c>
      <c r="AS12" s="31" t="s">
        <v>52</v>
      </c>
      <c r="AT12" s="31" t="s">
        <v>52</v>
      </c>
      <c r="AU12" s="31" t="s">
        <v>52</v>
      </c>
      <c r="AV12" s="31" t="s">
        <v>52</v>
      </c>
      <c r="AW12" s="31" t="s">
        <v>52</v>
      </c>
      <c r="AX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143" t="s">
        <v>49</v>
      </c>
      <c r="L13" s="143" t="s">
        <v>49</v>
      </c>
      <c r="M13" s="143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31" t="s">
        <v>49</v>
      </c>
      <c r="AK13" s="31" t="s">
        <v>49</v>
      </c>
      <c r="AL13" s="143" t="s">
        <v>49</v>
      </c>
      <c r="AM13" s="143" t="s">
        <v>49</v>
      </c>
      <c r="AN13" s="31" t="s">
        <v>49</v>
      </c>
      <c r="AO13" s="31" t="s">
        <v>49</v>
      </c>
      <c r="AP13" s="31" t="s">
        <v>49</v>
      </c>
      <c r="AQ13" s="3"/>
      <c r="AR13" s="139" t="s">
        <v>49</v>
      </c>
      <c r="AS13" s="31" t="s">
        <v>49</v>
      </c>
      <c r="AT13" s="31" t="s">
        <v>49</v>
      </c>
      <c r="AU13" s="31" t="s">
        <v>49</v>
      </c>
      <c r="AV13" s="31" t="s">
        <v>49</v>
      </c>
      <c r="AW13" s="31" t="s">
        <v>49</v>
      </c>
      <c r="AX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143" t="s">
        <v>49</v>
      </c>
      <c r="L14" s="143" t="s">
        <v>49</v>
      </c>
      <c r="M14" s="143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  <c r="AL14" s="143" t="s">
        <v>49</v>
      </c>
      <c r="AM14" s="143" t="s">
        <v>49</v>
      </c>
      <c r="AN14" s="31" t="s">
        <v>49</v>
      </c>
      <c r="AO14" s="31" t="s">
        <v>49</v>
      </c>
      <c r="AP14" s="31" t="s">
        <v>49</v>
      </c>
      <c r="AQ14" s="3"/>
      <c r="AR14" s="31" t="s">
        <v>52</v>
      </c>
      <c r="AS14" s="33" t="s">
        <v>52</v>
      </c>
      <c r="AT14" s="33" t="s">
        <v>52</v>
      </c>
      <c r="AU14" s="33" t="s">
        <v>52</v>
      </c>
      <c r="AV14" s="33" t="s">
        <v>52</v>
      </c>
      <c r="AW14" s="33" t="s">
        <v>52</v>
      </c>
      <c r="AX14" s="33" t="s">
        <v>52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143" t="s">
        <v>143</v>
      </c>
      <c r="L15" s="143" t="s">
        <v>143</v>
      </c>
      <c r="M15" s="143" t="s">
        <v>143</v>
      </c>
      <c r="N15" s="32"/>
      <c r="O15" s="32"/>
      <c r="P15" s="143" t="s">
        <v>143</v>
      </c>
      <c r="Q15" s="143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  <c r="AI15" s="3"/>
      <c r="AJ15" s="31" t="s">
        <v>133</v>
      </c>
      <c r="AK15" s="31" t="s">
        <v>133</v>
      </c>
      <c r="AL15" s="143" t="s">
        <v>143</v>
      </c>
      <c r="AM15" s="143" t="s">
        <v>143</v>
      </c>
      <c r="AN15" s="31" t="s">
        <v>143</v>
      </c>
      <c r="AO15" s="31" t="s">
        <v>143</v>
      </c>
      <c r="AP15" s="31" t="s">
        <v>143</v>
      </c>
      <c r="AQ15" s="3"/>
      <c r="AR15" s="31" t="s">
        <v>164</v>
      </c>
      <c r="AS15" s="31" t="s">
        <v>143</v>
      </c>
      <c r="AT15" s="31" t="s">
        <v>143</v>
      </c>
      <c r="AU15" s="31" t="s">
        <v>143</v>
      </c>
      <c r="AV15" s="31" t="s">
        <v>143</v>
      </c>
      <c r="AW15" s="31" t="s">
        <v>143</v>
      </c>
      <c r="AX15" s="31" t="s">
        <v>143</v>
      </c>
    </row>
    <row x14ac:dyDescent="0.25" r="16" customHeight="1" ht="18.75">
      <c r="A16" s="30" t="s">
        <v>128</v>
      </c>
      <c r="B16" s="31">
        <f>5/3</f>
      </c>
      <c r="C16" s="31">
        <f>AVERAGE(2,5/3)</f>
      </c>
      <c r="D16" s="31">
        <f>AVERAGE(2,5/3)</f>
      </c>
      <c r="E16" s="31">
        <f>AVERAGE(2,5/3)</f>
      </c>
      <c r="F16" s="31">
        <f>11/6</f>
      </c>
      <c r="G16" s="31">
        <f>11/6</f>
      </c>
      <c r="H16" s="31">
        <f>11/6</f>
      </c>
      <c r="I16" s="31">
        <f>11/6</f>
      </c>
      <c r="J16" s="31">
        <f>AVERAGE(2,11/6)</f>
      </c>
      <c r="K16" s="143">
        <f>AVERAGE(11/6,0.5)</f>
      </c>
      <c r="L16" s="143">
        <f>AVERAGE(11/6,0.5)</f>
      </c>
      <c r="M16" s="143">
        <f>AVERAGE(11/6,0.5)</f>
      </c>
      <c r="N16" s="31"/>
      <c r="O16" s="31"/>
      <c r="P16" s="143">
        <f>11/6</f>
      </c>
      <c r="Q16" s="143">
        <f>11/6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5/3</f>
      </c>
      <c r="AB16" s="31"/>
      <c r="AC16" s="31"/>
      <c r="AD16" s="31"/>
      <c r="AE16" s="31"/>
      <c r="AF16" s="31"/>
      <c r="AG16" s="31"/>
      <c r="AH16" s="31">
        <f>5/3</f>
      </c>
      <c r="AI16" s="3"/>
      <c r="AJ16" s="31">
        <v>-2</v>
      </c>
      <c r="AK16" s="31">
        <v>-2</v>
      </c>
      <c r="AL16" s="143">
        <f>11/6</f>
      </c>
      <c r="AM16" s="143">
        <f>11/6</f>
      </c>
      <c r="AN16" s="31">
        <f>11/6</f>
      </c>
      <c r="AO16" s="31">
        <f>11/6</f>
      </c>
      <c r="AP16" s="142">
        <f>11/6</f>
      </c>
      <c r="AQ16" s="3"/>
      <c r="AR16" s="31">
        <f>-7/6</f>
      </c>
      <c r="AS16" s="31">
        <v>0.75</v>
      </c>
      <c r="AT16" s="31">
        <v>0.75</v>
      </c>
      <c r="AU16" s="31">
        <v>0.75</v>
      </c>
      <c r="AV16" s="31">
        <v>0.75</v>
      </c>
      <c r="AW16" s="31">
        <v>0.75</v>
      </c>
      <c r="AX16" s="31">
        <v>0.75</v>
      </c>
    </row>
    <row x14ac:dyDescent="0.25" r="17" customHeight="1" ht="18.75">
      <c r="A17" s="30" t="s">
        <v>129</v>
      </c>
      <c r="B17" s="31" t="s">
        <v>138</v>
      </c>
      <c r="C17" s="33" t="s">
        <v>358</v>
      </c>
      <c r="D17" s="33" t="s">
        <v>358</v>
      </c>
      <c r="E17" s="33" t="s">
        <v>358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146" t="s">
        <v>358</v>
      </c>
      <c r="L17" s="146" t="s">
        <v>358</v>
      </c>
      <c r="M17" s="146" t="s">
        <v>358</v>
      </c>
      <c r="N17" s="32"/>
      <c r="O17" s="32"/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  <c r="AI17" s="3"/>
      <c r="AJ17" s="31" t="s">
        <v>134</v>
      </c>
      <c r="AK17" s="31" t="s">
        <v>134</v>
      </c>
      <c r="AL17" s="146" t="s">
        <v>358</v>
      </c>
      <c r="AM17" s="146" t="s">
        <v>358</v>
      </c>
      <c r="AN17" s="119" t="s">
        <v>369</v>
      </c>
      <c r="AO17" s="210" t="s">
        <v>369</v>
      </c>
      <c r="AP17" s="119" t="s">
        <v>369</v>
      </c>
      <c r="AQ17" s="3"/>
      <c r="AR17" s="33" t="s">
        <v>167</v>
      </c>
      <c r="AS17" s="33" t="s">
        <v>167</v>
      </c>
      <c r="AT17" s="33" t="s">
        <v>167</v>
      </c>
      <c r="AU17" s="33" t="s">
        <v>167</v>
      </c>
      <c r="AV17" s="33" t="s">
        <v>167</v>
      </c>
      <c r="AW17" s="31" t="s">
        <v>167</v>
      </c>
      <c r="AX17" s="31" t="s">
        <v>167</v>
      </c>
    </row>
    <row x14ac:dyDescent="0.25" r="18" customHeight="1" ht="18.75">
      <c r="A18" s="30" t="s">
        <v>130</v>
      </c>
      <c r="B18" s="31">
        <v>4</v>
      </c>
      <c r="C18" s="31">
        <v>0</v>
      </c>
      <c r="D18" s="31">
        <v>0</v>
      </c>
      <c r="E18" s="31">
        <v>0</v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143">
        <v>0</v>
      </c>
      <c r="L18" s="143">
        <v>0</v>
      </c>
      <c r="M18" s="143">
        <v>0</v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  <c r="AI18" s="3"/>
      <c r="AJ18" s="31">
        <f>1/3</f>
      </c>
      <c r="AK18" s="31">
        <f>1/3</f>
      </c>
      <c r="AL18" s="143">
        <v>0</v>
      </c>
      <c r="AM18" s="143">
        <v>0</v>
      </c>
      <c r="AN18" s="31">
        <f>AVERAGE(0.5,0)</f>
      </c>
      <c r="AO18" s="31">
        <f>AVERAGE(0.5,0)</f>
      </c>
      <c r="AP18" s="31">
        <f>AVERAGE(0.5,0)</f>
      </c>
      <c r="AQ18" s="3"/>
      <c r="AR18" s="31">
        <v>0.75</v>
      </c>
      <c r="AS18" s="31">
        <v>0.75</v>
      </c>
      <c r="AT18" s="31">
        <v>0.75</v>
      </c>
      <c r="AU18" s="31">
        <v>0.75</v>
      </c>
      <c r="AV18" s="31">
        <v>0.75</v>
      </c>
      <c r="AW18" s="31">
        <v>0.75</v>
      </c>
      <c r="AX18" s="31">
        <v>0.75</v>
      </c>
    </row>
    <row x14ac:dyDescent="0.25" r="19" customHeight="1" ht="15.75">
      <c r="A19" s="46"/>
      <c r="B19" s="2"/>
      <c r="C19" s="121" t="s">
        <v>874</v>
      </c>
      <c r="D19" s="121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  <c r="AI19" s="3"/>
      <c r="AJ19" s="138" t="s">
        <v>875</v>
      </c>
      <c r="AK19" s="2"/>
      <c r="AL19" s="2"/>
      <c r="AM19" s="2"/>
      <c r="AN19" s="2"/>
      <c r="AO19" s="2"/>
      <c r="AP19" s="2"/>
      <c r="AQ19" s="3"/>
      <c r="AR19" s="121" t="s">
        <v>876</v>
      </c>
      <c r="AS19" s="152"/>
      <c r="AT19" s="2"/>
      <c r="AU19" s="2"/>
      <c r="AV19" s="2"/>
      <c r="AW19" s="2"/>
      <c r="AX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  <c r="AI20" s="3"/>
      <c r="AJ20" s="2"/>
      <c r="AK20" s="2"/>
      <c r="AL20" s="2"/>
      <c r="AM20" s="2"/>
      <c r="AN20" s="2"/>
      <c r="AO20" s="2"/>
      <c r="AP20" s="2"/>
      <c r="AQ20" s="3"/>
      <c r="AR20" s="2"/>
      <c r="AS20" s="2"/>
      <c r="AT20" s="2"/>
      <c r="AU20" s="2"/>
      <c r="AV20" s="2"/>
      <c r="AW20" s="2"/>
      <c r="AX20" s="2"/>
    </row>
    <row x14ac:dyDescent="0.25" r="21" customHeight="1" ht="18.75">
      <c r="A21" s="211" t="s">
        <v>877</v>
      </c>
      <c r="B21" s="40" t="s">
        <v>878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  <c r="AI21" s="3"/>
      <c r="AJ21" s="2"/>
      <c r="AK21" s="2"/>
      <c r="AL21" s="2"/>
      <c r="AM21" s="2"/>
      <c r="AN21" s="2"/>
      <c r="AO21" s="2"/>
      <c r="AP21" s="2"/>
      <c r="AQ21" s="3"/>
      <c r="AR21" s="2"/>
      <c r="AS21" s="2"/>
      <c r="AT21" s="2"/>
      <c r="AU21" s="2"/>
      <c r="AV21" s="2"/>
      <c r="AW21" s="2"/>
      <c r="AX21" s="2"/>
    </row>
    <row x14ac:dyDescent="0.25" r="22" customHeight="1" ht="18.75">
      <c r="A22" s="212"/>
      <c r="B22" s="40" t="s">
        <v>879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  <c r="AI22" s="3"/>
      <c r="AJ22" s="2"/>
      <c r="AK22" s="2"/>
      <c r="AL22" s="2"/>
      <c r="AM22" s="2"/>
      <c r="AN22" s="2"/>
      <c r="AO22" s="2"/>
      <c r="AP22" s="2"/>
      <c r="AQ22" s="3"/>
      <c r="AR22" s="2"/>
      <c r="AS22" s="2"/>
      <c r="AT22" s="2"/>
      <c r="AU22" s="2"/>
      <c r="AV22" s="2"/>
      <c r="AW22" s="2"/>
      <c r="AX22" s="2"/>
    </row>
    <row x14ac:dyDescent="0.25" r="23" customHeight="1" ht="18.75">
      <c r="A23" s="209" t="s">
        <v>880</v>
      </c>
      <c r="B23" s="40" t="s">
        <v>878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  <c r="AI23" s="3"/>
      <c r="AJ23" s="2"/>
      <c r="AK23" s="2"/>
      <c r="AL23" s="2"/>
      <c r="AM23" s="2"/>
      <c r="AN23" s="2"/>
      <c r="AO23" s="2"/>
      <c r="AP23" s="2"/>
      <c r="AQ23" s="3"/>
      <c r="AR23" s="2"/>
      <c r="AS23" s="2"/>
      <c r="AT23" s="2"/>
      <c r="AU23" s="2"/>
      <c r="AV23" s="2"/>
      <c r="AW23" s="2"/>
      <c r="AX23" s="2"/>
    </row>
    <row x14ac:dyDescent="0.25" r="24" customHeight="1" ht="18.75">
      <c r="A24" s="30"/>
      <c r="B24" s="40" t="s">
        <v>881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2"/>
      <c r="Q24" s="2"/>
      <c r="R24" s="3"/>
      <c r="S24" s="3"/>
      <c r="T24" s="3"/>
      <c r="U24" s="3"/>
      <c r="V24" s="3"/>
      <c r="W24" s="3"/>
      <c r="X24" s="3"/>
      <c r="Y24" s="3"/>
      <c r="Z24" s="3"/>
      <c r="AA24" s="2"/>
      <c r="AB24" s="3"/>
      <c r="AC24" s="3"/>
      <c r="AD24" s="3"/>
      <c r="AE24" s="3"/>
      <c r="AF24" s="3"/>
      <c r="AG24" s="3"/>
      <c r="AH24" s="2"/>
      <c r="AI24" s="3"/>
      <c r="AJ24" s="2"/>
      <c r="AK24" s="2"/>
      <c r="AL24" s="2"/>
      <c r="AM24" s="2"/>
      <c r="AN24" s="2"/>
      <c r="AO24" s="2"/>
      <c r="AP24" s="2"/>
      <c r="AQ24" s="3"/>
      <c r="AR24" s="2"/>
      <c r="AS24" s="2"/>
      <c r="AT24" s="2"/>
      <c r="AU24" s="2"/>
      <c r="AV24" s="2"/>
      <c r="AW24" s="2"/>
      <c r="AX24" s="2"/>
    </row>
    <row x14ac:dyDescent="0.25" r="25" customHeight="1" ht="18.75">
      <c r="A25" s="30"/>
      <c r="B25" s="40" t="s">
        <v>882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2"/>
      <c r="AB25" s="3"/>
      <c r="AC25" s="3"/>
      <c r="AD25" s="3"/>
      <c r="AE25" s="3"/>
      <c r="AF25" s="3"/>
      <c r="AG25" s="3"/>
      <c r="AH25" s="2"/>
      <c r="AI25" s="3"/>
      <c r="AJ25" s="2"/>
      <c r="AK25" s="2"/>
      <c r="AL25" s="2"/>
      <c r="AM25" s="2"/>
      <c r="AN25" s="2"/>
      <c r="AO25" s="2"/>
      <c r="AP25" s="2"/>
      <c r="AQ25" s="3"/>
      <c r="AR25" s="2"/>
      <c r="AS25" s="2"/>
      <c r="AT25" s="2"/>
      <c r="AU25" s="2"/>
      <c r="AV25" s="2"/>
      <c r="AW25" s="2"/>
      <c r="AX25" s="2"/>
    </row>
    <row x14ac:dyDescent="0.25" r="26" customHeight="1" ht="18.75">
      <c r="A26" s="209" t="s">
        <v>883</v>
      </c>
      <c r="B26" s="40" t="s">
        <v>878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2"/>
      <c r="AB26" s="3"/>
      <c r="AC26" s="3"/>
      <c r="AD26" s="3"/>
      <c r="AE26" s="3"/>
      <c r="AF26" s="3"/>
      <c r="AG26" s="3"/>
      <c r="AH26" s="2"/>
      <c r="AI26" s="3"/>
      <c r="AJ26" s="2"/>
      <c r="AK26" s="2"/>
      <c r="AL26" s="2"/>
      <c r="AM26" s="2"/>
      <c r="AN26" s="2"/>
      <c r="AO26" s="2"/>
      <c r="AP26" s="2"/>
      <c r="AQ26" s="3"/>
      <c r="AR26" s="2"/>
      <c r="AS26" s="2"/>
      <c r="AT26" s="2"/>
      <c r="AU26" s="2"/>
      <c r="AV26" s="2"/>
      <c r="AW26" s="2"/>
      <c r="AX26" s="2"/>
    </row>
    <row x14ac:dyDescent="0.25" r="27" customHeight="1" ht="18.75">
      <c r="A27" s="30"/>
      <c r="B27" s="40" t="s">
        <v>884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2"/>
      <c r="Q27" s="2"/>
      <c r="R27" s="3"/>
      <c r="S27" s="3"/>
      <c r="T27" s="3"/>
      <c r="U27" s="3"/>
      <c r="V27" s="3"/>
      <c r="W27" s="3"/>
      <c r="X27" s="3"/>
      <c r="Y27" s="3"/>
      <c r="Z27" s="3"/>
      <c r="AA27" s="2"/>
      <c r="AB27" s="3"/>
      <c r="AC27" s="3"/>
      <c r="AD27" s="3"/>
      <c r="AE27" s="3"/>
      <c r="AF27" s="3"/>
      <c r="AG27" s="3"/>
      <c r="AH27" s="2"/>
      <c r="AI27" s="3"/>
      <c r="AJ27" s="2"/>
      <c r="AK27" s="2"/>
      <c r="AL27" s="2"/>
      <c r="AM27" s="2"/>
      <c r="AN27" s="2"/>
      <c r="AO27" s="2"/>
      <c r="AP27" s="2"/>
      <c r="AQ27" s="3"/>
      <c r="AR27" s="2"/>
      <c r="AS27" s="2"/>
      <c r="AT27" s="2"/>
      <c r="AU27" s="2"/>
      <c r="AV27" s="2"/>
      <c r="AW27" s="2"/>
      <c r="AX27" s="2"/>
    </row>
    <row x14ac:dyDescent="0.25" r="28" customHeight="1" ht="18.75">
      <c r="A28" s="30"/>
      <c r="B28" s="40" t="s">
        <v>885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2"/>
      <c r="Q28" s="2"/>
      <c r="R28" s="3"/>
      <c r="S28" s="3"/>
      <c r="T28" s="3"/>
      <c r="U28" s="3"/>
      <c r="V28" s="3"/>
      <c r="W28" s="3"/>
      <c r="X28" s="3"/>
      <c r="Y28" s="3"/>
      <c r="Z28" s="3"/>
      <c r="AA28" s="2"/>
      <c r="AB28" s="3"/>
      <c r="AC28" s="3"/>
      <c r="AD28" s="3"/>
      <c r="AE28" s="3"/>
      <c r="AF28" s="3"/>
      <c r="AG28" s="3"/>
      <c r="AH28" s="2"/>
      <c r="AI28" s="3"/>
      <c r="AJ28" s="2"/>
      <c r="AK28" s="2"/>
      <c r="AL28" s="2"/>
      <c r="AM28" s="2"/>
      <c r="AN28" s="2"/>
      <c r="AO28" s="2"/>
      <c r="AP28" s="2"/>
      <c r="AQ28" s="3"/>
      <c r="AR28" s="2"/>
      <c r="AS28" s="2"/>
      <c r="AT28" s="2"/>
      <c r="AU28" s="2"/>
      <c r="AV28" s="2"/>
      <c r="AW28" s="2"/>
      <c r="AX28" s="2"/>
    </row>
  </sheetData>
  <mergeCells count="9">
    <mergeCell ref="B3:D3"/>
    <mergeCell ref="F3:O3"/>
    <mergeCell ref="B4:D4"/>
    <mergeCell ref="F4:P5"/>
    <mergeCell ref="B5:D5"/>
    <mergeCell ref="C19:D19"/>
    <mergeCell ref="A21:A22"/>
    <mergeCell ref="A23:A25"/>
    <mergeCell ref="A26:A2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4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59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852</v>
      </c>
      <c r="C4" s="7"/>
      <c r="D4" s="7"/>
      <c r="E4" s="2"/>
      <c r="F4" s="124" t="s">
        <v>867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307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562</v>
      </c>
      <c r="C8" s="31" t="s">
        <v>268</v>
      </c>
      <c r="D8" s="31" t="s">
        <v>268</v>
      </c>
      <c r="E8" s="31" t="s">
        <v>837</v>
      </c>
      <c r="F8" s="31" t="s">
        <v>268</v>
      </c>
      <c r="G8" s="31" t="s">
        <v>268</v>
      </c>
      <c r="H8" s="31" t="s">
        <v>268</v>
      </c>
      <c r="I8" s="31" t="s">
        <v>268</v>
      </c>
      <c r="J8" s="31" t="s">
        <v>268</v>
      </c>
      <c r="K8" s="31" t="s">
        <v>268</v>
      </c>
      <c r="L8" s="31" t="s">
        <v>268</v>
      </c>
      <c r="M8" s="31" t="s">
        <v>268</v>
      </c>
      <c r="N8" s="31" t="s">
        <v>268</v>
      </c>
      <c r="O8" s="31" t="s">
        <v>268</v>
      </c>
      <c r="P8" s="146" t="s">
        <v>358</v>
      </c>
      <c r="Q8" s="146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281</v>
      </c>
      <c r="AB8" s="32"/>
      <c r="AC8" s="32"/>
      <c r="AD8" s="32"/>
      <c r="AE8" s="32"/>
      <c r="AF8" s="32"/>
      <c r="AG8" s="32"/>
      <c r="AH8" s="31" t="s">
        <v>281</v>
      </c>
    </row>
    <row x14ac:dyDescent="0.25" r="9" customHeight="1" ht="16.5">
      <c r="A9" s="30" t="s">
        <v>45</v>
      </c>
      <c r="B9" s="31" t="s">
        <v>302</v>
      </c>
      <c r="C9" s="31" t="s">
        <v>839</v>
      </c>
      <c r="D9" s="31" t="s">
        <v>511</v>
      </c>
      <c r="E9" s="31" t="s">
        <v>840</v>
      </c>
      <c r="F9" s="31" t="s">
        <v>841</v>
      </c>
      <c r="G9" s="31" t="s">
        <v>841</v>
      </c>
      <c r="H9" s="31" t="s">
        <v>841</v>
      </c>
      <c r="I9" s="31" t="s">
        <v>841</v>
      </c>
      <c r="J9" s="31" t="s">
        <v>666</v>
      </c>
      <c r="K9" s="31" t="s">
        <v>666</v>
      </c>
      <c r="L9" s="31" t="s">
        <v>667</v>
      </c>
      <c r="M9" s="31" t="s">
        <v>668</v>
      </c>
      <c r="N9" s="31" t="s">
        <v>668</v>
      </c>
      <c r="O9" s="31" t="s">
        <v>839</v>
      </c>
      <c r="P9" s="146" t="s">
        <v>358</v>
      </c>
      <c r="Q9" s="146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302</v>
      </c>
      <c r="AB9" s="34"/>
      <c r="AC9" s="34"/>
      <c r="AD9" s="34"/>
      <c r="AE9" s="34"/>
      <c r="AF9" s="34"/>
      <c r="AG9" s="34"/>
      <c r="AH9" s="31" t="s">
        <v>302</v>
      </c>
    </row>
    <row x14ac:dyDescent="0.25" r="10" customHeight="1" ht="18.75">
      <c r="A10" s="35" t="s">
        <v>47</v>
      </c>
      <c r="B10" s="117">
        <v>19</v>
      </c>
      <c r="C10" s="117">
        <v>64</v>
      </c>
      <c r="D10" s="117">
        <v>20</v>
      </c>
      <c r="E10" s="117">
        <v>177</v>
      </c>
      <c r="F10" s="117">
        <v>95</v>
      </c>
      <c r="G10" s="117">
        <v>95</v>
      </c>
      <c r="H10" s="117">
        <v>95</v>
      </c>
      <c r="I10" s="117">
        <v>95</v>
      </c>
      <c r="J10" s="117">
        <v>173</v>
      </c>
      <c r="K10" s="117">
        <v>173</v>
      </c>
      <c r="L10" s="117">
        <v>171</v>
      </c>
      <c r="M10" s="117">
        <v>172</v>
      </c>
      <c r="N10" s="117">
        <v>172</v>
      </c>
      <c r="O10" s="117">
        <v>64</v>
      </c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19</v>
      </c>
      <c r="AB10" s="37"/>
      <c r="AC10" s="37"/>
      <c r="AD10" s="37"/>
      <c r="AE10" s="37"/>
      <c r="AF10" s="37"/>
      <c r="AG10" s="37"/>
      <c r="AH10" s="117">
        <v>19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1" t="s">
        <v>843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844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143" t="s">
        <v>234</v>
      </c>
      <c r="Q15" s="143" t="s">
        <v>234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234</v>
      </c>
      <c r="AB15" s="32"/>
      <c r="AC15" s="32"/>
      <c r="AD15" s="32"/>
      <c r="AE15" s="32"/>
      <c r="AF15" s="32"/>
      <c r="AG15" s="32"/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f>AVERAGE(-3,-3,-5)</f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143">
        <v>-3</v>
      </c>
      <c r="Q16" s="143">
        <v>-3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-3</v>
      </c>
      <c r="AB16" s="31"/>
      <c r="AC16" s="31"/>
      <c r="AD16" s="31"/>
      <c r="AE16" s="31"/>
      <c r="AF16" s="31"/>
      <c r="AG16" s="31"/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138</v>
      </c>
      <c r="E17" s="31" t="s">
        <v>846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1" t="s">
        <v>322</v>
      </c>
      <c r="O17" s="31" t="s">
        <v>169</v>
      </c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4</v>
      </c>
      <c r="E18" s="31">
        <f>AVERAGE(0.5,0.5,2)</f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>
        <f>AVERAGE(4,2)</f>
      </c>
      <c r="O18" s="31">
        <v>2</v>
      </c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209" t="s">
        <v>868</v>
      </c>
      <c r="B21" s="40" t="s">
        <v>849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  <row x14ac:dyDescent="0.25" r="22" customHeight="1" ht="18.75">
      <c r="A22" s="30"/>
      <c r="B22" s="40" t="s">
        <v>858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</row>
    <row x14ac:dyDescent="0.25" r="23" customHeight="1" ht="18.75">
      <c r="A23" s="30"/>
      <c r="B23" s="40" t="s">
        <v>861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</row>
    <row x14ac:dyDescent="0.25" r="24" customHeight="1" ht="18.75">
      <c r="A24" s="123" t="s">
        <v>869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3"/>
      <c r="T24" s="3"/>
      <c r="U24" s="3"/>
      <c r="V24" s="3"/>
      <c r="W24" s="3"/>
      <c r="X24" s="3"/>
      <c r="Y24" s="3"/>
      <c r="Z24" s="3"/>
      <c r="AA24" s="2"/>
      <c r="AB24" s="3"/>
      <c r="AC24" s="3"/>
      <c r="AD24" s="3"/>
      <c r="AE24" s="3"/>
      <c r="AF24" s="3"/>
      <c r="AG24" s="3"/>
      <c r="AH24" s="2"/>
    </row>
  </sheetData>
  <mergeCells count="6">
    <mergeCell ref="B3:D3"/>
    <mergeCell ref="F3:O3"/>
    <mergeCell ref="B4:D4"/>
    <mergeCell ref="F4:O5"/>
    <mergeCell ref="B5:D5"/>
    <mergeCell ref="A21:A2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60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852</v>
      </c>
      <c r="C4" s="7"/>
      <c r="D4" s="7"/>
      <c r="E4" s="2"/>
      <c r="F4" s="124" t="s">
        <v>862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219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562</v>
      </c>
      <c r="C8" s="33" t="s">
        <v>411</v>
      </c>
      <c r="D8" s="33" t="s">
        <v>411</v>
      </c>
      <c r="E8" s="31" t="s">
        <v>281</v>
      </c>
      <c r="F8" s="31" t="s">
        <v>281</v>
      </c>
      <c r="G8" s="208" t="s">
        <v>281</v>
      </c>
      <c r="H8" s="33" t="s">
        <v>281</v>
      </c>
      <c r="I8" s="33" t="s">
        <v>281</v>
      </c>
      <c r="J8" s="31" t="s">
        <v>281</v>
      </c>
      <c r="K8" s="146" t="s">
        <v>358</v>
      </c>
      <c r="L8" s="146" t="s">
        <v>358</v>
      </c>
      <c r="M8" s="146" t="s">
        <v>358</v>
      </c>
      <c r="N8" s="32"/>
      <c r="O8" s="32"/>
      <c r="P8" s="33" t="s">
        <v>207</v>
      </c>
      <c r="Q8" s="33" t="s">
        <v>207</v>
      </c>
      <c r="R8" s="32"/>
      <c r="S8" s="32"/>
      <c r="T8" s="32" t="s">
        <v>220</v>
      </c>
      <c r="U8" s="32"/>
      <c r="V8" s="32"/>
      <c r="W8" s="32"/>
      <c r="X8" s="32"/>
      <c r="Y8" s="32"/>
      <c r="Z8" s="32"/>
      <c r="AA8" s="33" t="s">
        <v>281</v>
      </c>
      <c r="AB8" s="32"/>
      <c r="AC8" s="32"/>
      <c r="AD8" s="32"/>
      <c r="AE8" s="32"/>
      <c r="AF8" s="32"/>
      <c r="AG8" s="32"/>
      <c r="AH8" s="33" t="s">
        <v>281</v>
      </c>
    </row>
    <row x14ac:dyDescent="0.25" r="9" customHeight="1" ht="18.75">
      <c r="A9" s="30" t="s">
        <v>45</v>
      </c>
      <c r="B9" s="31" t="s">
        <v>302</v>
      </c>
      <c r="C9" s="31" t="s">
        <v>633</v>
      </c>
      <c r="D9" s="33" t="s">
        <v>411</v>
      </c>
      <c r="E9" s="31" t="s">
        <v>289</v>
      </c>
      <c r="F9" s="31" t="s">
        <v>290</v>
      </c>
      <c r="G9" s="33" t="s">
        <v>290</v>
      </c>
      <c r="H9" s="33" t="s">
        <v>211</v>
      </c>
      <c r="I9" s="33" t="s">
        <v>207</v>
      </c>
      <c r="J9" s="33" t="s">
        <v>290</v>
      </c>
      <c r="K9" s="146" t="s">
        <v>358</v>
      </c>
      <c r="L9" s="146" t="s">
        <v>358</v>
      </c>
      <c r="M9" s="146" t="s">
        <v>358</v>
      </c>
      <c r="N9" s="34"/>
      <c r="O9" s="34"/>
      <c r="P9" s="33" t="s">
        <v>409</v>
      </c>
      <c r="Q9" s="33" t="s">
        <v>409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294</v>
      </c>
      <c r="AB9" s="34"/>
      <c r="AC9" s="34"/>
      <c r="AD9" s="34"/>
      <c r="AE9" s="34"/>
      <c r="AF9" s="34"/>
      <c r="AG9" s="34"/>
      <c r="AH9" s="31" t="s">
        <v>294</v>
      </c>
    </row>
    <row x14ac:dyDescent="0.25" r="10" customHeight="1" ht="18.75">
      <c r="A10" s="35" t="s">
        <v>47</v>
      </c>
      <c r="B10" s="117">
        <v>19</v>
      </c>
      <c r="C10" s="117">
        <v>121</v>
      </c>
      <c r="D10" s="117">
        <v>51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44"/>
      <c r="L10" s="144"/>
      <c r="M10" s="144"/>
      <c r="N10" s="37"/>
      <c r="O10" s="37"/>
      <c r="P10" s="117">
        <v>49</v>
      </c>
      <c r="Q10" s="117">
        <v>49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34</v>
      </c>
      <c r="AB10" s="37"/>
      <c r="AC10" s="37"/>
      <c r="AD10" s="37"/>
      <c r="AE10" s="37"/>
      <c r="AF10" s="37"/>
      <c r="AG10" s="37"/>
      <c r="AH10" s="117">
        <v>34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143" t="s">
        <v>49</v>
      </c>
      <c r="L11" s="143" t="s">
        <v>49</v>
      </c>
      <c r="M11" s="143" t="s">
        <v>49</v>
      </c>
      <c r="N11" s="32"/>
      <c r="O11" s="32"/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143" t="s">
        <v>49</v>
      </c>
      <c r="L12" s="143" t="s">
        <v>49</v>
      </c>
      <c r="M12" s="143" t="s">
        <v>49</v>
      </c>
      <c r="N12" s="32"/>
      <c r="O12" s="32"/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143" t="s">
        <v>49</v>
      </c>
      <c r="L13" s="143" t="s">
        <v>49</v>
      </c>
      <c r="M13" s="143" t="s">
        <v>49</v>
      </c>
      <c r="N13" s="32"/>
      <c r="O13" s="32"/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143" t="s">
        <v>49</v>
      </c>
      <c r="L14" s="143" t="s">
        <v>49</v>
      </c>
      <c r="M14" s="143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143" t="s">
        <v>143</v>
      </c>
      <c r="L15" s="143" t="s">
        <v>143</v>
      </c>
      <c r="M15" s="143" t="s">
        <v>143</v>
      </c>
      <c r="N15" s="32"/>
      <c r="O15" s="32"/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2"/>
      <c r="AC15" s="32"/>
      <c r="AD15" s="32"/>
      <c r="AE15" s="32"/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-3</v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143">
        <v>1.1666666666666665</v>
      </c>
      <c r="L16" s="143">
        <v>1.1666666666666665</v>
      </c>
      <c r="M16" s="143">
        <v>1.1666666666666665</v>
      </c>
      <c r="N16" s="31"/>
      <c r="O16" s="31"/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/>
      <c r="AC16" s="31"/>
      <c r="AD16" s="31"/>
      <c r="AE16" s="31"/>
      <c r="AF16" s="31"/>
      <c r="AG16" s="31"/>
      <c r="AH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146" t="s">
        <v>358</v>
      </c>
      <c r="L17" s="146" t="s">
        <v>358</v>
      </c>
      <c r="M17" s="146" t="s">
        <v>358</v>
      </c>
      <c r="N17" s="32"/>
      <c r="O17" s="32"/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274</v>
      </c>
      <c r="AB17" s="32"/>
      <c r="AC17" s="32"/>
      <c r="AD17" s="32"/>
      <c r="AE17" s="32"/>
      <c r="AF17" s="32"/>
      <c r="AG17" s="32"/>
      <c r="AH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143">
        <v>0</v>
      </c>
      <c r="L18" s="143">
        <v>0</v>
      </c>
      <c r="M18" s="143">
        <v>0</v>
      </c>
      <c r="N18" s="31"/>
      <c r="O18" s="31"/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</v>
      </c>
      <c r="AB18" s="31"/>
      <c r="AC18" s="31"/>
      <c r="AD18" s="31"/>
      <c r="AE18" s="31"/>
      <c r="AF18" s="31"/>
      <c r="AG18" s="31"/>
      <c r="AH18" s="31">
        <v>3</v>
      </c>
    </row>
    <row x14ac:dyDescent="0.25" r="19" customHeight="1" ht="18.75">
      <c r="A19" s="4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209" t="s">
        <v>863</v>
      </c>
      <c r="B21" s="40" t="s">
        <v>864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  <row x14ac:dyDescent="0.25" r="22" customHeight="1" ht="18.75">
      <c r="A22" s="30"/>
      <c r="B22" s="40" t="s">
        <v>865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3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</row>
    <row x14ac:dyDescent="0.25" r="23" customHeight="1" ht="18.75">
      <c r="A23" s="30"/>
      <c r="B23" s="40" t="s">
        <v>866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  <c r="O23" s="3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</row>
  </sheetData>
  <mergeCells count="6">
    <mergeCell ref="B3:D3"/>
    <mergeCell ref="F3:O3"/>
    <mergeCell ref="B4:D4"/>
    <mergeCell ref="F4:O5"/>
    <mergeCell ref="B5:D5"/>
    <mergeCell ref="A21:A2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6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</row>
    <row x14ac:dyDescent="0.25" r="2" customHeight="1" ht="18.7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</row>
    <row x14ac:dyDescent="0.25" r="3" customHeight="1" ht="18.75">
      <c r="A3" s="1" t="s">
        <v>2</v>
      </c>
      <c r="B3" s="5">
        <v>61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</row>
    <row x14ac:dyDescent="0.25" r="4" customHeight="1" ht="18.75">
      <c r="A4" s="1" t="s">
        <v>4</v>
      </c>
      <c r="B4" s="7" t="s">
        <v>852</v>
      </c>
      <c r="C4" s="7"/>
      <c r="D4" s="7"/>
      <c r="E4" s="2"/>
      <c r="F4" s="124" t="s">
        <v>853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</row>
    <row x14ac:dyDescent="0.25" r="5" customHeight="1" ht="18.75">
      <c r="A5" s="1" t="s">
        <v>7</v>
      </c>
      <c r="B5" s="7" t="s">
        <v>300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</row>
    <row x14ac:dyDescent="0.25" r="6" customHeight="1" ht="18.7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  <c r="AI7" s="3"/>
      <c r="AJ7" s="102" t="s">
        <v>24</v>
      </c>
      <c r="AK7" s="102" t="s">
        <v>25</v>
      </c>
    </row>
    <row x14ac:dyDescent="0.25" r="8" customHeight="1" ht="18.75">
      <c r="A8" s="30" t="s">
        <v>43</v>
      </c>
      <c r="B8" s="33" t="s">
        <v>562</v>
      </c>
      <c r="C8" s="33" t="s">
        <v>268</v>
      </c>
      <c r="D8" s="33" t="s">
        <v>268</v>
      </c>
      <c r="E8" s="31" t="s">
        <v>837</v>
      </c>
      <c r="F8" s="33" t="s">
        <v>268</v>
      </c>
      <c r="G8" s="33" t="s">
        <v>268</v>
      </c>
      <c r="H8" s="33" t="s">
        <v>268</v>
      </c>
      <c r="I8" s="33" t="s">
        <v>268</v>
      </c>
      <c r="J8" s="33" t="s">
        <v>268</v>
      </c>
      <c r="K8" s="33" t="s">
        <v>268</v>
      </c>
      <c r="L8" s="33" t="s">
        <v>268</v>
      </c>
      <c r="M8" s="33" t="s">
        <v>268</v>
      </c>
      <c r="N8" s="31" t="s">
        <v>268</v>
      </c>
      <c r="O8" s="31" t="s">
        <v>268</v>
      </c>
      <c r="P8" s="33" t="s">
        <v>854</v>
      </c>
      <c r="Q8" s="33" t="s">
        <v>854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281</v>
      </c>
      <c r="AB8" s="32"/>
      <c r="AC8" s="32"/>
      <c r="AD8" s="32"/>
      <c r="AE8" s="32"/>
      <c r="AF8" s="32"/>
      <c r="AG8" s="32"/>
      <c r="AH8" s="33" t="s">
        <v>281</v>
      </c>
      <c r="AI8" s="3"/>
      <c r="AJ8" s="146" t="s">
        <v>358</v>
      </c>
      <c r="AK8" s="146" t="s">
        <v>358</v>
      </c>
    </row>
    <row x14ac:dyDescent="0.25" r="9" customHeight="1" ht="15.75">
      <c r="A9" s="30" t="s">
        <v>45</v>
      </c>
      <c r="B9" s="31" t="s">
        <v>302</v>
      </c>
      <c r="C9" s="31" t="s">
        <v>839</v>
      </c>
      <c r="D9" s="31" t="s">
        <v>511</v>
      </c>
      <c r="E9" s="31" t="s">
        <v>840</v>
      </c>
      <c r="F9" s="31" t="s">
        <v>841</v>
      </c>
      <c r="G9" s="31" t="s">
        <v>841</v>
      </c>
      <c r="H9" s="31" t="s">
        <v>841</v>
      </c>
      <c r="I9" s="31" t="s">
        <v>841</v>
      </c>
      <c r="J9" s="33" t="s">
        <v>666</v>
      </c>
      <c r="K9" s="33" t="s">
        <v>666</v>
      </c>
      <c r="L9" s="33" t="s">
        <v>667</v>
      </c>
      <c r="M9" s="33" t="s">
        <v>668</v>
      </c>
      <c r="N9" s="31" t="s">
        <v>668</v>
      </c>
      <c r="O9" s="31" t="s">
        <v>839</v>
      </c>
      <c r="P9" s="33" t="s">
        <v>368</v>
      </c>
      <c r="Q9" s="33" t="s">
        <v>368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302</v>
      </c>
      <c r="AB9" s="34"/>
      <c r="AC9" s="34"/>
      <c r="AD9" s="34"/>
      <c r="AE9" s="34"/>
      <c r="AF9" s="34"/>
      <c r="AG9" s="34"/>
      <c r="AH9" s="31" t="s">
        <v>302</v>
      </c>
      <c r="AI9" s="3"/>
      <c r="AJ9" s="146" t="s">
        <v>358</v>
      </c>
      <c r="AK9" s="146" t="s">
        <v>358</v>
      </c>
    </row>
    <row x14ac:dyDescent="0.25" r="10" customHeight="1" ht="18.75">
      <c r="A10" s="35" t="s">
        <v>47</v>
      </c>
      <c r="B10" s="117">
        <v>19</v>
      </c>
      <c r="C10" s="117">
        <v>64</v>
      </c>
      <c r="D10" s="117">
        <v>20</v>
      </c>
      <c r="E10" s="117">
        <v>177</v>
      </c>
      <c r="F10" s="117">
        <v>95</v>
      </c>
      <c r="G10" s="117">
        <v>95</v>
      </c>
      <c r="H10" s="117">
        <v>95</v>
      </c>
      <c r="I10" s="117">
        <v>95</v>
      </c>
      <c r="J10" s="117">
        <v>173</v>
      </c>
      <c r="K10" s="117">
        <v>173</v>
      </c>
      <c r="L10" s="117">
        <v>171</v>
      </c>
      <c r="M10" s="117">
        <v>172</v>
      </c>
      <c r="N10" s="117">
        <v>172</v>
      </c>
      <c r="O10" s="117">
        <v>64</v>
      </c>
      <c r="P10" s="117">
        <v>151</v>
      </c>
      <c r="Q10" s="117">
        <v>151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19</v>
      </c>
      <c r="AB10" s="37"/>
      <c r="AC10" s="37"/>
      <c r="AD10" s="37"/>
      <c r="AE10" s="37"/>
      <c r="AF10" s="37"/>
      <c r="AG10" s="37"/>
      <c r="AH10" s="117">
        <v>19</v>
      </c>
      <c r="AI10" s="3"/>
      <c r="AJ10" s="144"/>
      <c r="AK10" s="144"/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1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1" t="s">
        <v>52</v>
      </c>
      <c r="O11" s="31" t="s">
        <v>52</v>
      </c>
      <c r="P11" s="31" t="s">
        <v>162</v>
      </c>
      <c r="Q11" s="31" t="s">
        <v>162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  <c r="AI11" s="3"/>
      <c r="AJ11" s="143" t="s">
        <v>49</v>
      </c>
      <c r="AK11" s="143" t="s">
        <v>49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3" t="s">
        <v>52</v>
      </c>
      <c r="E12" s="31" t="s">
        <v>843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162</v>
      </c>
      <c r="Q12" s="31" t="s">
        <v>162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  <c r="AI12" s="3"/>
      <c r="AJ12" s="143" t="s">
        <v>49</v>
      </c>
      <c r="AK12" s="143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143" t="s">
        <v>49</v>
      </c>
      <c r="AK13" s="143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143" t="s">
        <v>49</v>
      </c>
      <c r="AK14" s="143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844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133</v>
      </c>
      <c r="Q15" s="31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234</v>
      </c>
      <c r="AB15" s="32"/>
      <c r="AC15" s="32"/>
      <c r="AD15" s="32"/>
      <c r="AE15" s="32"/>
      <c r="AF15" s="32"/>
      <c r="AG15" s="32"/>
      <c r="AH15" s="31" t="s">
        <v>234</v>
      </c>
      <c r="AI15" s="3"/>
      <c r="AJ15" s="143" t="s">
        <v>304</v>
      </c>
      <c r="AK15" s="143" t="s">
        <v>304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f>AVERAGE(-3,-3,-5)</f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-2</v>
      </c>
      <c r="Q16" s="31">
        <v>-2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-3</v>
      </c>
      <c r="AB16" s="31"/>
      <c r="AC16" s="31"/>
      <c r="AD16" s="31"/>
      <c r="AE16" s="31"/>
      <c r="AF16" s="31"/>
      <c r="AG16" s="31"/>
      <c r="AH16" s="31">
        <v>-3</v>
      </c>
      <c r="AI16" s="3"/>
      <c r="AJ16" s="143">
        <f>AVERAGE(-3,-2)</f>
      </c>
      <c r="AK16" s="143">
        <f>AVERAGE(-3,-2)</f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138</v>
      </c>
      <c r="E17" s="31" t="s">
        <v>846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1" t="s">
        <v>322</v>
      </c>
      <c r="O17" s="31" t="s">
        <v>169</v>
      </c>
      <c r="P17" s="119" t="s">
        <v>369</v>
      </c>
      <c r="Q17" s="119" t="s">
        <v>369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  <c r="AI17" s="3"/>
      <c r="AJ17" s="146" t="s">
        <v>358</v>
      </c>
      <c r="AK17" s="146" t="s">
        <v>358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4</v>
      </c>
      <c r="E18" s="31">
        <f>AVERAGE(0.5,0.5,2)</f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>
        <f>AVERAGE(4,2)</f>
      </c>
      <c r="O18" s="31">
        <v>2</v>
      </c>
      <c r="P18" s="31">
        <f>AVERAGE(1/3,0)</f>
      </c>
      <c r="Q18" s="31">
        <f>AVERAGE(1/3,0)</f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  <c r="AI18" s="3"/>
      <c r="AJ18" s="143">
        <v>0</v>
      </c>
      <c r="AK18" s="143">
        <v>0</v>
      </c>
    </row>
    <row x14ac:dyDescent="0.25" r="19" customHeight="1" ht="15.7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21" t="s">
        <v>855</v>
      </c>
      <c r="Q19" s="121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  <c r="AI19" s="3"/>
      <c r="AJ19" s="138" t="s">
        <v>856</v>
      </c>
      <c r="AK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  <c r="AI20" s="3"/>
      <c r="AJ20" s="2"/>
      <c r="AK20" s="2"/>
    </row>
    <row x14ac:dyDescent="0.25" r="21" customHeight="1" ht="18.75">
      <c r="A21" s="207" t="s">
        <v>857</v>
      </c>
      <c r="B21" s="40" t="s">
        <v>849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  <c r="AI21" s="3"/>
      <c r="AJ21" s="2"/>
      <c r="AK21" s="2"/>
    </row>
    <row x14ac:dyDescent="0.25" r="22" customHeight="1" ht="18.75">
      <c r="A22" s="123"/>
      <c r="B22" s="40" t="s">
        <v>858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  <c r="AI22" s="3"/>
      <c r="AJ22" s="2"/>
      <c r="AK22" s="2"/>
    </row>
    <row x14ac:dyDescent="0.25" r="23" customHeight="1" ht="18.75">
      <c r="A23" s="123"/>
      <c r="B23" s="40" t="s">
        <v>859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  <c r="AI23" s="3"/>
      <c r="AJ23" s="2"/>
      <c r="AK23" s="2"/>
    </row>
    <row x14ac:dyDescent="0.25" r="24" customHeight="1" ht="18.75">
      <c r="A24" s="207" t="s">
        <v>860</v>
      </c>
      <c r="B24" s="40" t="s">
        <v>849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3"/>
      <c r="S24" s="3"/>
      <c r="T24" s="3"/>
      <c r="U24" s="3"/>
      <c r="V24" s="3"/>
      <c r="W24" s="3"/>
      <c r="X24" s="3"/>
      <c r="Y24" s="3"/>
      <c r="Z24" s="3"/>
      <c r="AA24" s="2"/>
      <c r="AB24" s="3"/>
      <c r="AC24" s="3"/>
      <c r="AD24" s="3"/>
      <c r="AE24" s="3"/>
      <c r="AF24" s="3"/>
      <c r="AG24" s="3"/>
      <c r="AH24" s="2"/>
      <c r="AI24" s="3"/>
      <c r="AJ24" s="2"/>
      <c r="AK24" s="2"/>
    </row>
    <row x14ac:dyDescent="0.25" r="25" customHeight="1" ht="18.75">
      <c r="A25" s="123"/>
      <c r="B25" s="40" t="s">
        <v>858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3"/>
      <c r="T25" s="3"/>
      <c r="U25" s="3"/>
      <c r="V25" s="3"/>
      <c r="W25" s="3"/>
      <c r="X25" s="3"/>
      <c r="Y25" s="3"/>
      <c r="Z25" s="3"/>
      <c r="AA25" s="2"/>
      <c r="AB25" s="3"/>
      <c r="AC25" s="3"/>
      <c r="AD25" s="3"/>
      <c r="AE25" s="3"/>
      <c r="AF25" s="3"/>
      <c r="AG25" s="3"/>
      <c r="AH25" s="2"/>
      <c r="AI25" s="3"/>
      <c r="AJ25" s="2"/>
      <c r="AK25" s="2"/>
    </row>
    <row x14ac:dyDescent="0.25" r="26" customHeight="1" ht="18.75">
      <c r="A26" s="123"/>
      <c r="B26" s="40" t="s">
        <v>861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  <c r="Z26" s="3"/>
      <c r="AA26" s="2"/>
      <c r="AB26" s="3"/>
      <c r="AC26" s="3"/>
      <c r="AD26" s="3"/>
      <c r="AE26" s="3"/>
      <c r="AF26" s="3"/>
      <c r="AG26" s="3"/>
      <c r="AH26" s="2"/>
      <c r="AI26" s="3"/>
      <c r="AJ26" s="2"/>
      <c r="AK26" s="2"/>
    </row>
  </sheetData>
  <mergeCells count="8">
    <mergeCell ref="B3:D3"/>
    <mergeCell ref="F3:O3"/>
    <mergeCell ref="B4:D4"/>
    <mergeCell ref="F4:O5"/>
    <mergeCell ref="B5:D5"/>
    <mergeCell ref="P19:Q19"/>
    <mergeCell ref="A21:A23"/>
    <mergeCell ref="A24:A2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62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797</v>
      </c>
      <c r="C4" s="7"/>
      <c r="D4" s="7"/>
      <c r="E4" s="2"/>
      <c r="F4" s="124" t="s">
        <v>850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307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509</v>
      </c>
      <c r="C8" s="33" t="s">
        <v>268</v>
      </c>
      <c r="D8" s="33" t="s">
        <v>268</v>
      </c>
      <c r="E8" s="31" t="s">
        <v>837</v>
      </c>
      <c r="F8" s="33" t="s">
        <v>268</v>
      </c>
      <c r="G8" s="33" t="s">
        <v>268</v>
      </c>
      <c r="H8" s="33" t="s">
        <v>268</v>
      </c>
      <c r="I8" s="33" t="s">
        <v>268</v>
      </c>
      <c r="J8" s="33" t="s">
        <v>268</v>
      </c>
      <c r="K8" s="33" t="s">
        <v>268</v>
      </c>
      <c r="L8" s="33" t="s">
        <v>268</v>
      </c>
      <c r="M8" s="33" t="s">
        <v>268</v>
      </c>
      <c r="N8" s="32"/>
      <c r="O8" s="32"/>
      <c r="P8" s="146" t="s">
        <v>358</v>
      </c>
      <c r="Q8" s="146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268</v>
      </c>
      <c r="AB8" s="32"/>
      <c r="AC8" s="32"/>
      <c r="AD8" s="32"/>
      <c r="AE8" s="32"/>
      <c r="AF8" s="32"/>
      <c r="AG8" s="32"/>
      <c r="AH8" s="33" t="s">
        <v>268</v>
      </c>
    </row>
    <row x14ac:dyDescent="0.25" r="9" customHeight="1" ht="15.75">
      <c r="A9" s="30" t="s">
        <v>45</v>
      </c>
      <c r="B9" s="31" t="s">
        <v>511</v>
      </c>
      <c r="C9" s="31" t="s">
        <v>839</v>
      </c>
      <c r="D9" s="31" t="s">
        <v>511</v>
      </c>
      <c r="E9" s="31" t="s">
        <v>840</v>
      </c>
      <c r="F9" s="31" t="s">
        <v>841</v>
      </c>
      <c r="G9" s="31" t="s">
        <v>841</v>
      </c>
      <c r="H9" s="31" t="s">
        <v>841</v>
      </c>
      <c r="I9" s="31" t="s">
        <v>841</v>
      </c>
      <c r="J9" s="33" t="s">
        <v>666</v>
      </c>
      <c r="K9" s="33" t="s">
        <v>666</v>
      </c>
      <c r="L9" s="33" t="s">
        <v>667</v>
      </c>
      <c r="M9" s="33" t="s">
        <v>668</v>
      </c>
      <c r="N9" s="34"/>
      <c r="O9" s="34"/>
      <c r="P9" s="146" t="s">
        <v>358</v>
      </c>
      <c r="Q9" s="146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511</v>
      </c>
      <c r="AB9" s="34"/>
      <c r="AC9" s="34"/>
      <c r="AD9" s="34"/>
      <c r="AE9" s="34"/>
      <c r="AF9" s="34"/>
      <c r="AG9" s="34"/>
      <c r="AH9" s="31" t="s">
        <v>511</v>
      </c>
    </row>
    <row x14ac:dyDescent="0.25" r="10" customHeight="1" ht="18.75">
      <c r="A10" s="35" t="s">
        <v>47</v>
      </c>
      <c r="B10" s="117">
        <v>20</v>
      </c>
      <c r="C10" s="117">
        <v>64</v>
      </c>
      <c r="D10" s="117">
        <v>20</v>
      </c>
      <c r="E10" s="117">
        <v>177</v>
      </c>
      <c r="F10" s="117">
        <v>95</v>
      </c>
      <c r="G10" s="117">
        <v>95</v>
      </c>
      <c r="H10" s="117">
        <v>95</v>
      </c>
      <c r="I10" s="117">
        <v>95</v>
      </c>
      <c r="J10" s="117">
        <v>173</v>
      </c>
      <c r="K10" s="117">
        <v>173</v>
      </c>
      <c r="L10" s="117">
        <v>171</v>
      </c>
      <c r="M10" s="117">
        <v>172</v>
      </c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20</v>
      </c>
      <c r="AB10" s="37"/>
      <c r="AC10" s="37"/>
      <c r="AD10" s="37"/>
      <c r="AE10" s="37"/>
      <c r="AF10" s="37"/>
      <c r="AG10" s="37"/>
      <c r="AH10" s="117">
        <v>20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1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</row>
    <row x14ac:dyDescent="0.25" r="12" customHeight="1" ht="18.75">
      <c r="A12" s="30" t="s">
        <v>124</v>
      </c>
      <c r="B12" s="33" t="s">
        <v>52</v>
      </c>
      <c r="C12" s="31" t="s">
        <v>52</v>
      </c>
      <c r="D12" s="33" t="s">
        <v>52</v>
      </c>
      <c r="E12" s="31" t="s">
        <v>843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2"/>
      <c r="O12" s="32"/>
      <c r="P12" s="143" t="s">
        <v>52</v>
      </c>
      <c r="Q12" s="143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3" t="s">
        <v>52</v>
      </c>
      <c r="AB12" s="32"/>
      <c r="AC12" s="32"/>
      <c r="AD12" s="32"/>
      <c r="AE12" s="32"/>
      <c r="AF12" s="32"/>
      <c r="AG12" s="32"/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844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2"/>
      <c r="O15" s="32"/>
      <c r="P15" s="143" t="s">
        <v>234</v>
      </c>
      <c r="Q15" s="143" t="s">
        <v>234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234</v>
      </c>
      <c r="AB15" s="32"/>
      <c r="AC15" s="32"/>
      <c r="AD15" s="32"/>
      <c r="AE15" s="32"/>
      <c r="AF15" s="32"/>
      <c r="AG15" s="32"/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f>AVERAGE(-3,-3,-5)</f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/>
      <c r="O16" s="31"/>
      <c r="P16" s="143">
        <v>-3</v>
      </c>
      <c r="Q16" s="143">
        <v>-3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-3</v>
      </c>
      <c r="AB16" s="31"/>
      <c r="AC16" s="31"/>
      <c r="AD16" s="31"/>
      <c r="AE16" s="31"/>
      <c r="AF16" s="31"/>
      <c r="AG16" s="31"/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138</v>
      </c>
      <c r="E17" s="31" t="s">
        <v>846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2"/>
      <c r="O17" s="32"/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4</v>
      </c>
      <c r="E18" s="31">
        <f>AVERAGE(0.5,0.5,2)</f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851</v>
      </c>
      <c r="B21" s="40" t="s">
        <v>849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63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797</v>
      </c>
      <c r="C4" s="7"/>
      <c r="D4" s="7"/>
      <c r="E4" s="2"/>
      <c r="F4" s="124" t="s">
        <v>836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300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509</v>
      </c>
      <c r="C8" s="33" t="s">
        <v>268</v>
      </c>
      <c r="D8" s="33" t="s">
        <v>268</v>
      </c>
      <c r="E8" s="31" t="s">
        <v>837</v>
      </c>
      <c r="F8" s="33" t="s">
        <v>268</v>
      </c>
      <c r="G8" s="33" t="s">
        <v>268</v>
      </c>
      <c r="H8" s="33" t="s">
        <v>268</v>
      </c>
      <c r="I8" s="33" t="s">
        <v>268</v>
      </c>
      <c r="J8" s="33" t="s">
        <v>268</v>
      </c>
      <c r="K8" s="33" t="s">
        <v>268</v>
      </c>
      <c r="L8" s="33" t="s">
        <v>268</v>
      </c>
      <c r="M8" s="33" t="s">
        <v>268</v>
      </c>
      <c r="N8" s="32"/>
      <c r="O8" s="32"/>
      <c r="P8" s="33" t="s">
        <v>838</v>
      </c>
      <c r="Q8" s="33" t="s">
        <v>838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268</v>
      </c>
      <c r="AB8" s="32"/>
      <c r="AC8" s="32"/>
      <c r="AD8" s="32"/>
      <c r="AE8" s="32"/>
      <c r="AF8" s="32"/>
      <c r="AG8" s="32"/>
      <c r="AH8" s="33" t="s">
        <v>268</v>
      </c>
    </row>
    <row x14ac:dyDescent="0.25" r="9" customHeight="1" ht="18.75">
      <c r="A9" s="30" t="s">
        <v>45</v>
      </c>
      <c r="B9" s="31" t="s">
        <v>511</v>
      </c>
      <c r="C9" s="31" t="s">
        <v>839</v>
      </c>
      <c r="D9" s="31" t="s">
        <v>511</v>
      </c>
      <c r="E9" s="31" t="s">
        <v>840</v>
      </c>
      <c r="F9" s="31" t="s">
        <v>841</v>
      </c>
      <c r="G9" s="31" t="s">
        <v>841</v>
      </c>
      <c r="H9" s="31" t="s">
        <v>841</v>
      </c>
      <c r="I9" s="31" t="s">
        <v>841</v>
      </c>
      <c r="J9" s="33" t="s">
        <v>666</v>
      </c>
      <c r="K9" s="33" t="s">
        <v>666</v>
      </c>
      <c r="L9" s="33" t="s">
        <v>667</v>
      </c>
      <c r="M9" s="33" t="s">
        <v>668</v>
      </c>
      <c r="N9" s="34"/>
      <c r="O9" s="34"/>
      <c r="P9" s="33" t="s">
        <v>842</v>
      </c>
      <c r="Q9" s="33" t="s">
        <v>842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511</v>
      </c>
      <c r="AB9" s="34"/>
      <c r="AC9" s="34"/>
      <c r="AD9" s="34"/>
      <c r="AE9" s="34"/>
      <c r="AF9" s="34"/>
      <c r="AG9" s="34"/>
      <c r="AH9" s="31" t="s">
        <v>511</v>
      </c>
    </row>
    <row x14ac:dyDescent="0.25" r="10" customHeight="1" ht="18.75">
      <c r="A10" s="35" t="s">
        <v>47</v>
      </c>
      <c r="B10" s="117">
        <v>20</v>
      </c>
      <c r="C10" s="117">
        <v>64</v>
      </c>
      <c r="D10" s="117">
        <v>20</v>
      </c>
      <c r="E10" s="117">
        <v>177</v>
      </c>
      <c r="F10" s="117">
        <v>95</v>
      </c>
      <c r="G10" s="117">
        <v>95</v>
      </c>
      <c r="H10" s="117">
        <v>95</v>
      </c>
      <c r="I10" s="117">
        <v>95</v>
      </c>
      <c r="J10" s="117">
        <v>173</v>
      </c>
      <c r="K10" s="117">
        <v>173</v>
      </c>
      <c r="L10" s="117">
        <v>171</v>
      </c>
      <c r="M10" s="117">
        <v>172</v>
      </c>
      <c r="N10" s="37"/>
      <c r="O10" s="37"/>
      <c r="P10" s="117">
        <v>138</v>
      </c>
      <c r="Q10" s="117">
        <v>138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20</v>
      </c>
      <c r="AB10" s="37"/>
      <c r="AC10" s="37"/>
      <c r="AD10" s="37"/>
      <c r="AE10" s="37"/>
      <c r="AF10" s="37"/>
      <c r="AG10" s="37"/>
      <c r="AH10" s="117">
        <v>20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1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2"/>
      <c r="O11" s="32"/>
      <c r="P11" s="31" t="s">
        <v>295</v>
      </c>
      <c r="Q11" s="31" t="s">
        <v>295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</row>
    <row x14ac:dyDescent="0.25" r="12" customHeight="1" ht="18.75">
      <c r="A12" s="30" t="s">
        <v>124</v>
      </c>
      <c r="B12" s="33" t="s">
        <v>52</v>
      </c>
      <c r="C12" s="31" t="s">
        <v>52</v>
      </c>
      <c r="D12" s="33" t="s">
        <v>52</v>
      </c>
      <c r="E12" s="31" t="s">
        <v>843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2"/>
      <c r="O12" s="32"/>
      <c r="P12" s="31" t="s">
        <v>295</v>
      </c>
      <c r="Q12" s="31" t="s">
        <v>295</v>
      </c>
      <c r="R12" s="32"/>
      <c r="S12" s="32"/>
      <c r="T12" s="32"/>
      <c r="U12" s="32"/>
      <c r="V12" s="32"/>
      <c r="W12" s="32"/>
      <c r="X12" s="32"/>
      <c r="Y12" s="32"/>
      <c r="Z12" s="32"/>
      <c r="AA12" s="33" t="s">
        <v>52</v>
      </c>
      <c r="AB12" s="32"/>
      <c r="AC12" s="32"/>
      <c r="AD12" s="32"/>
      <c r="AE12" s="32"/>
      <c r="AF12" s="32"/>
      <c r="AG12" s="32"/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844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2"/>
      <c r="O15" s="32"/>
      <c r="P15" s="31" t="s">
        <v>845</v>
      </c>
      <c r="Q15" s="31" t="s">
        <v>845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234</v>
      </c>
      <c r="AB15" s="32"/>
      <c r="AC15" s="32"/>
      <c r="AD15" s="32"/>
      <c r="AE15" s="32"/>
      <c r="AF15" s="32"/>
      <c r="AG15" s="32"/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f>AVERAGE(-3,-3,-5)</f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/>
      <c r="O16" s="31"/>
      <c r="P16" s="31">
        <f>AVERAGE(-3,2.5)</f>
      </c>
      <c r="Q16" s="31">
        <f>AVERAGE(-3,2.5)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-3</v>
      </c>
      <c r="AB16" s="31"/>
      <c r="AC16" s="31"/>
      <c r="AD16" s="31"/>
      <c r="AE16" s="31"/>
      <c r="AF16" s="31"/>
      <c r="AG16" s="31"/>
      <c r="AH16" s="31">
        <v>-3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138</v>
      </c>
      <c r="E17" s="31" t="s">
        <v>846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2"/>
      <c r="O17" s="32"/>
      <c r="P17" s="33" t="s">
        <v>847</v>
      </c>
      <c r="Q17" s="33" t="s">
        <v>847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138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4</v>
      </c>
      <c r="E18" s="31">
        <f>AVERAGE(0.5,0.5,2)</f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/>
      <c r="O18" s="31"/>
      <c r="P18" s="31">
        <f>AVERAGE(0,2)</f>
      </c>
      <c r="Q18" s="31">
        <f>AVERAGE(0,2)</f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4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848</v>
      </c>
      <c r="B21" s="40" t="s">
        <v>849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39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151" width="13.576428571428572" customWidth="1" bestFit="1"/>
    <col min="4" max="4" style="151" width="13.576428571428572" customWidth="1" bestFit="1"/>
    <col min="5" max="5" style="151" width="13.576428571428572" customWidth="1" bestFit="1"/>
    <col min="6" max="6" style="151" width="13.576428571428572" customWidth="1" bestFit="1"/>
    <col min="7" max="7" style="151" width="13.576428571428572" customWidth="1" bestFit="1"/>
    <col min="8" max="8" style="151" width="13.576428571428572" customWidth="1" bestFit="1"/>
    <col min="9" max="9" style="151" width="13.576428571428572" customWidth="1" bestFit="1"/>
    <col min="10" max="10" style="151" width="13.576428571428572" customWidth="1" bestFit="1"/>
    <col min="11" max="11" style="151" width="13.576428571428572" customWidth="1" bestFit="1"/>
    <col min="12" max="12" style="151" width="13.576428571428572" customWidth="1" bestFit="1"/>
    <col min="13" max="13" style="151" width="13.576428571428572" customWidth="1" bestFit="1"/>
    <col min="14" max="14" style="151" width="13.576428571428572" customWidth="1" bestFit="1"/>
    <col min="15" max="15" style="43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151" width="13.576428571428572" customWidth="1" bestFit="1"/>
    <col min="19" max="19" style="43" width="13.576428571428572" customWidth="1" bestFit="1"/>
    <col min="20" max="20" style="151" width="13.576428571428572" customWidth="1" bestFit="1"/>
    <col min="21" max="21" style="151" width="13.576428571428572" customWidth="1" bestFit="1"/>
    <col min="22" max="22" style="151" width="13.576428571428572" customWidth="1" bestFit="1"/>
    <col min="23" max="23" style="151" width="13.576428571428572" customWidth="1" bestFit="1"/>
    <col min="24" max="24" style="151" width="13.576428571428572" customWidth="1" bestFit="1"/>
    <col min="25" max="25" style="151" width="13.576428571428572" customWidth="1" bestFit="1"/>
    <col min="26" max="26" style="43" width="13.576428571428572" customWidth="1" bestFit="1"/>
    <col min="27" max="27" style="151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151" width="13.576428571428572" customWidth="1" bestFit="1"/>
    <col min="33" max="33" style="151" width="13.576428571428572" customWidth="1" bestFit="1"/>
    <col min="34" max="34" style="151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  <col min="48" max="48" style="43" width="13.576428571428572" customWidth="1" bestFit="1"/>
    <col min="49" max="49" style="43" width="13.576428571428572" customWidth="1" bestFit="1"/>
    <col min="50" max="50" style="43" width="13.576428571428572" customWidth="1" bestFit="1"/>
    <col min="51" max="51" style="43" width="13.576428571428572" customWidth="1" bestFit="1"/>
    <col min="52" max="52" style="43" width="13.576428571428572" customWidth="1" bestFit="1"/>
    <col min="53" max="53" style="43" width="13.576428571428572" customWidth="1" bestFit="1"/>
    <col min="54" max="54" style="43" width="13.576428571428572" customWidth="1" bestFit="1"/>
    <col min="55" max="55" style="43" width="13.576428571428572" customWidth="1" bestFit="1"/>
    <col min="56" max="56" style="43" width="13.576428571428572" customWidth="1" bestFit="1"/>
    <col min="57" max="57" style="43" width="13.576428571428572" customWidth="1" bestFit="1"/>
    <col min="58" max="58" style="43" width="13.576428571428572" customWidth="1" bestFit="1"/>
  </cols>
  <sheetData>
    <row x14ac:dyDescent="0.25" r="1" customHeight="1" ht="18.75">
      <c r="A1" s="1" t="s">
        <v>70</v>
      </c>
      <c r="B1" s="2"/>
      <c r="C1" s="149"/>
      <c r="D1" s="45" t="s">
        <v>71</v>
      </c>
      <c r="E1" s="149"/>
      <c r="F1" s="149"/>
      <c r="G1" s="149"/>
      <c r="H1" s="149"/>
      <c r="I1" s="45" t="s">
        <v>714</v>
      </c>
      <c r="J1" s="149"/>
      <c r="K1" s="149"/>
      <c r="L1" s="149"/>
      <c r="M1" s="149"/>
      <c r="N1" s="149"/>
      <c r="O1" s="2"/>
      <c r="P1" s="149"/>
      <c r="Q1" s="149"/>
      <c r="R1" s="149"/>
      <c r="S1" s="2"/>
      <c r="T1" s="149"/>
      <c r="U1" s="149"/>
      <c r="V1" s="149"/>
      <c r="W1" s="149"/>
      <c r="X1" s="149"/>
      <c r="Y1" s="149"/>
      <c r="Z1" s="2"/>
      <c r="AA1" s="149"/>
      <c r="AB1" s="2"/>
      <c r="AC1" s="2"/>
      <c r="AD1" s="2"/>
      <c r="AE1" s="2"/>
      <c r="AF1" s="149"/>
      <c r="AG1" s="149"/>
      <c r="AH1" s="149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x14ac:dyDescent="0.25" r="2" customHeight="1" ht="18.75">
      <c r="A2" s="46"/>
      <c r="B2" s="2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2"/>
      <c r="P2" s="149"/>
      <c r="Q2" s="149"/>
      <c r="R2" s="149"/>
      <c r="S2" s="2"/>
      <c r="T2" s="149"/>
      <c r="U2" s="149"/>
      <c r="V2" s="149"/>
      <c r="W2" s="149"/>
      <c r="X2" s="149"/>
      <c r="Y2" s="149"/>
      <c r="Z2" s="2"/>
      <c r="AA2" s="149"/>
      <c r="AB2" s="2"/>
      <c r="AC2" s="2"/>
      <c r="AD2" s="2"/>
      <c r="AE2" s="2"/>
      <c r="AF2" s="149"/>
      <c r="AG2" s="149"/>
      <c r="AH2" s="149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x14ac:dyDescent="0.25" r="3" customHeight="1" ht="18.75">
      <c r="A3" s="1" t="s">
        <v>2</v>
      </c>
      <c r="B3" s="5">
        <v>64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149"/>
      <c r="Q3" s="149"/>
      <c r="R3" s="149"/>
      <c r="S3" s="2"/>
      <c r="T3" s="149"/>
      <c r="U3" s="149"/>
      <c r="V3" s="149"/>
      <c r="W3" s="149"/>
      <c r="X3" s="149"/>
      <c r="Y3" s="149"/>
      <c r="Z3" s="2"/>
      <c r="AA3" s="149"/>
      <c r="AB3" s="2"/>
      <c r="AC3" s="2"/>
      <c r="AD3" s="2"/>
      <c r="AE3" s="2"/>
      <c r="AF3" s="149"/>
      <c r="AG3" s="149"/>
      <c r="AH3" s="149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x14ac:dyDescent="0.25" r="4" customHeight="1" ht="18.75">
      <c r="A4" s="1" t="s">
        <v>4</v>
      </c>
      <c r="B4" s="7" t="s">
        <v>797</v>
      </c>
      <c r="C4" s="7"/>
      <c r="D4" s="7"/>
      <c r="E4" s="149"/>
      <c r="F4" s="124" t="s">
        <v>798</v>
      </c>
      <c r="G4" s="92"/>
      <c r="H4" s="92"/>
      <c r="I4" s="92"/>
      <c r="J4" s="92"/>
      <c r="K4" s="92"/>
      <c r="L4" s="92"/>
      <c r="M4" s="92"/>
      <c r="N4" s="92"/>
      <c r="O4" s="125"/>
      <c r="P4" s="149"/>
      <c r="Q4" s="149"/>
      <c r="R4" s="149"/>
      <c r="S4" s="2"/>
      <c r="T4" s="149"/>
      <c r="U4" s="149"/>
      <c r="V4" s="149"/>
      <c r="W4" s="149"/>
      <c r="X4" s="149"/>
      <c r="Y4" s="149"/>
      <c r="Z4" s="2"/>
      <c r="AA4" s="149"/>
      <c r="AB4" s="2"/>
      <c r="AC4" s="2"/>
      <c r="AD4" s="2"/>
      <c r="AE4" s="2"/>
      <c r="AF4" s="149"/>
      <c r="AG4" s="149"/>
      <c r="AH4" s="149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x14ac:dyDescent="0.25" r="5" customHeight="1" ht="18.75">
      <c r="A5" s="1" t="s">
        <v>7</v>
      </c>
      <c r="B5" s="7" t="s">
        <v>219</v>
      </c>
      <c r="C5" s="7"/>
      <c r="D5" s="7"/>
      <c r="E5" s="149"/>
      <c r="F5" s="126"/>
      <c r="G5" s="96"/>
      <c r="H5" s="96"/>
      <c r="I5" s="96"/>
      <c r="J5" s="96"/>
      <c r="K5" s="96"/>
      <c r="L5" s="96"/>
      <c r="M5" s="96"/>
      <c r="N5" s="96"/>
      <c r="O5" s="127"/>
      <c r="P5" s="149"/>
      <c r="Q5" s="149"/>
      <c r="R5" s="149"/>
      <c r="S5" s="2"/>
      <c r="T5" s="149"/>
      <c r="U5" s="149"/>
      <c r="V5" s="149"/>
      <c r="W5" s="149"/>
      <c r="X5" s="149"/>
      <c r="Y5" s="149"/>
      <c r="Z5" s="2"/>
      <c r="AA5" s="149"/>
      <c r="AB5" s="2"/>
      <c r="AC5" s="2"/>
      <c r="AD5" s="2"/>
      <c r="AE5" s="2"/>
      <c r="AF5" s="149"/>
      <c r="AG5" s="149"/>
      <c r="AH5" s="149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x14ac:dyDescent="0.25" r="6" customHeight="1" ht="18.75">
      <c r="A6" s="46"/>
      <c r="B6" s="2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2"/>
      <c r="P6" s="149"/>
      <c r="Q6" s="149"/>
      <c r="R6" s="149"/>
      <c r="S6" s="2"/>
      <c r="T6" s="149"/>
      <c r="U6" s="149"/>
      <c r="V6" s="149"/>
      <c r="W6" s="149"/>
      <c r="X6" s="149"/>
      <c r="Y6" s="149"/>
      <c r="Z6" s="2"/>
      <c r="AA6" s="149"/>
      <c r="AB6" s="2"/>
      <c r="AC6" s="2"/>
      <c r="AD6" s="2"/>
      <c r="AE6" s="2"/>
      <c r="AF6" s="149"/>
      <c r="AG6" s="149"/>
      <c r="AH6" s="149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99" t="s">
        <v>11</v>
      </c>
      <c r="AK7" s="99" t="s">
        <v>12</v>
      </c>
      <c r="AL7" s="128" t="s">
        <v>13</v>
      </c>
      <c r="AM7" s="129" t="s">
        <v>14</v>
      </c>
      <c r="AN7" s="130" t="s">
        <v>18</v>
      </c>
      <c r="AO7" s="101" t="s">
        <v>19</v>
      </c>
      <c r="AP7" s="101" t="s">
        <v>20</v>
      </c>
      <c r="AQ7" s="101" t="s">
        <v>21</v>
      </c>
      <c r="AR7" s="131" t="s">
        <v>22</v>
      </c>
      <c r="AS7" s="131" t="s">
        <v>23</v>
      </c>
      <c r="AT7" s="199" t="s">
        <v>28</v>
      </c>
      <c r="AU7" s="199" t="s">
        <v>29</v>
      </c>
      <c r="AV7" s="147" t="s">
        <v>30</v>
      </c>
      <c r="AW7" s="147" t="s">
        <v>31</v>
      </c>
      <c r="AX7" s="106" t="s">
        <v>34</v>
      </c>
      <c r="AY7" s="106" t="s">
        <v>35</v>
      </c>
      <c r="AZ7" s="107" t="s">
        <v>36</v>
      </c>
      <c r="BA7" s="107" t="s">
        <v>37</v>
      </c>
      <c r="BB7" s="107" t="s">
        <v>38</v>
      </c>
      <c r="BC7" s="109" t="s">
        <v>39</v>
      </c>
      <c r="BD7" s="200" t="s">
        <v>40</v>
      </c>
      <c r="BE7" s="112" t="s">
        <v>41</v>
      </c>
      <c r="BF7" s="112" t="s">
        <v>42</v>
      </c>
    </row>
    <row x14ac:dyDescent="0.25" r="8" customHeight="1" ht="18.75">
      <c r="A8" s="30" t="s">
        <v>43</v>
      </c>
      <c r="B8" s="33" t="s">
        <v>509</v>
      </c>
      <c r="C8" s="33" t="s">
        <v>367</v>
      </c>
      <c r="D8" s="33" t="s">
        <v>367</v>
      </c>
      <c r="E8" s="33" t="s">
        <v>367</v>
      </c>
      <c r="F8" s="33" t="s">
        <v>367</v>
      </c>
      <c r="G8" s="33" t="s">
        <v>367</v>
      </c>
      <c r="H8" s="33" t="s">
        <v>367</v>
      </c>
      <c r="I8" s="33" t="s">
        <v>367</v>
      </c>
      <c r="J8" s="33" t="s">
        <v>799</v>
      </c>
      <c r="K8" s="33" t="s">
        <v>367</v>
      </c>
      <c r="L8" s="33" t="s">
        <v>367</v>
      </c>
      <c r="M8" s="33" t="s">
        <v>367</v>
      </c>
      <c r="N8" s="33" t="s">
        <v>367</v>
      </c>
      <c r="O8" s="33" t="s">
        <v>367</v>
      </c>
      <c r="P8" s="33" t="s">
        <v>367</v>
      </c>
      <c r="Q8" s="33" t="s">
        <v>367</v>
      </c>
      <c r="R8" s="33" t="s">
        <v>367</v>
      </c>
      <c r="S8" s="33" t="s">
        <v>367</v>
      </c>
      <c r="T8" s="33" t="s">
        <v>367</v>
      </c>
      <c r="U8" s="33" t="s">
        <v>367</v>
      </c>
      <c r="V8" s="33" t="s">
        <v>800</v>
      </c>
      <c r="W8" s="33" t="s">
        <v>367</v>
      </c>
      <c r="X8" s="33" t="s">
        <v>367</v>
      </c>
      <c r="Y8" s="33" t="s">
        <v>367</v>
      </c>
      <c r="Z8" s="33" t="s">
        <v>367</v>
      </c>
      <c r="AA8" s="33" t="s">
        <v>367</v>
      </c>
      <c r="AB8" s="33" t="s">
        <v>800</v>
      </c>
      <c r="AC8" s="33" t="s">
        <v>800</v>
      </c>
      <c r="AD8" s="33" t="s">
        <v>800</v>
      </c>
      <c r="AE8" s="33" t="s">
        <v>800</v>
      </c>
      <c r="AF8" s="33" t="s">
        <v>800</v>
      </c>
      <c r="AG8" s="33" t="s">
        <v>367</v>
      </c>
      <c r="AH8" s="33" t="s">
        <v>367</v>
      </c>
      <c r="AI8" s="3"/>
      <c r="AJ8" s="33" t="s">
        <v>268</v>
      </c>
      <c r="AK8" s="33" t="s">
        <v>268</v>
      </c>
      <c r="AL8" s="33" t="s">
        <v>220</v>
      </c>
      <c r="AM8" s="33" t="s">
        <v>220</v>
      </c>
      <c r="AN8" s="33" t="s">
        <v>515</v>
      </c>
      <c r="AO8" s="33" t="s">
        <v>268</v>
      </c>
      <c r="AP8" s="33" t="s">
        <v>268</v>
      </c>
      <c r="AQ8" s="33" t="s">
        <v>268</v>
      </c>
      <c r="AR8" s="33" t="s">
        <v>268</v>
      </c>
      <c r="AS8" s="31" t="s">
        <v>268</v>
      </c>
      <c r="AT8" s="31" t="s">
        <v>510</v>
      </c>
      <c r="AU8" s="33" t="s">
        <v>801</v>
      </c>
      <c r="AV8" s="31" t="s">
        <v>268</v>
      </c>
      <c r="AW8" s="31" t="s">
        <v>802</v>
      </c>
      <c r="AX8" s="33" t="s">
        <v>803</v>
      </c>
      <c r="AY8" s="33" t="s">
        <v>543</v>
      </c>
      <c r="AZ8" s="33" t="s">
        <v>804</v>
      </c>
      <c r="BA8" s="33" t="s">
        <v>804</v>
      </c>
      <c r="BB8" s="33" t="s">
        <v>510</v>
      </c>
      <c r="BC8" s="33" t="s">
        <v>543</v>
      </c>
      <c r="BD8" s="33" t="s">
        <v>805</v>
      </c>
      <c r="BE8" s="33" t="s">
        <v>581</v>
      </c>
      <c r="BF8" s="33" t="s">
        <v>268</v>
      </c>
    </row>
    <row x14ac:dyDescent="0.25" r="9" customHeight="1" ht="18.75">
      <c r="A9" s="30" t="s">
        <v>45</v>
      </c>
      <c r="B9" s="31" t="s">
        <v>511</v>
      </c>
      <c r="C9" s="33" t="s">
        <v>368</v>
      </c>
      <c r="D9" s="33" t="s">
        <v>368</v>
      </c>
      <c r="E9" s="33" t="s">
        <v>368</v>
      </c>
      <c r="F9" s="33" t="s">
        <v>368</v>
      </c>
      <c r="G9" s="33" t="s">
        <v>368</v>
      </c>
      <c r="H9" s="33" t="s">
        <v>368</v>
      </c>
      <c r="I9" s="33" t="s">
        <v>368</v>
      </c>
      <c r="J9" s="33" t="s">
        <v>368</v>
      </c>
      <c r="K9" s="33" t="s">
        <v>368</v>
      </c>
      <c r="L9" s="33" t="s">
        <v>368</v>
      </c>
      <c r="M9" s="33" t="s">
        <v>368</v>
      </c>
      <c r="N9" s="33" t="s">
        <v>368</v>
      </c>
      <c r="O9" s="33" t="s">
        <v>368</v>
      </c>
      <c r="P9" s="33" t="s">
        <v>368</v>
      </c>
      <c r="Q9" s="33" t="s">
        <v>368</v>
      </c>
      <c r="R9" s="33" t="s">
        <v>368</v>
      </c>
      <c r="S9" s="33" t="s">
        <v>368</v>
      </c>
      <c r="T9" s="33" t="s">
        <v>368</v>
      </c>
      <c r="U9" s="33" t="s">
        <v>368</v>
      </c>
      <c r="V9" s="33" t="s">
        <v>368</v>
      </c>
      <c r="W9" s="33" t="s">
        <v>368</v>
      </c>
      <c r="X9" s="33" t="s">
        <v>368</v>
      </c>
      <c r="Y9" s="33" t="s">
        <v>368</v>
      </c>
      <c r="Z9" s="33" t="s">
        <v>368</v>
      </c>
      <c r="AA9" s="33" t="s">
        <v>368</v>
      </c>
      <c r="AB9" s="33" t="s">
        <v>368</v>
      </c>
      <c r="AC9" s="33" t="s">
        <v>368</v>
      </c>
      <c r="AD9" s="33" t="s">
        <v>368</v>
      </c>
      <c r="AE9" s="33" t="s">
        <v>368</v>
      </c>
      <c r="AF9" s="33" t="s">
        <v>368</v>
      </c>
      <c r="AG9" s="33" t="s">
        <v>368</v>
      </c>
      <c r="AH9" s="33" t="s">
        <v>368</v>
      </c>
      <c r="AI9" s="3"/>
      <c r="AJ9" s="31" t="s">
        <v>271</v>
      </c>
      <c r="AK9" s="31" t="s">
        <v>271</v>
      </c>
      <c r="AL9" s="31" t="s">
        <v>227</v>
      </c>
      <c r="AM9" s="31" t="s">
        <v>227</v>
      </c>
      <c r="AN9" s="33" t="s">
        <v>158</v>
      </c>
      <c r="AO9" s="31" t="s">
        <v>271</v>
      </c>
      <c r="AP9" s="31" t="s">
        <v>272</v>
      </c>
      <c r="AQ9" s="31" t="s">
        <v>271</v>
      </c>
      <c r="AR9" s="31" t="s">
        <v>272</v>
      </c>
      <c r="AS9" s="31" t="s">
        <v>271</v>
      </c>
      <c r="AT9" s="33" t="s">
        <v>806</v>
      </c>
      <c r="AU9" s="33" t="s">
        <v>807</v>
      </c>
      <c r="AV9" s="33" t="s">
        <v>808</v>
      </c>
      <c r="AW9" s="33" t="s">
        <v>808</v>
      </c>
      <c r="AX9" s="33" t="s">
        <v>809</v>
      </c>
      <c r="AY9" s="31" t="s">
        <v>273</v>
      </c>
      <c r="AZ9" s="205" t="s">
        <v>810</v>
      </c>
      <c r="BA9" s="205" t="s">
        <v>810</v>
      </c>
      <c r="BB9" s="31" t="s">
        <v>512</v>
      </c>
      <c r="BC9" s="31" t="s">
        <v>273</v>
      </c>
      <c r="BD9" s="33" t="s">
        <v>811</v>
      </c>
      <c r="BE9" s="33" t="s">
        <v>582</v>
      </c>
      <c r="BF9" s="31" t="s">
        <v>272</v>
      </c>
    </row>
    <row x14ac:dyDescent="0.25" r="10" customHeight="1" ht="18.75">
      <c r="A10" s="35" t="s">
        <v>47</v>
      </c>
      <c r="B10" s="117">
        <v>20</v>
      </c>
      <c r="C10" s="117">
        <v>151</v>
      </c>
      <c r="D10" s="117">
        <v>151</v>
      </c>
      <c r="E10" s="117">
        <v>151</v>
      </c>
      <c r="F10" s="117">
        <v>151</v>
      </c>
      <c r="G10" s="117">
        <v>151</v>
      </c>
      <c r="H10" s="117">
        <v>151</v>
      </c>
      <c r="I10" s="117">
        <v>151</v>
      </c>
      <c r="J10" s="117">
        <v>151</v>
      </c>
      <c r="K10" s="117">
        <v>151</v>
      </c>
      <c r="L10" s="117">
        <v>151</v>
      </c>
      <c r="M10" s="117">
        <v>151</v>
      </c>
      <c r="N10" s="117">
        <v>151</v>
      </c>
      <c r="O10" s="117">
        <v>151</v>
      </c>
      <c r="P10" s="117">
        <v>151</v>
      </c>
      <c r="Q10" s="117">
        <v>151</v>
      </c>
      <c r="R10" s="117">
        <v>151</v>
      </c>
      <c r="S10" s="117">
        <v>151</v>
      </c>
      <c r="T10" s="117">
        <v>151</v>
      </c>
      <c r="U10" s="117">
        <v>151</v>
      </c>
      <c r="V10" s="117">
        <v>151</v>
      </c>
      <c r="W10" s="117">
        <v>151</v>
      </c>
      <c r="X10" s="117">
        <v>151</v>
      </c>
      <c r="Y10" s="117">
        <v>151</v>
      </c>
      <c r="Z10" s="117">
        <v>151</v>
      </c>
      <c r="AA10" s="117">
        <v>151</v>
      </c>
      <c r="AB10" s="117">
        <v>151</v>
      </c>
      <c r="AC10" s="117">
        <v>151</v>
      </c>
      <c r="AD10" s="117">
        <v>151</v>
      </c>
      <c r="AE10" s="117">
        <v>151</v>
      </c>
      <c r="AF10" s="117">
        <v>151</v>
      </c>
      <c r="AG10" s="117">
        <v>151</v>
      </c>
      <c r="AH10" s="117">
        <v>151</v>
      </c>
      <c r="AI10" s="3"/>
      <c r="AJ10" s="117">
        <v>57</v>
      </c>
      <c r="AK10" s="117">
        <v>57</v>
      </c>
      <c r="AL10" s="117">
        <v>56</v>
      </c>
      <c r="AM10" s="117">
        <v>56</v>
      </c>
      <c r="AN10" s="117">
        <v>61</v>
      </c>
      <c r="AO10" s="117">
        <v>57</v>
      </c>
      <c r="AP10" s="117">
        <v>35</v>
      </c>
      <c r="AQ10" s="117">
        <v>57</v>
      </c>
      <c r="AR10" s="117">
        <v>35</v>
      </c>
      <c r="AS10" s="117">
        <v>57</v>
      </c>
      <c r="AT10" s="117">
        <v>111</v>
      </c>
      <c r="AU10" s="117">
        <v>108</v>
      </c>
      <c r="AV10" s="117">
        <v>153</v>
      </c>
      <c r="AW10" s="117">
        <v>153</v>
      </c>
      <c r="AX10" s="117">
        <v>18</v>
      </c>
      <c r="AY10" s="117">
        <v>187</v>
      </c>
      <c r="AZ10" s="117">
        <v>190</v>
      </c>
      <c r="BA10" s="117">
        <v>190</v>
      </c>
      <c r="BB10" s="117">
        <v>183</v>
      </c>
      <c r="BC10" s="117">
        <v>187</v>
      </c>
      <c r="BD10" s="117">
        <v>109</v>
      </c>
      <c r="BE10" s="117">
        <v>27</v>
      </c>
      <c r="BF10" s="117">
        <v>35</v>
      </c>
    </row>
    <row x14ac:dyDescent="0.25" r="11" customHeight="1" ht="18.75">
      <c r="A11" s="30" t="s">
        <v>123</v>
      </c>
      <c r="B11" s="33" t="s">
        <v>52</v>
      </c>
      <c r="C11" s="31" t="s">
        <v>162</v>
      </c>
      <c r="D11" s="31" t="s">
        <v>162</v>
      </c>
      <c r="E11" s="31" t="s">
        <v>162</v>
      </c>
      <c r="F11" s="31" t="s">
        <v>162</v>
      </c>
      <c r="G11" s="31" t="s">
        <v>162</v>
      </c>
      <c r="H11" s="31" t="s">
        <v>162</v>
      </c>
      <c r="I11" s="31" t="s">
        <v>162</v>
      </c>
      <c r="J11" s="31" t="s">
        <v>162</v>
      </c>
      <c r="K11" s="31" t="s">
        <v>162</v>
      </c>
      <c r="L11" s="31" t="s">
        <v>162</v>
      </c>
      <c r="M11" s="31" t="s">
        <v>162</v>
      </c>
      <c r="N11" s="31" t="s">
        <v>162</v>
      </c>
      <c r="O11" s="31" t="s">
        <v>162</v>
      </c>
      <c r="P11" s="31" t="s">
        <v>162</v>
      </c>
      <c r="Q11" s="31" t="s">
        <v>162</v>
      </c>
      <c r="R11" s="31" t="s">
        <v>162</v>
      </c>
      <c r="S11" s="31" t="s">
        <v>162</v>
      </c>
      <c r="T11" s="31" t="s">
        <v>162</v>
      </c>
      <c r="U11" s="31" t="s">
        <v>162</v>
      </c>
      <c r="V11" s="31" t="s">
        <v>162</v>
      </c>
      <c r="W11" s="31" t="s">
        <v>162</v>
      </c>
      <c r="X11" s="31" t="s">
        <v>162</v>
      </c>
      <c r="Y11" s="31" t="s">
        <v>162</v>
      </c>
      <c r="Z11" s="31" t="s">
        <v>162</v>
      </c>
      <c r="AA11" s="31" t="s">
        <v>162</v>
      </c>
      <c r="AB11" s="31" t="s">
        <v>162</v>
      </c>
      <c r="AC11" s="31" t="s">
        <v>162</v>
      </c>
      <c r="AD11" s="31" t="s">
        <v>162</v>
      </c>
      <c r="AE11" s="31" t="s">
        <v>162</v>
      </c>
      <c r="AF11" s="31" t="s">
        <v>162</v>
      </c>
      <c r="AG11" s="31" t="s">
        <v>162</v>
      </c>
      <c r="AH11" s="31" t="s">
        <v>162</v>
      </c>
      <c r="AI11" s="3"/>
      <c r="AJ11" s="31" t="s">
        <v>52</v>
      </c>
      <c r="AK11" s="31" t="s">
        <v>52</v>
      </c>
      <c r="AL11" s="31" t="s">
        <v>52</v>
      </c>
      <c r="AM11" s="31" t="s">
        <v>52</v>
      </c>
      <c r="AN11" s="31" t="s">
        <v>52</v>
      </c>
      <c r="AO11" s="31" t="s">
        <v>52</v>
      </c>
      <c r="AP11" s="31" t="s">
        <v>52</v>
      </c>
      <c r="AQ11" s="31" t="s">
        <v>52</v>
      </c>
      <c r="AR11" s="31" t="s">
        <v>52</v>
      </c>
      <c r="AS11" s="31" t="s">
        <v>52</v>
      </c>
      <c r="AT11" s="31" t="s">
        <v>52</v>
      </c>
      <c r="AU11" s="31" t="s">
        <v>52</v>
      </c>
      <c r="AV11" s="33" t="s">
        <v>52</v>
      </c>
      <c r="AW11" s="33" t="s">
        <v>52</v>
      </c>
      <c r="AX11" s="31" t="s">
        <v>52</v>
      </c>
      <c r="AY11" s="31" t="s">
        <v>52</v>
      </c>
      <c r="AZ11" s="31" t="s">
        <v>52</v>
      </c>
      <c r="BA11" s="31" t="s">
        <v>52</v>
      </c>
      <c r="BB11" s="31" t="s">
        <v>52</v>
      </c>
      <c r="BC11" s="31" t="s">
        <v>52</v>
      </c>
      <c r="BD11" s="31" t="s">
        <v>52</v>
      </c>
      <c r="BE11" s="31" t="s">
        <v>52</v>
      </c>
      <c r="BF11" s="31" t="s">
        <v>52</v>
      </c>
    </row>
    <row x14ac:dyDescent="0.25" r="12" customHeight="1" ht="18.75">
      <c r="A12" s="30" t="s">
        <v>124</v>
      </c>
      <c r="B12" s="33" t="s">
        <v>52</v>
      </c>
      <c r="C12" s="31" t="s">
        <v>162</v>
      </c>
      <c r="D12" s="31" t="s">
        <v>162</v>
      </c>
      <c r="E12" s="31" t="s">
        <v>162</v>
      </c>
      <c r="F12" s="31" t="s">
        <v>162</v>
      </c>
      <c r="G12" s="31" t="s">
        <v>162</v>
      </c>
      <c r="H12" s="31" t="s">
        <v>162</v>
      </c>
      <c r="I12" s="31" t="s">
        <v>162</v>
      </c>
      <c r="J12" s="31" t="s">
        <v>162</v>
      </c>
      <c r="K12" s="31" t="s">
        <v>162</v>
      </c>
      <c r="L12" s="31" t="s">
        <v>162</v>
      </c>
      <c r="M12" s="31" t="s">
        <v>162</v>
      </c>
      <c r="N12" s="31" t="s">
        <v>162</v>
      </c>
      <c r="O12" s="31" t="s">
        <v>162</v>
      </c>
      <c r="P12" s="31" t="s">
        <v>162</v>
      </c>
      <c r="Q12" s="31" t="s">
        <v>162</v>
      </c>
      <c r="R12" s="31" t="s">
        <v>162</v>
      </c>
      <c r="S12" s="31" t="s">
        <v>162</v>
      </c>
      <c r="T12" s="31" t="s">
        <v>162</v>
      </c>
      <c r="U12" s="31" t="s">
        <v>162</v>
      </c>
      <c r="V12" s="31" t="s">
        <v>162</v>
      </c>
      <c r="W12" s="31" t="s">
        <v>162</v>
      </c>
      <c r="X12" s="31" t="s">
        <v>162</v>
      </c>
      <c r="Y12" s="31" t="s">
        <v>162</v>
      </c>
      <c r="Z12" s="31" t="s">
        <v>162</v>
      </c>
      <c r="AA12" s="31" t="s">
        <v>162</v>
      </c>
      <c r="AB12" s="31" t="s">
        <v>162</v>
      </c>
      <c r="AC12" s="31" t="s">
        <v>162</v>
      </c>
      <c r="AD12" s="31" t="s">
        <v>162</v>
      </c>
      <c r="AE12" s="31" t="s">
        <v>162</v>
      </c>
      <c r="AF12" s="31" t="s">
        <v>162</v>
      </c>
      <c r="AG12" s="31" t="s">
        <v>162</v>
      </c>
      <c r="AH12" s="31" t="s">
        <v>162</v>
      </c>
      <c r="AI12" s="3"/>
      <c r="AJ12" s="31" t="s">
        <v>52</v>
      </c>
      <c r="AK12" s="31" t="s">
        <v>52</v>
      </c>
      <c r="AL12" s="31" t="s">
        <v>49</v>
      </c>
      <c r="AM12" s="31" t="s">
        <v>49</v>
      </c>
      <c r="AN12" s="31" t="s">
        <v>52</v>
      </c>
      <c r="AO12" s="31" t="s">
        <v>52</v>
      </c>
      <c r="AP12" s="31" t="s">
        <v>52</v>
      </c>
      <c r="AQ12" s="31" t="s">
        <v>52</v>
      </c>
      <c r="AR12" s="31" t="s">
        <v>52</v>
      </c>
      <c r="AS12" s="31" t="s">
        <v>52</v>
      </c>
      <c r="AT12" s="31" t="s">
        <v>52</v>
      </c>
      <c r="AU12" s="31" t="s">
        <v>52</v>
      </c>
      <c r="AV12" s="31" t="s">
        <v>52</v>
      </c>
      <c r="AW12" s="31" t="s">
        <v>52</v>
      </c>
      <c r="AX12" s="31" t="s">
        <v>52</v>
      </c>
      <c r="AY12" s="31" t="s">
        <v>52</v>
      </c>
      <c r="AZ12" s="31" t="s">
        <v>52</v>
      </c>
      <c r="BA12" s="31" t="s">
        <v>52</v>
      </c>
      <c r="BB12" s="31" t="s">
        <v>52</v>
      </c>
      <c r="BC12" s="31" t="s">
        <v>52</v>
      </c>
      <c r="BD12" s="31" t="s">
        <v>49</v>
      </c>
      <c r="BE12" s="31" t="s">
        <v>52</v>
      </c>
      <c r="BF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52</v>
      </c>
      <c r="AK13" s="31" t="s">
        <v>52</v>
      </c>
      <c r="AL13" s="31" t="s">
        <v>52</v>
      </c>
      <c r="AM13" s="31" t="s">
        <v>52</v>
      </c>
      <c r="AN13" s="31" t="s">
        <v>49</v>
      </c>
      <c r="AO13" s="31" t="s">
        <v>52</v>
      </c>
      <c r="AP13" s="31" t="s">
        <v>52</v>
      </c>
      <c r="AQ13" s="31" t="s">
        <v>52</v>
      </c>
      <c r="AR13" s="31" t="s">
        <v>52</v>
      </c>
      <c r="AS13" s="31" t="s">
        <v>52</v>
      </c>
      <c r="AT13" s="31" t="s">
        <v>52</v>
      </c>
      <c r="AU13" s="31" t="s">
        <v>52</v>
      </c>
      <c r="AV13" s="31" t="s">
        <v>295</v>
      </c>
      <c r="AW13" s="31" t="s">
        <v>295</v>
      </c>
      <c r="AX13" s="31" t="s">
        <v>49</v>
      </c>
      <c r="AY13" s="31" t="s">
        <v>52</v>
      </c>
      <c r="AZ13" s="31" t="s">
        <v>52</v>
      </c>
      <c r="BA13" s="31" t="s">
        <v>52</v>
      </c>
      <c r="BB13" s="31" t="s">
        <v>52</v>
      </c>
      <c r="BC13" s="31" t="s">
        <v>52</v>
      </c>
      <c r="BD13" s="48" t="s">
        <v>162</v>
      </c>
      <c r="BE13" s="31" t="s">
        <v>52</v>
      </c>
      <c r="BF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  <c r="AR14" s="31" t="s">
        <v>49</v>
      </c>
      <c r="AS14" s="31" t="s">
        <v>49</v>
      </c>
      <c r="AT14" s="31" t="s">
        <v>49</v>
      </c>
      <c r="AU14" s="31" t="s">
        <v>49</v>
      </c>
      <c r="AV14" s="31" t="s">
        <v>49</v>
      </c>
      <c r="AW14" s="31" t="s">
        <v>49</v>
      </c>
      <c r="AX14" s="31" t="s">
        <v>49</v>
      </c>
      <c r="AY14" s="31" t="s">
        <v>49</v>
      </c>
      <c r="AZ14" s="31" t="s">
        <v>49</v>
      </c>
      <c r="BA14" s="31" t="s">
        <v>49</v>
      </c>
      <c r="BB14" s="31" t="s">
        <v>49</v>
      </c>
      <c r="BC14" s="31" t="s">
        <v>49</v>
      </c>
      <c r="BD14" s="31" t="s">
        <v>49</v>
      </c>
      <c r="BE14" s="31" t="s">
        <v>49</v>
      </c>
      <c r="BF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31" t="s">
        <v>133</v>
      </c>
      <c r="H15" s="31" t="s">
        <v>133</v>
      </c>
      <c r="I15" s="31" t="s">
        <v>133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133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133</v>
      </c>
      <c r="T15" s="31" t="s">
        <v>133</v>
      </c>
      <c r="U15" s="31" t="s">
        <v>133</v>
      </c>
      <c r="V15" s="31" t="s">
        <v>133</v>
      </c>
      <c r="W15" s="31" t="s">
        <v>133</v>
      </c>
      <c r="X15" s="31" t="s">
        <v>133</v>
      </c>
      <c r="Y15" s="31" t="s">
        <v>133</v>
      </c>
      <c r="Z15" s="31" t="s">
        <v>133</v>
      </c>
      <c r="AA15" s="31" t="s">
        <v>133</v>
      </c>
      <c r="AB15" s="31" t="s">
        <v>133</v>
      </c>
      <c r="AC15" s="31" t="s">
        <v>133</v>
      </c>
      <c r="AD15" s="31" t="s">
        <v>133</v>
      </c>
      <c r="AE15" s="31" t="s">
        <v>133</v>
      </c>
      <c r="AF15" s="31" t="s">
        <v>133</v>
      </c>
      <c r="AG15" s="31" t="s">
        <v>133</v>
      </c>
      <c r="AH15" s="31" t="s">
        <v>133</v>
      </c>
      <c r="AI15" s="3"/>
      <c r="AJ15" s="31" t="s">
        <v>133</v>
      </c>
      <c r="AK15" s="31" t="s">
        <v>133</v>
      </c>
      <c r="AL15" s="31" t="s">
        <v>133</v>
      </c>
      <c r="AM15" s="31" t="s">
        <v>133</v>
      </c>
      <c r="AN15" s="31" t="s">
        <v>133</v>
      </c>
      <c r="AO15" s="31" t="s">
        <v>133</v>
      </c>
      <c r="AP15" s="31" t="s">
        <v>133</v>
      </c>
      <c r="AQ15" s="31" t="s">
        <v>133</v>
      </c>
      <c r="AR15" s="31" t="s">
        <v>133</v>
      </c>
      <c r="AS15" s="31" t="s">
        <v>133</v>
      </c>
      <c r="AT15" s="31" t="s">
        <v>143</v>
      </c>
      <c r="AU15" s="31" t="s">
        <v>194</v>
      </c>
      <c r="AV15" s="31" t="s">
        <v>133</v>
      </c>
      <c r="AW15" s="31" t="s">
        <v>133</v>
      </c>
      <c r="AX15" s="31" t="s">
        <v>133</v>
      </c>
      <c r="AY15" s="31" t="s">
        <v>133</v>
      </c>
      <c r="AZ15" s="31" t="s">
        <v>163</v>
      </c>
      <c r="BA15" s="31" t="s">
        <v>163</v>
      </c>
      <c r="BB15" s="31" t="s">
        <v>133</v>
      </c>
      <c r="BC15" s="31" t="s">
        <v>133</v>
      </c>
      <c r="BD15" s="31" t="s">
        <v>143</v>
      </c>
      <c r="BE15" s="31" t="s">
        <v>143</v>
      </c>
      <c r="BF15" s="31" t="s">
        <v>133</v>
      </c>
    </row>
    <row x14ac:dyDescent="0.25" r="16" customHeight="1" ht="18.75">
      <c r="A16" s="30" t="s">
        <v>128</v>
      </c>
      <c r="B16" s="31">
        <v>-3</v>
      </c>
      <c r="C16" s="31">
        <v>-2</v>
      </c>
      <c r="D16" s="31">
        <v>-2</v>
      </c>
      <c r="E16" s="31">
        <v>-2</v>
      </c>
      <c r="F16" s="31">
        <v>-2</v>
      </c>
      <c r="G16" s="31">
        <v>-2</v>
      </c>
      <c r="H16" s="31">
        <v>-2</v>
      </c>
      <c r="I16" s="31">
        <v>-2</v>
      </c>
      <c r="J16" s="31">
        <v>-2</v>
      </c>
      <c r="K16" s="31">
        <v>-2</v>
      </c>
      <c r="L16" s="31">
        <v>-2</v>
      </c>
      <c r="M16" s="31">
        <v>-2</v>
      </c>
      <c r="N16" s="31">
        <v>-2</v>
      </c>
      <c r="O16" s="31">
        <v>-2</v>
      </c>
      <c r="P16" s="31">
        <v>-2</v>
      </c>
      <c r="Q16" s="31">
        <v>-2</v>
      </c>
      <c r="R16" s="31">
        <v>-2</v>
      </c>
      <c r="S16" s="31">
        <v>-2</v>
      </c>
      <c r="T16" s="31">
        <v>-2</v>
      </c>
      <c r="U16" s="31">
        <v>-2</v>
      </c>
      <c r="V16" s="31">
        <v>-2</v>
      </c>
      <c r="W16" s="31">
        <v>-2</v>
      </c>
      <c r="X16" s="31">
        <v>-2</v>
      </c>
      <c r="Y16" s="31">
        <v>-2</v>
      </c>
      <c r="Z16" s="31">
        <v>-2</v>
      </c>
      <c r="AA16" s="31">
        <v>-2</v>
      </c>
      <c r="AB16" s="31">
        <v>-2</v>
      </c>
      <c r="AC16" s="31">
        <v>-2</v>
      </c>
      <c r="AD16" s="31">
        <v>-2</v>
      </c>
      <c r="AE16" s="31">
        <v>-2</v>
      </c>
      <c r="AF16" s="31">
        <v>-2</v>
      </c>
      <c r="AG16" s="31">
        <v>-2</v>
      </c>
      <c r="AH16" s="31">
        <v>-2</v>
      </c>
      <c r="AI16" s="3"/>
      <c r="AJ16" s="31">
        <v>-0.5</v>
      </c>
      <c r="AK16" s="31">
        <v>-0.5</v>
      </c>
      <c r="AL16" s="31">
        <v>-0.5</v>
      </c>
      <c r="AM16" s="31">
        <v>-0.5</v>
      </c>
      <c r="AN16" s="31">
        <v>-2</v>
      </c>
      <c r="AO16" s="31">
        <v>-0.5</v>
      </c>
      <c r="AP16" s="31">
        <v>-0.5</v>
      </c>
      <c r="AQ16" s="31">
        <v>-0.5</v>
      </c>
      <c r="AR16" s="31">
        <v>-0.5</v>
      </c>
      <c r="AS16" s="31">
        <v>-0.5</v>
      </c>
      <c r="AT16" s="31">
        <v>1</v>
      </c>
      <c r="AU16" s="31">
        <f>AVERAGE(-0.5,1)</f>
      </c>
      <c r="AV16" s="31">
        <f>AVERAGE(-2,-0.5)</f>
      </c>
      <c r="AW16" s="31">
        <f>AVERAGE(-2,-0.5)</f>
      </c>
      <c r="AX16" s="31">
        <v>-2</v>
      </c>
      <c r="AY16" s="31">
        <v>-0.5</v>
      </c>
      <c r="AZ16" s="31">
        <f>AVERAGE(1,-0.5)</f>
      </c>
      <c r="BA16" s="31">
        <f>AVERAGE(1,-0.5)</f>
      </c>
      <c r="BB16" s="31">
        <v>1</v>
      </c>
      <c r="BC16" s="31">
        <v>-0.5</v>
      </c>
      <c r="BD16" s="31">
        <f>AVERAGE(0.5,2)</f>
      </c>
      <c r="BE16" s="31">
        <f>4/3</f>
      </c>
      <c r="BF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369</v>
      </c>
      <c r="D17" s="31" t="s">
        <v>369</v>
      </c>
      <c r="E17" s="31" t="s">
        <v>369</v>
      </c>
      <c r="F17" s="31" t="s">
        <v>369</v>
      </c>
      <c r="G17" s="31" t="s">
        <v>369</v>
      </c>
      <c r="H17" s="31" t="s">
        <v>369</v>
      </c>
      <c r="I17" s="31" t="s">
        <v>369</v>
      </c>
      <c r="J17" s="31" t="s">
        <v>369</v>
      </c>
      <c r="K17" s="31" t="s">
        <v>369</v>
      </c>
      <c r="L17" s="31" t="s">
        <v>369</v>
      </c>
      <c r="M17" s="31" t="s">
        <v>369</v>
      </c>
      <c r="N17" s="31" t="s">
        <v>369</v>
      </c>
      <c r="O17" s="31" t="s">
        <v>369</v>
      </c>
      <c r="P17" s="31" t="s">
        <v>369</v>
      </c>
      <c r="Q17" s="31" t="s">
        <v>369</v>
      </c>
      <c r="R17" s="31" t="s">
        <v>369</v>
      </c>
      <c r="S17" s="31" t="s">
        <v>369</v>
      </c>
      <c r="T17" s="31" t="s">
        <v>369</v>
      </c>
      <c r="U17" s="31" t="s">
        <v>369</v>
      </c>
      <c r="V17" s="31" t="s">
        <v>369</v>
      </c>
      <c r="W17" s="31" t="s">
        <v>369</v>
      </c>
      <c r="X17" s="31" t="s">
        <v>369</v>
      </c>
      <c r="Y17" s="31" t="s">
        <v>369</v>
      </c>
      <c r="Z17" s="31" t="s">
        <v>369</v>
      </c>
      <c r="AA17" s="31" t="s">
        <v>369</v>
      </c>
      <c r="AB17" s="31" t="s">
        <v>369</v>
      </c>
      <c r="AC17" s="31" t="s">
        <v>369</v>
      </c>
      <c r="AD17" s="31" t="s">
        <v>369</v>
      </c>
      <c r="AE17" s="31" t="s">
        <v>369</v>
      </c>
      <c r="AF17" s="31" t="s">
        <v>369</v>
      </c>
      <c r="AG17" s="31" t="s">
        <v>369</v>
      </c>
      <c r="AH17" s="31" t="s">
        <v>369</v>
      </c>
      <c r="AI17" s="3"/>
      <c r="AJ17" s="31" t="s">
        <v>169</v>
      </c>
      <c r="AK17" s="31" t="s">
        <v>169</v>
      </c>
      <c r="AL17" s="31" t="s">
        <v>169</v>
      </c>
      <c r="AM17" s="31" t="s">
        <v>169</v>
      </c>
      <c r="AN17" s="31" t="s">
        <v>169</v>
      </c>
      <c r="AO17" s="31" t="s">
        <v>169</v>
      </c>
      <c r="AP17" s="31" t="s">
        <v>274</v>
      </c>
      <c r="AQ17" s="31" t="s">
        <v>169</v>
      </c>
      <c r="AR17" s="31" t="s">
        <v>274</v>
      </c>
      <c r="AS17" s="31" t="s">
        <v>169</v>
      </c>
      <c r="AT17" s="31" t="s">
        <v>812</v>
      </c>
      <c r="AU17" s="31" t="s">
        <v>813</v>
      </c>
      <c r="AV17" s="31" t="s">
        <v>814</v>
      </c>
      <c r="AW17" s="31" t="s">
        <v>814</v>
      </c>
      <c r="AX17" s="31" t="s">
        <v>138</v>
      </c>
      <c r="AY17" s="31" t="s">
        <v>275</v>
      </c>
      <c r="AZ17" s="31" t="s">
        <v>275</v>
      </c>
      <c r="BA17" s="31" t="s">
        <v>275</v>
      </c>
      <c r="BB17" s="31" t="s">
        <v>275</v>
      </c>
      <c r="BC17" s="31" t="s">
        <v>275</v>
      </c>
      <c r="BD17" s="31" t="s">
        <v>169</v>
      </c>
      <c r="BE17" s="31" t="s">
        <v>274</v>
      </c>
      <c r="BF17" s="31" t="s">
        <v>274</v>
      </c>
    </row>
    <row x14ac:dyDescent="0.25" r="18" customHeight="1" ht="18.75">
      <c r="A18" s="30" t="s">
        <v>130</v>
      </c>
      <c r="B18" s="31">
        <v>4</v>
      </c>
      <c r="C18" s="31">
        <f>AVERAGE(1/3,0)</f>
      </c>
      <c r="D18" s="31">
        <f>AVERAGE(1/3,0)</f>
      </c>
      <c r="E18" s="31">
        <f>AVERAGE(1/3,0)</f>
      </c>
      <c r="F18" s="31">
        <f>AVERAGE(1/3,0)</f>
      </c>
      <c r="G18" s="31">
        <f>AVERAGE(1/3,0)</f>
      </c>
      <c r="H18" s="31">
        <f>AVERAGE(1/3,0)</f>
      </c>
      <c r="I18" s="31">
        <f>AVERAGE(1/3,0)</f>
      </c>
      <c r="J18" s="31">
        <f>AVERAGE(1/3,0)</f>
      </c>
      <c r="K18" s="31">
        <f>AVERAGE(1/3,0)</f>
      </c>
      <c r="L18" s="31">
        <f>AVERAGE(1/3,0)</f>
      </c>
      <c r="M18" s="31">
        <f>AVERAGE(1/3,0)</f>
      </c>
      <c r="N18" s="31">
        <f>AVERAGE(1/3,0)</f>
      </c>
      <c r="O18" s="31">
        <f>AVERAGE(1/3,0)</f>
      </c>
      <c r="P18" s="31">
        <f>AVERAGE(1/3,0)</f>
      </c>
      <c r="Q18" s="31">
        <f>AVERAGE(1/3,0)</f>
      </c>
      <c r="R18" s="31">
        <f>AVERAGE(1/3,0)</f>
      </c>
      <c r="S18" s="31">
        <f>AVERAGE(1/3,0)</f>
      </c>
      <c r="T18" s="31">
        <f>AVERAGE(1/3,0)</f>
      </c>
      <c r="U18" s="31">
        <f>AVERAGE(1/3,0)</f>
      </c>
      <c r="V18" s="31">
        <f>AVERAGE(1/3,0)</f>
      </c>
      <c r="W18" s="31">
        <f>AVERAGE(1/3,0)</f>
      </c>
      <c r="X18" s="31">
        <f>AVERAGE(1/3,0)</f>
      </c>
      <c r="Y18" s="31">
        <f>AVERAGE(1/3,0)</f>
      </c>
      <c r="Z18" s="31">
        <f>AVERAGE(1/3,0)</f>
      </c>
      <c r="AA18" s="31">
        <f>AVERAGE(1/3,0)</f>
      </c>
      <c r="AB18" s="31">
        <f>AVERAGE(1/3,0)</f>
      </c>
      <c r="AC18" s="31">
        <f>AVERAGE(1/3,0)</f>
      </c>
      <c r="AD18" s="31">
        <f>AVERAGE(1/3,0)</f>
      </c>
      <c r="AE18" s="31">
        <f>AVERAGE(1/3,0)</f>
      </c>
      <c r="AF18" s="31">
        <f>AVERAGE(1/3,0)</f>
      </c>
      <c r="AG18" s="31">
        <f>AVERAGE(1/3,0)</f>
      </c>
      <c r="AH18" s="31">
        <f>AVERAGE(1/3,0)</f>
      </c>
      <c r="AI18" s="3"/>
      <c r="AJ18" s="31">
        <v>2</v>
      </c>
      <c r="AK18" s="31">
        <v>2</v>
      </c>
      <c r="AL18" s="31">
        <v>2</v>
      </c>
      <c r="AM18" s="31">
        <v>2</v>
      </c>
      <c r="AN18" s="31">
        <v>2</v>
      </c>
      <c r="AO18" s="31">
        <v>2</v>
      </c>
      <c r="AP18" s="31">
        <v>3</v>
      </c>
      <c r="AQ18" s="31">
        <v>2</v>
      </c>
      <c r="AR18" s="31">
        <v>3</v>
      </c>
      <c r="AS18" s="31">
        <v>2</v>
      </c>
      <c r="AT18" s="31">
        <f>AVERAGE(2,2,3)</f>
      </c>
      <c r="AU18" s="31">
        <f>AVERAGE(3,2)</f>
      </c>
      <c r="AV18" s="31">
        <f>AVERAGE(4,3)</f>
      </c>
      <c r="AW18" s="31">
        <f>AVERAGE(4,3)</f>
      </c>
      <c r="AX18" s="31">
        <v>4</v>
      </c>
      <c r="AY18" s="31">
        <v>3.75</v>
      </c>
      <c r="AZ18" s="31">
        <v>3.75</v>
      </c>
      <c r="BA18" s="31">
        <v>3.75</v>
      </c>
      <c r="BB18" s="31">
        <v>3.75</v>
      </c>
      <c r="BC18" s="31">
        <v>3.75</v>
      </c>
      <c r="BD18" s="31">
        <v>2</v>
      </c>
      <c r="BE18" s="31">
        <v>3</v>
      </c>
      <c r="BF18" s="31">
        <v>3</v>
      </c>
    </row>
    <row x14ac:dyDescent="0.25" r="19" customHeight="1" ht="15.75">
      <c r="A19" s="46"/>
      <c r="B19" s="2"/>
      <c r="C19" s="138" t="s">
        <v>815</v>
      </c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2"/>
      <c r="P19" s="149"/>
      <c r="Q19" s="149"/>
      <c r="R19" s="149"/>
      <c r="S19" s="2"/>
      <c r="T19" s="149"/>
      <c r="U19" s="149"/>
      <c r="V19" s="149"/>
      <c r="W19" s="149"/>
      <c r="X19" s="149"/>
      <c r="Y19" s="149"/>
      <c r="Z19" s="2"/>
      <c r="AA19" s="149"/>
      <c r="AB19" s="2"/>
      <c r="AC19" s="2"/>
      <c r="AD19" s="2"/>
      <c r="AE19" s="2"/>
      <c r="AF19" s="149"/>
      <c r="AG19" s="149"/>
      <c r="AH19" s="149"/>
      <c r="AI19" s="3"/>
      <c r="AJ19" s="138" t="s">
        <v>816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x14ac:dyDescent="0.25" r="20" customHeight="1" ht="18.75">
      <c r="A20" s="38" t="s">
        <v>64</v>
      </c>
      <c r="B20" s="2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2"/>
      <c r="P20" s="149"/>
      <c r="Q20" s="149"/>
      <c r="R20" s="149"/>
      <c r="S20" s="2"/>
      <c r="T20" s="149"/>
      <c r="U20" s="149"/>
      <c r="V20" s="149"/>
      <c r="W20" s="149"/>
      <c r="X20" s="149"/>
      <c r="Y20" s="149"/>
      <c r="Z20" s="2"/>
      <c r="AA20" s="149"/>
      <c r="AB20" s="2"/>
      <c r="AC20" s="2"/>
      <c r="AD20" s="2"/>
      <c r="AE20" s="2"/>
      <c r="AF20" s="149"/>
      <c r="AG20" s="149"/>
      <c r="AH20" s="149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x14ac:dyDescent="0.25" r="21" customHeight="1" ht="18.75">
      <c r="A21" s="164" t="s">
        <v>817</v>
      </c>
      <c r="B21" s="40" t="s">
        <v>818</v>
      </c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2"/>
      <c r="P21" s="149"/>
      <c r="Q21" s="149"/>
      <c r="R21" s="149"/>
      <c r="S21" s="2"/>
      <c r="T21" s="149"/>
      <c r="U21" s="149"/>
      <c r="V21" s="149"/>
      <c r="W21" s="149"/>
      <c r="X21" s="149"/>
      <c r="Y21" s="149"/>
      <c r="Z21" s="2"/>
      <c r="AA21" s="149"/>
      <c r="AB21" s="2"/>
      <c r="AC21" s="2"/>
      <c r="AD21" s="2"/>
      <c r="AE21" s="2"/>
      <c r="AF21" s="149"/>
      <c r="AG21" s="149"/>
      <c r="AH21" s="149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x14ac:dyDescent="0.25" r="22" customHeight="1" ht="15.75">
      <c r="A22" s="206" t="s">
        <v>819</v>
      </c>
      <c r="B22" s="40" t="s">
        <v>820</v>
      </c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2"/>
      <c r="P22" s="149"/>
      <c r="Q22" s="149"/>
      <c r="R22" s="149"/>
      <c r="S22" s="2"/>
      <c r="T22" s="149"/>
      <c r="U22" s="149"/>
      <c r="V22" s="149"/>
      <c r="W22" s="149"/>
      <c r="X22" s="149"/>
      <c r="Y22" s="149"/>
      <c r="Z22" s="2"/>
      <c r="AA22" s="149"/>
      <c r="AB22" s="2"/>
      <c r="AC22" s="2"/>
      <c r="AD22" s="2"/>
      <c r="AE22" s="2"/>
      <c r="AF22" s="149"/>
      <c r="AG22" s="149"/>
      <c r="AH22" s="149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x14ac:dyDescent="0.25" r="23" customHeight="1" ht="18.75">
      <c r="A23" s="164"/>
      <c r="B23" s="40" t="s">
        <v>821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2"/>
      <c r="P23" s="149"/>
      <c r="Q23" s="149"/>
      <c r="R23" s="149"/>
      <c r="S23" s="2"/>
      <c r="T23" s="149"/>
      <c r="U23" s="149"/>
      <c r="V23" s="149"/>
      <c r="W23" s="149"/>
      <c r="X23" s="149"/>
      <c r="Y23" s="149"/>
      <c r="Z23" s="2"/>
      <c r="AA23" s="149"/>
      <c r="AB23" s="2"/>
      <c r="AC23" s="2"/>
      <c r="AD23" s="2"/>
      <c r="AE23" s="2"/>
      <c r="AF23" s="149"/>
      <c r="AG23" s="149"/>
      <c r="AH23" s="149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x14ac:dyDescent="0.25" r="24" customHeight="1" ht="18.75">
      <c r="A24" s="46"/>
      <c r="B24" s="2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2"/>
      <c r="P24" s="149"/>
      <c r="Q24" s="149"/>
      <c r="R24" s="149"/>
      <c r="S24" s="2"/>
      <c r="T24" s="149"/>
      <c r="U24" s="149"/>
      <c r="V24" s="149"/>
      <c r="W24" s="149"/>
      <c r="X24" s="149"/>
      <c r="Y24" s="149"/>
      <c r="Z24" s="2"/>
      <c r="AA24" s="149"/>
      <c r="AB24" s="2"/>
      <c r="AC24" s="2"/>
      <c r="AD24" s="2"/>
      <c r="AE24" s="2"/>
      <c r="AF24" s="149"/>
      <c r="AG24" s="149"/>
      <c r="AH24" s="149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x14ac:dyDescent="0.25" r="25" customHeight="1" ht="18.75">
      <c r="A25" s="30" t="s">
        <v>416</v>
      </c>
      <c r="B25" s="2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2"/>
      <c r="P25" s="149"/>
      <c r="Q25" s="149"/>
      <c r="R25" s="149"/>
      <c r="S25" s="2"/>
      <c r="T25" s="149"/>
      <c r="U25" s="149"/>
      <c r="V25" s="149"/>
      <c r="W25" s="149"/>
      <c r="X25" s="149"/>
      <c r="Y25" s="149"/>
      <c r="Z25" s="2"/>
      <c r="AA25" s="149"/>
      <c r="AB25" s="2"/>
      <c r="AC25" s="2"/>
      <c r="AD25" s="2"/>
      <c r="AE25" s="2"/>
      <c r="AF25" s="149"/>
      <c r="AG25" s="149"/>
      <c r="AH25" s="149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x14ac:dyDescent="0.25" r="26" customHeight="1" ht="18.75">
      <c r="A26" s="46"/>
      <c r="B26" s="2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2"/>
      <c r="P26" s="149"/>
      <c r="Q26" s="149"/>
      <c r="R26" s="149"/>
      <c r="S26" s="2"/>
      <c r="T26" s="149"/>
      <c r="U26" s="149"/>
      <c r="V26" s="149"/>
      <c r="W26" s="149"/>
      <c r="X26" s="149"/>
      <c r="Y26" s="149"/>
      <c r="Z26" s="2"/>
      <c r="AA26" s="149"/>
      <c r="AB26" s="2"/>
      <c r="AC26" s="2"/>
      <c r="AD26" s="2"/>
      <c r="AE26" s="2"/>
      <c r="AF26" s="149"/>
      <c r="AG26" s="149"/>
      <c r="AH26" s="149"/>
      <c r="AI26" s="3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x14ac:dyDescent="0.25" r="27" customHeight="1" ht="18.75">
      <c r="A27" s="30" t="s">
        <v>822</v>
      </c>
      <c r="B27" s="2"/>
      <c r="C27" s="193" t="s">
        <v>132</v>
      </c>
      <c r="D27" s="193"/>
      <c r="E27" s="193"/>
      <c r="F27" s="193"/>
      <c r="G27" s="193" t="s">
        <v>132</v>
      </c>
      <c r="H27" s="193"/>
      <c r="I27" s="193"/>
      <c r="J27" s="193"/>
      <c r="K27" s="193" t="s">
        <v>430</v>
      </c>
      <c r="L27" s="193"/>
      <c r="M27" s="193"/>
      <c r="N27" s="149"/>
      <c r="O27" s="2"/>
      <c r="P27" s="193"/>
      <c r="Q27" s="193"/>
      <c r="R27" s="193"/>
      <c r="S27" s="2"/>
      <c r="T27" s="193"/>
      <c r="U27" s="193"/>
      <c r="V27" s="193"/>
      <c r="W27" s="193"/>
      <c r="X27" s="193"/>
      <c r="Y27" s="193"/>
      <c r="Z27" s="193"/>
      <c r="AA27" s="193" t="s">
        <v>430</v>
      </c>
      <c r="AB27" s="193"/>
      <c r="AC27" s="193"/>
      <c r="AD27" s="193"/>
      <c r="AE27" s="193"/>
      <c r="AF27" s="193"/>
      <c r="AG27" s="150" t="s">
        <v>430</v>
      </c>
      <c r="AH27" s="150" t="s">
        <v>430</v>
      </c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x14ac:dyDescent="0.25" r="28" customHeight="1" ht="18.75">
      <c r="A28" s="30" t="s">
        <v>823</v>
      </c>
      <c r="B28" s="2"/>
      <c r="C28" s="193" t="s">
        <v>358</v>
      </c>
      <c r="D28" s="193"/>
      <c r="E28" s="193"/>
      <c r="F28" s="193"/>
      <c r="G28" s="193" t="s">
        <v>358</v>
      </c>
      <c r="H28" s="193"/>
      <c r="I28" s="193"/>
      <c r="J28" s="150" t="s">
        <v>824</v>
      </c>
      <c r="K28" s="193" t="s">
        <v>132</v>
      </c>
      <c r="L28" s="193"/>
      <c r="M28" s="193"/>
      <c r="N28" s="149"/>
      <c r="O28" s="2"/>
      <c r="P28" s="193" t="s">
        <v>368</v>
      </c>
      <c r="Q28" s="193"/>
      <c r="R28" s="149"/>
      <c r="S28" s="2"/>
      <c r="T28" s="193"/>
      <c r="U28" s="150" t="s">
        <v>312</v>
      </c>
      <c r="V28" s="149"/>
      <c r="W28" s="150" t="s">
        <v>430</v>
      </c>
      <c r="X28" s="149"/>
      <c r="Y28" s="149"/>
      <c r="Z28" s="2"/>
      <c r="AA28" s="193" t="s">
        <v>132</v>
      </c>
      <c r="AB28" s="2"/>
      <c r="AC28" s="2"/>
      <c r="AD28" s="2"/>
      <c r="AE28" s="2"/>
      <c r="AF28" s="158"/>
      <c r="AG28" s="149"/>
      <c r="AH28" s="149"/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x14ac:dyDescent="0.25" r="29" customHeight="1" ht="18.75">
      <c r="A29" s="30" t="s">
        <v>825</v>
      </c>
      <c r="B29" s="2"/>
      <c r="C29" s="193" t="s">
        <v>430</v>
      </c>
      <c r="D29" s="193"/>
      <c r="E29" s="193"/>
      <c r="F29" s="193"/>
      <c r="G29" s="193" t="s">
        <v>430</v>
      </c>
      <c r="H29" s="193"/>
      <c r="I29" s="193"/>
      <c r="J29" s="150" t="s">
        <v>430</v>
      </c>
      <c r="K29" s="149"/>
      <c r="L29" s="149"/>
      <c r="M29" s="149"/>
      <c r="N29" s="149"/>
      <c r="O29" s="2"/>
      <c r="P29" s="193" t="s">
        <v>358</v>
      </c>
      <c r="Q29" s="193"/>
      <c r="R29" s="193"/>
      <c r="S29" s="2"/>
      <c r="T29" s="193"/>
      <c r="U29" s="193"/>
      <c r="V29" s="149"/>
      <c r="W29" s="150" t="s">
        <v>430</v>
      </c>
      <c r="X29" s="150" t="s">
        <v>430</v>
      </c>
      <c r="Y29" s="150" t="s">
        <v>430</v>
      </c>
      <c r="Z29" s="2"/>
      <c r="AA29" s="193" t="s">
        <v>368</v>
      </c>
      <c r="AB29" s="2"/>
      <c r="AC29" s="2"/>
      <c r="AD29" s="2"/>
      <c r="AE29" s="2"/>
      <c r="AF29" s="193"/>
      <c r="AG29" s="149"/>
      <c r="AH29" s="149"/>
      <c r="AI29" s="3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x14ac:dyDescent="0.25" r="30" customHeight="1" ht="18.75">
      <c r="A30" s="30" t="s">
        <v>826</v>
      </c>
      <c r="B30" s="2"/>
      <c r="C30" s="193" t="s">
        <v>358</v>
      </c>
      <c r="D30" s="193"/>
      <c r="E30" s="193"/>
      <c r="F30" s="193"/>
      <c r="G30" s="193" t="s">
        <v>358</v>
      </c>
      <c r="H30" s="193"/>
      <c r="I30" s="193"/>
      <c r="J30" s="158" t="s">
        <v>158</v>
      </c>
      <c r="K30" s="193" t="s">
        <v>358</v>
      </c>
      <c r="L30" s="193"/>
      <c r="M30" s="193"/>
      <c r="N30" s="149"/>
      <c r="O30" s="2"/>
      <c r="P30" s="193" t="s">
        <v>358</v>
      </c>
      <c r="Q30" s="193"/>
      <c r="R30" s="150" t="s">
        <v>726</v>
      </c>
      <c r="S30" s="2"/>
      <c r="T30" s="193"/>
      <c r="U30" s="193" t="s">
        <v>368</v>
      </c>
      <c r="V30" s="149"/>
      <c r="W30" s="193"/>
      <c r="X30" s="193"/>
      <c r="Y30" s="150" t="s">
        <v>726</v>
      </c>
      <c r="Z30" s="193"/>
      <c r="AA30" s="193" t="s">
        <v>358</v>
      </c>
      <c r="AB30" s="2"/>
      <c r="AC30" s="2"/>
      <c r="AD30" s="2"/>
      <c r="AE30" s="2"/>
      <c r="AF30" s="193"/>
      <c r="AG30" s="193"/>
      <c r="AH30" s="193"/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x14ac:dyDescent="0.25" r="31" customHeight="1" ht="18.75">
      <c r="A31" s="30" t="s">
        <v>827</v>
      </c>
      <c r="B31" s="2"/>
      <c r="C31" s="193" t="s">
        <v>368</v>
      </c>
      <c r="D31" s="193"/>
      <c r="E31" s="193"/>
      <c r="F31" s="193"/>
      <c r="G31" s="193" t="s">
        <v>132</v>
      </c>
      <c r="H31" s="193"/>
      <c r="I31" s="193"/>
      <c r="J31" s="193" t="s">
        <v>132</v>
      </c>
      <c r="K31" s="193" t="s">
        <v>132</v>
      </c>
      <c r="L31" s="193"/>
      <c r="M31" s="193"/>
      <c r="N31" s="149"/>
      <c r="O31" s="2"/>
      <c r="P31" s="193" t="s">
        <v>368</v>
      </c>
      <c r="Q31" s="193"/>
      <c r="R31" s="193"/>
      <c r="S31" s="2"/>
      <c r="T31" s="149"/>
      <c r="U31" s="149"/>
      <c r="V31" s="149"/>
      <c r="W31" s="149"/>
      <c r="X31" s="193"/>
      <c r="Y31" s="193"/>
      <c r="Z31" s="2"/>
      <c r="AA31" s="149"/>
      <c r="AB31" s="2"/>
      <c r="AC31" s="2"/>
      <c r="AD31" s="2"/>
      <c r="AE31" s="2"/>
      <c r="AF31" s="149"/>
      <c r="AG31" s="149"/>
      <c r="AH31" s="149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x14ac:dyDescent="0.25" r="32" customHeight="1" ht="18.75">
      <c r="A32" s="30" t="s">
        <v>828</v>
      </c>
      <c r="B32" s="2"/>
      <c r="C32" s="193" t="s">
        <v>733</v>
      </c>
      <c r="D32" s="193"/>
      <c r="E32" s="193"/>
      <c r="F32" s="193"/>
      <c r="G32" s="193" t="s">
        <v>733</v>
      </c>
      <c r="H32" s="193"/>
      <c r="I32" s="193"/>
      <c r="J32" s="193" t="s">
        <v>358</v>
      </c>
      <c r="K32" s="158" t="s">
        <v>271</v>
      </c>
      <c r="L32" s="158"/>
      <c r="M32" s="158"/>
      <c r="N32" s="193" t="s">
        <v>358</v>
      </c>
      <c r="O32" s="2"/>
      <c r="P32" s="193" t="s">
        <v>358</v>
      </c>
      <c r="Q32" s="193"/>
      <c r="R32" s="193"/>
      <c r="S32" s="193" t="s">
        <v>358</v>
      </c>
      <c r="T32" s="193"/>
      <c r="U32" s="193"/>
      <c r="V32" s="149"/>
      <c r="W32" s="193"/>
      <c r="X32" s="193"/>
      <c r="Y32" s="193"/>
      <c r="Z32" s="193"/>
      <c r="AA32" s="193" t="s">
        <v>358</v>
      </c>
      <c r="AB32" s="193"/>
      <c r="AC32" s="193"/>
      <c r="AD32" s="193"/>
      <c r="AE32" s="193"/>
      <c r="AF32" s="193"/>
      <c r="AG32" s="149"/>
      <c r="AH32" s="149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x14ac:dyDescent="0.25" r="33" customHeight="1" ht="18.75">
      <c r="A33" s="30" t="s">
        <v>829</v>
      </c>
      <c r="B33" s="2"/>
      <c r="C33" s="150" t="s">
        <v>430</v>
      </c>
      <c r="D33" s="149"/>
      <c r="E33" s="149"/>
      <c r="F33" s="149"/>
      <c r="G33" s="150" t="s">
        <v>430</v>
      </c>
      <c r="H33" s="150"/>
      <c r="I33" s="150"/>
      <c r="J33" s="149"/>
      <c r="K33" s="193" t="s">
        <v>358</v>
      </c>
      <c r="L33" s="193"/>
      <c r="M33" s="193"/>
      <c r="N33" s="149"/>
      <c r="O33" s="2"/>
      <c r="P33" s="149"/>
      <c r="Q33" s="149"/>
      <c r="R33" s="149"/>
      <c r="S33" s="2"/>
      <c r="T33" s="149"/>
      <c r="U33" s="149"/>
      <c r="V33" s="150" t="s">
        <v>430</v>
      </c>
      <c r="W33" s="193"/>
      <c r="X33" s="149"/>
      <c r="Y33" s="149"/>
      <c r="Z33" s="2"/>
      <c r="AA33" s="150" t="s">
        <v>430</v>
      </c>
      <c r="AB33" s="193"/>
      <c r="AC33" s="193"/>
      <c r="AD33" s="193"/>
      <c r="AE33" s="193"/>
      <c r="AF33" s="149"/>
      <c r="AG33" s="149"/>
      <c r="AH33" s="149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x14ac:dyDescent="0.25" r="34" customHeight="1" ht="18.75">
      <c r="A34" s="30" t="s">
        <v>830</v>
      </c>
      <c r="B34" s="2"/>
      <c r="C34" s="193"/>
      <c r="D34" s="193"/>
      <c r="E34" s="193"/>
      <c r="F34" s="193"/>
      <c r="G34" s="193" t="s">
        <v>733</v>
      </c>
      <c r="H34" s="193"/>
      <c r="I34" s="193"/>
      <c r="J34" s="193" t="s">
        <v>358</v>
      </c>
      <c r="K34" s="158" t="s">
        <v>271</v>
      </c>
      <c r="L34" s="158"/>
      <c r="M34" s="158"/>
      <c r="N34" s="149"/>
      <c r="O34" s="2"/>
      <c r="P34" s="193" t="s">
        <v>368</v>
      </c>
      <c r="Q34" s="193"/>
      <c r="R34" s="149"/>
      <c r="S34" s="2"/>
      <c r="T34" s="158"/>
      <c r="U34" s="149"/>
      <c r="V34" s="150" t="s">
        <v>430</v>
      </c>
      <c r="W34" s="193"/>
      <c r="X34" s="149"/>
      <c r="Y34" s="149"/>
      <c r="Z34" s="2"/>
      <c r="AA34" s="158" t="s">
        <v>273</v>
      </c>
      <c r="AB34" s="193"/>
      <c r="AC34" s="193"/>
      <c r="AD34" s="193"/>
      <c r="AE34" s="193"/>
      <c r="AF34" s="149"/>
      <c r="AG34" s="149"/>
      <c r="AH34" s="149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x14ac:dyDescent="0.25" r="35" customHeight="1" ht="18.75">
      <c r="A35" s="30" t="s">
        <v>831</v>
      </c>
      <c r="B35" s="2"/>
      <c r="C35" s="193" t="s">
        <v>358</v>
      </c>
      <c r="D35" s="193"/>
      <c r="E35" s="193"/>
      <c r="F35" s="193"/>
      <c r="G35" s="193" t="s">
        <v>358</v>
      </c>
      <c r="H35" s="193"/>
      <c r="I35" s="193"/>
      <c r="J35" s="158"/>
      <c r="K35" s="158" t="s">
        <v>271</v>
      </c>
      <c r="L35" s="158"/>
      <c r="M35" s="158"/>
      <c r="N35" s="158"/>
      <c r="O35" s="2"/>
      <c r="P35" s="193" t="s">
        <v>358</v>
      </c>
      <c r="Q35" s="193"/>
      <c r="R35" s="149"/>
      <c r="S35" s="2"/>
      <c r="T35" s="193"/>
      <c r="U35" s="193"/>
      <c r="V35" s="150" t="s">
        <v>726</v>
      </c>
      <c r="W35" s="193"/>
      <c r="X35" s="150" t="s">
        <v>430</v>
      </c>
      <c r="Y35" s="150" t="s">
        <v>430</v>
      </c>
      <c r="Z35" s="193"/>
      <c r="AA35" s="193" t="s">
        <v>358</v>
      </c>
      <c r="AB35" s="2"/>
      <c r="AC35" s="2"/>
      <c r="AD35" s="2"/>
      <c r="AE35" s="2"/>
      <c r="AF35" s="193"/>
      <c r="AG35" s="158"/>
      <c r="AH35" s="158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x14ac:dyDescent="0.25" r="36" customHeight="1" ht="18.75">
      <c r="A36" s="30" t="s">
        <v>832</v>
      </c>
      <c r="B36" s="2"/>
      <c r="C36" s="193" t="s">
        <v>358</v>
      </c>
      <c r="D36" s="193"/>
      <c r="E36" s="193"/>
      <c r="F36" s="193"/>
      <c r="G36" s="193" t="s">
        <v>358</v>
      </c>
      <c r="H36" s="193"/>
      <c r="I36" s="193"/>
      <c r="J36" s="193"/>
      <c r="K36" s="158" t="s">
        <v>271</v>
      </c>
      <c r="L36" s="158"/>
      <c r="M36" s="158"/>
      <c r="N36" s="158"/>
      <c r="O36" s="2"/>
      <c r="P36" s="193" t="s">
        <v>358</v>
      </c>
      <c r="Q36" s="193"/>
      <c r="R36" s="149"/>
      <c r="S36" s="2"/>
      <c r="T36" s="158" t="s">
        <v>733</v>
      </c>
      <c r="U36" s="158"/>
      <c r="V36" s="158"/>
      <c r="W36" s="158"/>
      <c r="X36" s="150" t="s">
        <v>430</v>
      </c>
      <c r="Y36" s="150" t="s">
        <v>430</v>
      </c>
      <c r="Z36" s="2"/>
      <c r="AA36" s="158" t="s">
        <v>273</v>
      </c>
      <c r="AB36" s="2"/>
      <c r="AC36" s="2"/>
      <c r="AD36" s="2"/>
      <c r="AE36" s="2"/>
      <c r="AF36" s="158"/>
      <c r="AG36" s="158"/>
      <c r="AH36" s="158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x14ac:dyDescent="0.25" r="37" customHeight="1" ht="18.75">
      <c r="A37" s="30" t="s">
        <v>833</v>
      </c>
      <c r="B37" s="2"/>
      <c r="C37" s="158" t="s">
        <v>271</v>
      </c>
      <c r="D37" s="158"/>
      <c r="E37" s="158"/>
      <c r="F37" s="193"/>
      <c r="G37" s="193" t="s">
        <v>358</v>
      </c>
      <c r="H37" s="193"/>
      <c r="I37" s="193"/>
      <c r="J37" s="150" t="s">
        <v>824</v>
      </c>
      <c r="K37" s="158" t="s">
        <v>271</v>
      </c>
      <c r="L37" s="158"/>
      <c r="M37" s="158"/>
      <c r="N37" s="158"/>
      <c r="O37" s="2"/>
      <c r="P37" s="193" t="s">
        <v>368</v>
      </c>
      <c r="Q37" s="193"/>
      <c r="R37" s="193"/>
      <c r="S37" s="2"/>
      <c r="T37" s="158"/>
      <c r="U37" s="149"/>
      <c r="V37" s="149"/>
      <c r="W37" s="150" t="s">
        <v>312</v>
      </c>
      <c r="X37" s="193"/>
      <c r="Y37" s="193"/>
      <c r="Z37" s="158"/>
      <c r="AA37" s="158" t="s">
        <v>273</v>
      </c>
      <c r="AB37" s="2"/>
      <c r="AC37" s="2"/>
      <c r="AD37" s="2"/>
      <c r="AE37" s="2"/>
      <c r="AF37" s="158"/>
      <c r="AG37" s="158"/>
      <c r="AH37" s="158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x14ac:dyDescent="0.25" r="38" customHeight="1" ht="18.75">
      <c r="A38" s="30" t="s">
        <v>834</v>
      </c>
      <c r="B38" s="2"/>
      <c r="C38" s="150"/>
      <c r="D38" s="149"/>
      <c r="E38" s="149"/>
      <c r="F38" s="149"/>
      <c r="G38" s="193" t="s">
        <v>368</v>
      </c>
      <c r="H38" s="193"/>
      <c r="I38" s="193"/>
      <c r="J38" s="193"/>
      <c r="K38" s="149"/>
      <c r="L38" s="149"/>
      <c r="M38" s="149"/>
      <c r="N38" s="149"/>
      <c r="O38" s="2"/>
      <c r="P38" s="149"/>
      <c r="Q38" s="149"/>
      <c r="R38" s="149"/>
      <c r="S38" s="2"/>
      <c r="T38" s="158"/>
      <c r="U38" s="158"/>
      <c r="V38" s="193"/>
      <c r="W38" s="158"/>
      <c r="X38" s="193"/>
      <c r="Y38" s="193"/>
      <c r="Z38" s="158"/>
      <c r="AA38" s="158" t="s">
        <v>273</v>
      </c>
      <c r="AB38" s="158"/>
      <c r="AC38" s="158"/>
      <c r="AD38" s="158"/>
      <c r="AE38" s="158"/>
      <c r="AF38" s="158"/>
      <c r="AG38" s="158"/>
      <c r="AH38" s="158"/>
      <c r="AI38" s="3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x14ac:dyDescent="0.25" r="39" customHeight="1" ht="18.75">
      <c r="A39" s="30" t="s">
        <v>835</v>
      </c>
      <c r="B39" s="2"/>
      <c r="C39" s="158" t="s">
        <v>271</v>
      </c>
      <c r="D39" s="158"/>
      <c r="E39" s="158"/>
      <c r="F39" s="158"/>
      <c r="G39" s="193" t="s">
        <v>358</v>
      </c>
      <c r="H39" s="193"/>
      <c r="I39" s="193"/>
      <c r="J39" s="150" t="s">
        <v>824</v>
      </c>
      <c r="K39" s="158" t="s">
        <v>271</v>
      </c>
      <c r="L39" s="158"/>
      <c r="M39" s="158"/>
      <c r="N39" s="158"/>
      <c r="O39" s="2"/>
      <c r="P39" s="193" t="s">
        <v>368</v>
      </c>
      <c r="Q39" s="193"/>
      <c r="R39" s="193"/>
      <c r="S39" s="2"/>
      <c r="T39" s="150" t="s">
        <v>430</v>
      </c>
      <c r="U39" s="150" t="s">
        <v>430</v>
      </c>
      <c r="V39" s="158"/>
      <c r="W39" s="193"/>
      <c r="X39" s="193"/>
      <c r="Y39" s="193"/>
      <c r="Z39" s="2"/>
      <c r="AA39" s="158" t="s">
        <v>273</v>
      </c>
      <c r="AB39" s="2"/>
      <c r="AC39" s="2"/>
      <c r="AD39" s="2"/>
      <c r="AE39" s="2"/>
      <c r="AF39" s="158"/>
      <c r="AG39" s="158"/>
      <c r="AH39" s="158"/>
      <c r="AI39" s="3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</sheetData>
  <mergeCells count="6">
    <mergeCell ref="B3:D3"/>
    <mergeCell ref="F3:O3"/>
    <mergeCell ref="B4:D4"/>
    <mergeCell ref="F4:O5"/>
    <mergeCell ref="B5:D5"/>
    <mergeCell ref="A22:A23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x14ac:dyDescent="0.25" r="3" customHeight="1" ht="18.75">
      <c r="A3" s="1" t="s">
        <v>2</v>
      </c>
      <c r="B3" s="5">
        <v>65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x14ac:dyDescent="0.25" r="4" customHeight="1" ht="18.75">
      <c r="A4" s="1" t="s">
        <v>4</v>
      </c>
      <c r="B4" s="7" t="s">
        <v>793</v>
      </c>
      <c r="C4" s="7"/>
      <c r="D4" s="7"/>
      <c r="E4" s="2"/>
      <c r="F4" s="124" t="s">
        <v>794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397</v>
      </c>
      <c r="C8" s="33" t="s">
        <v>262</v>
      </c>
      <c r="D8" s="33" t="s">
        <v>262</v>
      </c>
      <c r="E8" s="33" t="s">
        <v>262</v>
      </c>
      <c r="F8" s="33" t="s">
        <v>262</v>
      </c>
      <c r="G8" s="33" t="s">
        <v>262</v>
      </c>
      <c r="H8" s="33" t="s">
        <v>262</v>
      </c>
      <c r="I8" s="33" t="s">
        <v>262</v>
      </c>
      <c r="J8" s="33" t="s">
        <v>262</v>
      </c>
      <c r="K8" s="33" t="s">
        <v>262</v>
      </c>
      <c r="L8" s="33" t="s">
        <v>262</v>
      </c>
      <c r="M8" s="33" t="s">
        <v>262</v>
      </c>
      <c r="N8" s="33" t="s">
        <v>262</v>
      </c>
      <c r="O8" s="33" t="s">
        <v>262</v>
      </c>
      <c r="P8" s="33" t="s">
        <v>262</v>
      </c>
      <c r="Q8" s="33" t="s">
        <v>262</v>
      </c>
      <c r="R8" s="33" t="s">
        <v>262</v>
      </c>
      <c r="S8" s="33" t="s">
        <v>262</v>
      </c>
      <c r="T8" s="33" t="s">
        <v>262</v>
      </c>
      <c r="U8" s="33" t="s">
        <v>262</v>
      </c>
      <c r="V8" s="33" t="s">
        <v>262</v>
      </c>
      <c r="W8" s="33" t="s">
        <v>262</v>
      </c>
      <c r="X8" s="33" t="s">
        <v>262</v>
      </c>
      <c r="Y8" s="33" t="s">
        <v>262</v>
      </c>
      <c r="Z8" s="33" t="s">
        <v>262</v>
      </c>
      <c r="AA8" s="33" t="s">
        <v>262</v>
      </c>
      <c r="AB8" s="33" t="s">
        <v>262</v>
      </c>
      <c r="AC8" s="33" t="s">
        <v>262</v>
      </c>
      <c r="AD8" s="33" t="s">
        <v>262</v>
      </c>
      <c r="AE8" s="33" t="s">
        <v>262</v>
      </c>
      <c r="AF8" s="33" t="s">
        <v>262</v>
      </c>
      <c r="AG8" s="33" t="s">
        <v>262</v>
      </c>
      <c r="AH8" s="33" t="s">
        <v>262</v>
      </c>
    </row>
    <row x14ac:dyDescent="0.25" r="9" customHeight="1" ht="18.75">
      <c r="A9" s="30" t="s">
        <v>45</v>
      </c>
      <c r="B9" s="31" t="s">
        <v>262</v>
      </c>
      <c r="C9" s="31" t="s">
        <v>262</v>
      </c>
      <c r="D9" s="31" t="s">
        <v>262</v>
      </c>
      <c r="E9" s="31" t="s">
        <v>262</v>
      </c>
      <c r="F9" s="31" t="s">
        <v>262</v>
      </c>
      <c r="G9" s="31" t="s">
        <v>262</v>
      </c>
      <c r="H9" s="31" t="s">
        <v>262</v>
      </c>
      <c r="I9" s="31" t="s">
        <v>262</v>
      </c>
      <c r="J9" s="31" t="s">
        <v>262</v>
      </c>
      <c r="K9" s="31" t="s">
        <v>262</v>
      </c>
      <c r="L9" s="31" t="s">
        <v>262</v>
      </c>
      <c r="M9" s="31" t="s">
        <v>262</v>
      </c>
      <c r="N9" s="31" t="s">
        <v>262</v>
      </c>
      <c r="O9" s="31" t="s">
        <v>262</v>
      </c>
      <c r="P9" s="31" t="s">
        <v>262</v>
      </c>
      <c r="Q9" s="31" t="s">
        <v>262</v>
      </c>
      <c r="R9" s="31" t="s">
        <v>262</v>
      </c>
      <c r="S9" s="31" t="s">
        <v>262</v>
      </c>
      <c r="T9" s="31" t="s">
        <v>262</v>
      </c>
      <c r="U9" s="31" t="s">
        <v>262</v>
      </c>
      <c r="V9" s="31" t="s">
        <v>262</v>
      </c>
      <c r="W9" s="31" t="s">
        <v>262</v>
      </c>
      <c r="X9" s="31" t="s">
        <v>262</v>
      </c>
      <c r="Y9" s="31" t="s">
        <v>262</v>
      </c>
      <c r="Z9" s="31" t="s">
        <v>262</v>
      </c>
      <c r="AA9" s="31" t="s">
        <v>262</v>
      </c>
      <c r="AB9" s="31" t="s">
        <v>262</v>
      </c>
      <c r="AC9" s="31" t="s">
        <v>262</v>
      </c>
      <c r="AD9" s="31" t="s">
        <v>262</v>
      </c>
      <c r="AE9" s="31" t="s">
        <v>262</v>
      </c>
      <c r="AF9" s="31" t="s">
        <v>262</v>
      </c>
      <c r="AG9" s="31" t="s">
        <v>262</v>
      </c>
      <c r="AH9" s="31" t="s">
        <v>262</v>
      </c>
    </row>
    <row x14ac:dyDescent="0.25" r="10" customHeight="1" ht="18.75">
      <c r="A10" s="35" t="s">
        <v>47</v>
      </c>
      <c r="B10" s="117">
        <v>70</v>
      </c>
      <c r="C10" s="117">
        <v>70</v>
      </c>
      <c r="D10" s="117">
        <v>70</v>
      </c>
      <c r="E10" s="117">
        <v>70</v>
      </c>
      <c r="F10" s="117">
        <v>70</v>
      </c>
      <c r="G10" s="117">
        <v>70</v>
      </c>
      <c r="H10" s="117">
        <v>70</v>
      </c>
      <c r="I10" s="117">
        <v>70</v>
      </c>
      <c r="J10" s="117">
        <v>70</v>
      </c>
      <c r="K10" s="117">
        <v>70</v>
      </c>
      <c r="L10" s="117">
        <v>70</v>
      </c>
      <c r="M10" s="117">
        <v>70</v>
      </c>
      <c r="N10" s="117">
        <v>70</v>
      </c>
      <c r="O10" s="117">
        <v>70</v>
      </c>
      <c r="P10" s="117">
        <v>70</v>
      </c>
      <c r="Q10" s="117">
        <v>70</v>
      </c>
      <c r="R10" s="117">
        <v>70</v>
      </c>
      <c r="S10" s="117">
        <v>70</v>
      </c>
      <c r="T10" s="117">
        <v>70</v>
      </c>
      <c r="U10" s="117">
        <v>70</v>
      </c>
      <c r="V10" s="117">
        <v>70</v>
      </c>
      <c r="W10" s="117">
        <v>70</v>
      </c>
      <c r="X10" s="117">
        <v>70</v>
      </c>
      <c r="Y10" s="117">
        <v>70</v>
      </c>
      <c r="Z10" s="117">
        <v>70</v>
      </c>
      <c r="AA10" s="117">
        <v>70</v>
      </c>
      <c r="AB10" s="117">
        <v>70</v>
      </c>
      <c r="AC10" s="117">
        <v>70</v>
      </c>
      <c r="AD10" s="117">
        <v>70</v>
      </c>
      <c r="AE10" s="117">
        <v>70</v>
      </c>
      <c r="AF10" s="117">
        <v>70</v>
      </c>
      <c r="AG10" s="117">
        <v>70</v>
      </c>
      <c r="AH10" s="117">
        <v>70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</row>
    <row x14ac:dyDescent="0.25" r="12" customHeight="1" ht="18.75">
      <c r="A12" s="30" t="s">
        <v>124</v>
      </c>
      <c r="B12" s="33" t="s">
        <v>52</v>
      </c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3" t="s">
        <v>52</v>
      </c>
      <c r="AC12" s="33" t="s">
        <v>52</v>
      </c>
      <c r="AD12" s="33" t="s">
        <v>52</v>
      </c>
      <c r="AE12" s="33" t="s">
        <v>52</v>
      </c>
      <c r="AF12" s="33" t="s">
        <v>52</v>
      </c>
      <c r="AG12" s="33" t="s">
        <v>52</v>
      </c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1" t="s">
        <v>140</v>
      </c>
      <c r="S15" s="31" t="s">
        <v>140</v>
      </c>
      <c r="T15" s="31" t="s">
        <v>140</v>
      </c>
      <c r="U15" s="31" t="s">
        <v>140</v>
      </c>
      <c r="V15" s="31" t="s">
        <v>140</v>
      </c>
      <c r="W15" s="31" t="s">
        <v>140</v>
      </c>
      <c r="X15" s="31" t="s">
        <v>140</v>
      </c>
      <c r="Y15" s="31" t="s">
        <v>140</v>
      </c>
      <c r="Z15" s="31" t="s">
        <v>140</v>
      </c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1" t="s">
        <v>140</v>
      </c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>
        <v>3</v>
      </c>
      <c r="S16" s="31">
        <v>3</v>
      </c>
      <c r="T16" s="31">
        <v>3</v>
      </c>
      <c r="U16" s="31">
        <v>3</v>
      </c>
      <c r="V16" s="31">
        <v>3</v>
      </c>
      <c r="W16" s="31">
        <v>3</v>
      </c>
      <c r="X16" s="31">
        <v>3</v>
      </c>
      <c r="Y16" s="31">
        <v>3</v>
      </c>
      <c r="Z16" s="31">
        <v>3</v>
      </c>
      <c r="AA16" s="31">
        <v>3</v>
      </c>
      <c r="AB16" s="31">
        <v>3</v>
      </c>
      <c r="AC16" s="31">
        <v>3</v>
      </c>
      <c r="AD16" s="31">
        <v>3</v>
      </c>
      <c r="AE16" s="31">
        <v>3</v>
      </c>
      <c r="AF16" s="31">
        <v>3</v>
      </c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257</v>
      </c>
      <c r="C17" s="31" t="s">
        <v>257</v>
      </c>
      <c r="D17" s="31" t="s">
        <v>257</v>
      </c>
      <c r="E17" s="31" t="s">
        <v>257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1" t="s">
        <v>257</v>
      </c>
      <c r="S17" s="31" t="s">
        <v>257</v>
      </c>
      <c r="T17" s="31" t="s">
        <v>257</v>
      </c>
      <c r="U17" s="31" t="s">
        <v>257</v>
      </c>
      <c r="V17" s="31" t="s">
        <v>257</v>
      </c>
      <c r="W17" s="31" t="s">
        <v>257</v>
      </c>
      <c r="X17" s="31" t="s">
        <v>257</v>
      </c>
      <c r="Y17" s="31" t="s">
        <v>257</v>
      </c>
      <c r="Z17" s="31" t="s">
        <v>257</v>
      </c>
      <c r="AA17" s="31" t="s">
        <v>257</v>
      </c>
      <c r="AB17" s="31" t="s">
        <v>257</v>
      </c>
      <c r="AC17" s="31" t="s">
        <v>257</v>
      </c>
      <c r="AD17" s="31" t="s">
        <v>257</v>
      </c>
      <c r="AE17" s="31" t="s">
        <v>257</v>
      </c>
      <c r="AF17" s="31" t="s">
        <v>257</v>
      </c>
      <c r="AG17" s="31" t="s">
        <v>257</v>
      </c>
      <c r="AH17" s="31" t="s">
        <v>257</v>
      </c>
    </row>
    <row x14ac:dyDescent="0.25" r="18" customHeight="1" ht="18.75">
      <c r="A18" s="30" t="s">
        <v>130</v>
      </c>
      <c r="B18" s="31">
        <v>1.5</v>
      </c>
      <c r="C18" s="31">
        <v>1.5</v>
      </c>
      <c r="D18" s="31">
        <v>1.5</v>
      </c>
      <c r="E18" s="31">
        <v>1.5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>
        <v>1.5</v>
      </c>
      <c r="S18" s="31">
        <v>1.5</v>
      </c>
      <c r="T18" s="31">
        <v>1.5</v>
      </c>
      <c r="U18" s="31">
        <v>1.5</v>
      </c>
      <c r="V18" s="31">
        <v>1.5</v>
      </c>
      <c r="W18" s="31">
        <v>1.5</v>
      </c>
      <c r="X18" s="31">
        <v>1.5</v>
      </c>
      <c r="Y18" s="31">
        <v>1.5</v>
      </c>
      <c r="Z18" s="31">
        <v>1.5</v>
      </c>
      <c r="AA18" s="31">
        <v>1.5</v>
      </c>
      <c r="AB18" s="31">
        <v>1.5</v>
      </c>
      <c r="AC18" s="31">
        <v>1.5</v>
      </c>
      <c r="AD18" s="31">
        <v>1.5</v>
      </c>
      <c r="AE18" s="31">
        <v>1.5</v>
      </c>
      <c r="AF18" s="31">
        <v>1.5</v>
      </c>
      <c r="AG18" s="31">
        <v>1.5</v>
      </c>
      <c r="AH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x14ac:dyDescent="0.25" r="21" customHeight="1" ht="18.75">
      <c r="A21" s="30" t="s">
        <v>795</v>
      </c>
      <c r="B21" s="40" t="s">
        <v>796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66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786</v>
      </c>
      <c r="C4" s="7"/>
      <c r="D4" s="7"/>
      <c r="E4" s="2"/>
      <c r="F4" s="124" t="s">
        <v>787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112" t="s">
        <v>42</v>
      </c>
    </row>
    <row x14ac:dyDescent="0.25" r="8" customHeight="1" ht="18.75">
      <c r="A8" s="30" t="s">
        <v>43</v>
      </c>
      <c r="B8" s="33" t="s">
        <v>257</v>
      </c>
      <c r="C8" s="33" t="s">
        <v>788</v>
      </c>
      <c r="D8" s="33" t="s">
        <v>788</v>
      </c>
      <c r="E8" s="33" t="s">
        <v>358</v>
      </c>
      <c r="F8" s="33" t="s">
        <v>250</v>
      </c>
      <c r="G8" s="33" t="s">
        <v>250</v>
      </c>
      <c r="H8" s="33" t="s">
        <v>250</v>
      </c>
      <c r="I8" s="33" t="s">
        <v>250</v>
      </c>
      <c r="J8" s="33" t="s">
        <v>250</v>
      </c>
      <c r="K8" s="33" t="s">
        <v>250</v>
      </c>
      <c r="L8" s="33" t="s">
        <v>250</v>
      </c>
      <c r="M8" s="33" t="s">
        <v>250</v>
      </c>
      <c r="N8" s="33" t="s">
        <v>250</v>
      </c>
      <c r="O8" s="33" t="s">
        <v>250</v>
      </c>
      <c r="P8" s="31" t="s">
        <v>250</v>
      </c>
      <c r="Q8" s="31" t="s">
        <v>250</v>
      </c>
      <c r="R8" s="31" t="s">
        <v>250</v>
      </c>
      <c r="S8" s="33" t="s">
        <v>250</v>
      </c>
      <c r="T8" s="33" t="s">
        <v>250</v>
      </c>
      <c r="U8" s="33" t="s">
        <v>250</v>
      </c>
      <c r="V8" s="33" t="s">
        <v>250</v>
      </c>
      <c r="W8" s="33" t="s">
        <v>250</v>
      </c>
      <c r="X8" s="33" t="s">
        <v>250</v>
      </c>
      <c r="Y8" s="33" t="s">
        <v>250</v>
      </c>
      <c r="Z8" s="33" t="s">
        <v>250</v>
      </c>
      <c r="AA8" s="33" t="s">
        <v>250</v>
      </c>
      <c r="AB8" s="33" t="s">
        <v>250</v>
      </c>
      <c r="AC8" s="33" t="s">
        <v>250</v>
      </c>
      <c r="AD8" s="33" t="s">
        <v>250</v>
      </c>
      <c r="AE8" s="33" t="s">
        <v>250</v>
      </c>
      <c r="AF8" s="33" t="s">
        <v>250</v>
      </c>
      <c r="AG8" s="31" t="s">
        <v>250</v>
      </c>
      <c r="AH8" s="31" t="s">
        <v>250</v>
      </c>
      <c r="AI8" s="3"/>
      <c r="AJ8" s="142" t="s">
        <v>180</v>
      </c>
    </row>
    <row x14ac:dyDescent="0.25" r="9" customHeight="1" ht="18.75">
      <c r="A9" s="30" t="s">
        <v>45</v>
      </c>
      <c r="B9" s="31" t="s">
        <v>250</v>
      </c>
      <c r="C9" s="33" t="s">
        <v>382</v>
      </c>
      <c r="D9" s="33" t="s">
        <v>382</v>
      </c>
      <c r="E9" s="33" t="s">
        <v>358</v>
      </c>
      <c r="F9" s="33" t="s">
        <v>250</v>
      </c>
      <c r="G9" s="33" t="s">
        <v>250</v>
      </c>
      <c r="H9" s="33" t="s">
        <v>250</v>
      </c>
      <c r="I9" s="33" t="s">
        <v>250</v>
      </c>
      <c r="J9" s="33" t="s">
        <v>250</v>
      </c>
      <c r="K9" s="33" t="s">
        <v>250</v>
      </c>
      <c r="L9" s="33" t="s">
        <v>250</v>
      </c>
      <c r="M9" s="33" t="s">
        <v>250</v>
      </c>
      <c r="N9" s="33" t="s">
        <v>250</v>
      </c>
      <c r="O9" s="33" t="s">
        <v>250</v>
      </c>
      <c r="P9" s="31" t="s">
        <v>789</v>
      </c>
      <c r="Q9" s="31" t="s">
        <v>789</v>
      </c>
      <c r="R9" s="31" t="s">
        <v>789</v>
      </c>
      <c r="S9" s="33" t="s">
        <v>250</v>
      </c>
      <c r="T9" s="33" t="s">
        <v>250</v>
      </c>
      <c r="U9" s="33" t="s">
        <v>250</v>
      </c>
      <c r="V9" s="33" t="s">
        <v>250</v>
      </c>
      <c r="W9" s="33" t="s">
        <v>250</v>
      </c>
      <c r="X9" s="33" t="s">
        <v>250</v>
      </c>
      <c r="Y9" s="33" t="s">
        <v>250</v>
      </c>
      <c r="Z9" s="33" t="s">
        <v>250</v>
      </c>
      <c r="AA9" s="33" t="s">
        <v>250</v>
      </c>
      <c r="AB9" s="33" t="s">
        <v>250</v>
      </c>
      <c r="AC9" s="33" t="s">
        <v>250</v>
      </c>
      <c r="AD9" s="33" t="s">
        <v>250</v>
      </c>
      <c r="AE9" s="33" t="s">
        <v>250</v>
      </c>
      <c r="AF9" s="33" t="s">
        <v>250</v>
      </c>
      <c r="AG9" s="31" t="s">
        <v>789</v>
      </c>
      <c r="AH9" s="31" t="s">
        <v>789</v>
      </c>
      <c r="AI9" s="3"/>
      <c r="AJ9" s="31" t="s">
        <v>189</v>
      </c>
    </row>
    <row x14ac:dyDescent="0.25" r="10" customHeight="1" ht="18.75">
      <c r="A10" s="35" t="s">
        <v>47</v>
      </c>
      <c r="B10" s="117">
        <v>73</v>
      </c>
      <c r="C10" s="117">
        <v>191</v>
      </c>
      <c r="D10" s="117">
        <v>191</v>
      </c>
      <c r="E10" s="36" t="s">
        <v>358</v>
      </c>
      <c r="F10" s="117">
        <v>73</v>
      </c>
      <c r="G10" s="117">
        <v>73</v>
      </c>
      <c r="H10" s="117">
        <v>73</v>
      </c>
      <c r="I10" s="117">
        <v>73</v>
      </c>
      <c r="J10" s="117">
        <v>73</v>
      </c>
      <c r="K10" s="117">
        <v>73</v>
      </c>
      <c r="L10" s="117">
        <v>73</v>
      </c>
      <c r="M10" s="117">
        <v>73</v>
      </c>
      <c r="N10" s="117">
        <v>73</v>
      </c>
      <c r="O10" s="117">
        <v>73</v>
      </c>
      <c r="P10" s="117">
        <v>72</v>
      </c>
      <c r="Q10" s="117">
        <v>72</v>
      </c>
      <c r="R10" s="117">
        <v>72</v>
      </c>
      <c r="S10" s="117">
        <v>73</v>
      </c>
      <c r="T10" s="117">
        <v>73</v>
      </c>
      <c r="U10" s="117">
        <v>73</v>
      </c>
      <c r="V10" s="117">
        <v>73</v>
      </c>
      <c r="W10" s="117">
        <v>73</v>
      </c>
      <c r="X10" s="117">
        <v>73</v>
      </c>
      <c r="Y10" s="117">
        <v>73</v>
      </c>
      <c r="Z10" s="117">
        <v>73</v>
      </c>
      <c r="AA10" s="117">
        <v>73</v>
      </c>
      <c r="AB10" s="117">
        <v>73</v>
      </c>
      <c r="AC10" s="117">
        <v>73</v>
      </c>
      <c r="AD10" s="117">
        <v>73</v>
      </c>
      <c r="AE10" s="117">
        <v>73</v>
      </c>
      <c r="AF10" s="117">
        <v>73</v>
      </c>
      <c r="AG10" s="117">
        <v>72</v>
      </c>
      <c r="AH10" s="117">
        <v>72</v>
      </c>
      <c r="AI10" s="3"/>
      <c r="AJ10" s="117">
        <v>82</v>
      </c>
    </row>
    <row x14ac:dyDescent="0.25" r="11" customHeight="1" ht="18.75">
      <c r="A11" s="30" t="s">
        <v>123</v>
      </c>
      <c r="B11" s="33" t="s">
        <v>52</v>
      </c>
      <c r="C11" s="31" t="s">
        <v>49</v>
      </c>
      <c r="D11" s="31" t="s">
        <v>49</v>
      </c>
      <c r="E11" s="31" t="s">
        <v>49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3" t="s">
        <v>52</v>
      </c>
      <c r="S11" s="33" t="s">
        <v>52</v>
      </c>
      <c r="T11" s="33" t="s">
        <v>52</v>
      </c>
      <c r="U11" s="33" t="s">
        <v>52</v>
      </c>
      <c r="V11" s="33" t="s">
        <v>52</v>
      </c>
      <c r="W11" s="33" t="s">
        <v>52</v>
      </c>
      <c r="X11" s="33" t="s">
        <v>52</v>
      </c>
      <c r="Y11" s="33" t="s">
        <v>52</v>
      </c>
      <c r="Z11" s="33" t="s">
        <v>52</v>
      </c>
      <c r="AA11" s="33" t="s">
        <v>52</v>
      </c>
      <c r="AB11" s="33" t="s">
        <v>52</v>
      </c>
      <c r="AC11" s="33" t="s">
        <v>52</v>
      </c>
      <c r="AD11" s="33" t="s">
        <v>52</v>
      </c>
      <c r="AE11" s="33" t="s">
        <v>52</v>
      </c>
      <c r="AF11" s="33" t="s">
        <v>52</v>
      </c>
      <c r="AG11" s="33" t="s">
        <v>52</v>
      </c>
      <c r="AH11" s="33" t="s">
        <v>52</v>
      </c>
      <c r="AI11" s="3"/>
      <c r="AJ11" s="31" t="s">
        <v>52</v>
      </c>
    </row>
    <row x14ac:dyDescent="0.25" r="12" customHeight="1" ht="18.75">
      <c r="A12" s="30" t="s">
        <v>124</v>
      </c>
      <c r="B12" s="33" t="s">
        <v>52</v>
      </c>
      <c r="C12" s="33" t="s">
        <v>52</v>
      </c>
      <c r="D12" s="33" t="s">
        <v>52</v>
      </c>
      <c r="E12" s="31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3" t="s">
        <v>52</v>
      </c>
      <c r="O12" s="33" t="s">
        <v>52</v>
      </c>
      <c r="P12" s="33" t="s">
        <v>52</v>
      </c>
      <c r="Q12" s="33" t="s">
        <v>52</v>
      </c>
      <c r="R12" s="33" t="s">
        <v>52</v>
      </c>
      <c r="S12" s="33" t="s">
        <v>52</v>
      </c>
      <c r="T12" s="33" t="s">
        <v>52</v>
      </c>
      <c r="U12" s="33" t="s">
        <v>52</v>
      </c>
      <c r="V12" s="33" t="s">
        <v>52</v>
      </c>
      <c r="W12" s="33" t="s">
        <v>52</v>
      </c>
      <c r="X12" s="33" t="s">
        <v>52</v>
      </c>
      <c r="Y12" s="33" t="s">
        <v>52</v>
      </c>
      <c r="Z12" s="33" t="s">
        <v>52</v>
      </c>
      <c r="AA12" s="33" t="s">
        <v>52</v>
      </c>
      <c r="AB12" s="33" t="s">
        <v>52</v>
      </c>
      <c r="AC12" s="33" t="s">
        <v>52</v>
      </c>
      <c r="AD12" s="33" t="s">
        <v>52</v>
      </c>
      <c r="AE12" s="33" t="s">
        <v>52</v>
      </c>
      <c r="AF12" s="33" t="s">
        <v>52</v>
      </c>
      <c r="AG12" s="33" t="s">
        <v>52</v>
      </c>
      <c r="AH12" s="33" t="s">
        <v>52</v>
      </c>
      <c r="AI12" s="3"/>
      <c r="AJ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1" t="s">
        <v>49</v>
      </c>
      <c r="V14" s="31" t="s">
        <v>49</v>
      </c>
      <c r="W14" s="31" t="s">
        <v>49</v>
      </c>
      <c r="X14" s="31" t="s">
        <v>49</v>
      </c>
      <c r="Y14" s="31" t="s">
        <v>49</v>
      </c>
      <c r="Z14" s="31" t="s">
        <v>49</v>
      </c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1" t="s">
        <v>143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143</v>
      </c>
    </row>
    <row x14ac:dyDescent="0.25" r="16" customHeight="1" ht="18.75">
      <c r="A16" s="30" t="s">
        <v>128</v>
      </c>
      <c r="B16" s="31">
        <v>0.75</v>
      </c>
      <c r="C16" s="31">
        <v>0.75</v>
      </c>
      <c r="D16" s="31">
        <v>0.75</v>
      </c>
      <c r="E16" s="31">
        <v>0.75</v>
      </c>
      <c r="F16" s="31">
        <v>0.75</v>
      </c>
      <c r="G16" s="31">
        <v>0.75</v>
      </c>
      <c r="H16" s="31">
        <v>0.75</v>
      </c>
      <c r="I16" s="31">
        <v>0.75</v>
      </c>
      <c r="J16" s="31">
        <v>0.75</v>
      </c>
      <c r="K16" s="31">
        <v>0.75</v>
      </c>
      <c r="L16" s="31">
        <v>0.75</v>
      </c>
      <c r="M16" s="31">
        <v>0.75</v>
      </c>
      <c r="N16" s="31">
        <v>0.75</v>
      </c>
      <c r="O16" s="31">
        <v>0.75</v>
      </c>
      <c r="P16" s="31">
        <v>1.67</v>
      </c>
      <c r="Q16" s="31">
        <v>1.67</v>
      </c>
      <c r="R16" s="31">
        <v>1.67</v>
      </c>
      <c r="S16" s="31">
        <v>0.75</v>
      </c>
      <c r="T16" s="31">
        <v>0.75</v>
      </c>
      <c r="U16" s="31">
        <v>0.75</v>
      </c>
      <c r="V16" s="31">
        <v>0.75</v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v>0.75</v>
      </c>
      <c r="AG16" s="31">
        <v>1.67</v>
      </c>
      <c r="AH16" s="31">
        <v>1.67</v>
      </c>
      <c r="AI16" s="3"/>
      <c r="AJ16" s="31">
        <f>5/3</f>
      </c>
    </row>
    <row x14ac:dyDescent="0.25" r="17" customHeight="1" ht="18.75">
      <c r="A17" s="30" t="s">
        <v>129</v>
      </c>
      <c r="B17" s="31" t="s">
        <v>257</v>
      </c>
      <c r="C17" s="31" t="s">
        <v>386</v>
      </c>
      <c r="D17" s="31" t="s">
        <v>386</v>
      </c>
      <c r="E17" s="33" t="s">
        <v>358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1" t="s">
        <v>257</v>
      </c>
      <c r="S17" s="31" t="s">
        <v>257</v>
      </c>
      <c r="T17" s="31" t="s">
        <v>257</v>
      </c>
      <c r="U17" s="31" t="s">
        <v>257</v>
      </c>
      <c r="V17" s="31" t="s">
        <v>257</v>
      </c>
      <c r="W17" s="31" t="s">
        <v>257</v>
      </c>
      <c r="X17" s="31" t="s">
        <v>257</v>
      </c>
      <c r="Y17" s="31" t="s">
        <v>257</v>
      </c>
      <c r="Z17" s="31" t="s">
        <v>257</v>
      </c>
      <c r="AA17" s="31" t="s">
        <v>257</v>
      </c>
      <c r="AB17" s="31" t="s">
        <v>257</v>
      </c>
      <c r="AC17" s="31" t="s">
        <v>257</v>
      </c>
      <c r="AD17" s="31" t="s">
        <v>257</v>
      </c>
      <c r="AE17" s="31" t="s">
        <v>257</v>
      </c>
      <c r="AF17" s="31" t="s">
        <v>257</v>
      </c>
      <c r="AG17" s="31" t="s">
        <v>257</v>
      </c>
      <c r="AH17" s="31" t="s">
        <v>257</v>
      </c>
      <c r="AI17" s="3"/>
      <c r="AJ17" s="31" t="s">
        <v>198</v>
      </c>
    </row>
    <row x14ac:dyDescent="0.25" r="18" customHeight="1" ht="18.75">
      <c r="A18" s="30" t="s">
        <v>130</v>
      </c>
      <c r="B18" s="31">
        <v>1.5</v>
      </c>
      <c r="C18" s="31">
        <f>AVERAGE(1.5,0)</f>
      </c>
      <c r="D18" s="31">
        <f>AVERAGE(1.5,0)</f>
      </c>
      <c r="E18" s="31">
        <v>0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>
        <v>1.5</v>
      </c>
      <c r="S18" s="31">
        <v>1.5</v>
      </c>
      <c r="T18" s="31">
        <v>1.5</v>
      </c>
      <c r="U18" s="31">
        <v>1.5</v>
      </c>
      <c r="V18" s="31">
        <v>1.5</v>
      </c>
      <c r="W18" s="31">
        <v>1.5</v>
      </c>
      <c r="X18" s="31">
        <v>1.5</v>
      </c>
      <c r="Y18" s="31">
        <v>1.5</v>
      </c>
      <c r="Z18" s="31">
        <v>1.5</v>
      </c>
      <c r="AA18" s="31">
        <v>1.5</v>
      </c>
      <c r="AB18" s="31">
        <v>1.5</v>
      </c>
      <c r="AC18" s="31">
        <v>1.5</v>
      </c>
      <c r="AD18" s="31">
        <v>1.5</v>
      </c>
      <c r="AE18" s="31">
        <v>1.5</v>
      </c>
      <c r="AF18" s="31">
        <v>1.5</v>
      </c>
      <c r="AG18" s="31">
        <v>1.5</v>
      </c>
      <c r="AH18" s="31">
        <v>1.5</v>
      </c>
      <c r="AI18" s="3"/>
      <c r="AJ18" s="31">
        <v>1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150" t="s">
        <v>790</v>
      </c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30" t="s">
        <v>791</v>
      </c>
      <c r="B21" s="40" t="s">
        <v>792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4" width="13.576428571428572" customWidth="1" bestFit="1"/>
    <col min="17" max="17" style="44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67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779</v>
      </c>
      <c r="C4" s="7"/>
      <c r="D4" s="7"/>
      <c r="E4" s="2"/>
      <c r="F4" s="124" t="s">
        <v>780</v>
      </c>
      <c r="G4" s="92"/>
      <c r="H4" s="92"/>
      <c r="I4" s="92"/>
      <c r="J4" s="92"/>
      <c r="K4" s="92"/>
      <c r="L4" s="92"/>
      <c r="M4" s="92"/>
      <c r="N4" s="93"/>
      <c r="O4" s="9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74" t="s">
        <v>24</v>
      </c>
      <c r="Q7" s="74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169</v>
      </c>
      <c r="C8" s="33" t="s">
        <v>482</v>
      </c>
      <c r="D8" s="33" t="s">
        <v>482</v>
      </c>
      <c r="E8" s="33" t="s">
        <v>482</v>
      </c>
      <c r="F8" s="33" t="s">
        <v>482</v>
      </c>
      <c r="G8" s="33" t="s">
        <v>781</v>
      </c>
      <c r="H8" s="33" t="s">
        <v>781</v>
      </c>
      <c r="I8" s="33" t="s">
        <v>781</v>
      </c>
      <c r="J8" s="31" t="s">
        <v>482</v>
      </c>
      <c r="K8" s="33" t="s">
        <v>482</v>
      </c>
      <c r="L8" s="33" t="s">
        <v>482</v>
      </c>
      <c r="M8" s="33" t="s">
        <v>482</v>
      </c>
      <c r="N8" s="32"/>
      <c r="O8" s="32"/>
      <c r="P8" s="34" t="s">
        <v>782</v>
      </c>
      <c r="Q8" s="32"/>
      <c r="R8" s="32"/>
      <c r="S8" s="32"/>
      <c r="T8" s="32"/>
      <c r="U8" s="32"/>
      <c r="V8" s="32"/>
      <c r="W8" s="32" t="s">
        <v>482</v>
      </c>
      <c r="X8" s="32"/>
      <c r="Y8" s="32"/>
      <c r="Z8" s="32"/>
      <c r="AA8" s="33" t="s">
        <v>243</v>
      </c>
      <c r="AB8" s="32"/>
      <c r="AC8" s="32"/>
      <c r="AD8" s="32"/>
      <c r="AE8" s="32"/>
      <c r="AF8" s="32"/>
      <c r="AG8" s="32"/>
      <c r="AH8" s="33" t="s">
        <v>243</v>
      </c>
    </row>
    <row x14ac:dyDescent="0.25" r="9" customHeight="1" ht="18.75">
      <c r="A9" s="30" t="s">
        <v>45</v>
      </c>
      <c r="B9" s="33" t="s">
        <v>468</v>
      </c>
      <c r="C9" s="31" t="s">
        <v>482</v>
      </c>
      <c r="D9" s="31" t="s">
        <v>482</v>
      </c>
      <c r="E9" s="31" t="s">
        <v>343</v>
      </c>
      <c r="F9" s="31" t="s">
        <v>343</v>
      </c>
      <c r="G9" s="33" t="s">
        <v>783</v>
      </c>
      <c r="H9" s="33" t="s">
        <v>783</v>
      </c>
      <c r="I9" s="33" t="s">
        <v>783</v>
      </c>
      <c r="J9" s="31" t="s">
        <v>343</v>
      </c>
      <c r="K9" s="31" t="s">
        <v>344</v>
      </c>
      <c r="L9" s="31" t="s">
        <v>485</v>
      </c>
      <c r="M9" s="31" t="s">
        <v>482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1" t="s">
        <v>243</v>
      </c>
      <c r="AB9" s="34"/>
      <c r="AC9" s="34"/>
      <c r="AD9" s="34"/>
      <c r="AE9" s="34"/>
      <c r="AF9" s="34"/>
      <c r="AG9" s="34"/>
      <c r="AH9" s="31" t="s">
        <v>243</v>
      </c>
    </row>
    <row x14ac:dyDescent="0.25" r="10" customHeight="1" ht="18.75">
      <c r="A10" s="35" t="s">
        <v>47</v>
      </c>
      <c r="B10" s="117">
        <v>114</v>
      </c>
      <c r="C10" s="117">
        <v>43</v>
      </c>
      <c r="D10" s="117">
        <v>43</v>
      </c>
      <c r="E10" s="117">
        <v>91</v>
      </c>
      <c r="F10" s="117">
        <v>91</v>
      </c>
      <c r="G10" s="117">
        <v>192</v>
      </c>
      <c r="H10" s="117">
        <v>192</v>
      </c>
      <c r="I10" s="117">
        <v>192</v>
      </c>
      <c r="J10" s="117">
        <v>91</v>
      </c>
      <c r="K10" s="117">
        <v>166</v>
      </c>
      <c r="L10" s="117">
        <v>167</v>
      </c>
      <c r="M10" s="117">
        <v>43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117">
        <v>42</v>
      </c>
      <c r="AB10" s="37"/>
      <c r="AC10" s="37"/>
      <c r="AD10" s="37"/>
      <c r="AE10" s="37"/>
      <c r="AF10" s="37"/>
      <c r="AG10" s="37"/>
      <c r="AH10" s="117">
        <v>42</v>
      </c>
    </row>
    <row x14ac:dyDescent="0.25" r="11" customHeight="1" ht="18.75">
      <c r="A11" s="30" t="s">
        <v>123</v>
      </c>
      <c r="B11" s="31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1" t="s">
        <v>162</v>
      </c>
      <c r="H11" s="31" t="s">
        <v>162</v>
      </c>
      <c r="I11" s="31" t="s">
        <v>162</v>
      </c>
      <c r="J11" s="33" t="s">
        <v>52</v>
      </c>
      <c r="K11" s="33" t="s">
        <v>52</v>
      </c>
      <c r="L11" s="33" t="s">
        <v>52</v>
      </c>
      <c r="M11" s="33" t="s">
        <v>52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3" t="s">
        <v>52</v>
      </c>
      <c r="F12" s="33" t="s">
        <v>52</v>
      </c>
      <c r="G12" s="31" t="s">
        <v>52</v>
      </c>
      <c r="H12" s="31" t="s">
        <v>52</v>
      </c>
      <c r="I12" s="31" t="s">
        <v>52</v>
      </c>
      <c r="J12" s="33" t="s">
        <v>52</v>
      </c>
      <c r="K12" s="33" t="s">
        <v>52</v>
      </c>
      <c r="L12" s="31" t="s">
        <v>52</v>
      </c>
      <c r="M12" s="31" t="s">
        <v>52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140</v>
      </c>
    </row>
    <row x14ac:dyDescent="0.25" r="16" customHeight="1" ht="18.75">
      <c r="A16" s="30" t="s">
        <v>128</v>
      </c>
      <c r="B16" s="31">
        <v>2.75</v>
      </c>
      <c r="C16" s="31">
        <v>2.5</v>
      </c>
      <c r="D16" s="31">
        <v>2.5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f>AVERAGE(2.5,3)</f>
      </c>
      <c r="M16" s="31">
        <v>2.5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>
        <v>2.5</v>
      </c>
      <c r="AB16" s="31"/>
      <c r="AC16" s="31"/>
      <c r="AD16" s="31"/>
      <c r="AE16" s="31"/>
      <c r="AF16" s="31"/>
      <c r="AG16" s="31"/>
      <c r="AH16" s="31">
        <v>2.5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134</v>
      </c>
      <c r="F17" s="31" t="s">
        <v>134</v>
      </c>
      <c r="G17" s="119" t="s">
        <v>369</v>
      </c>
      <c r="H17" s="119" t="s">
        <v>369</v>
      </c>
      <c r="I17" s="119" t="s">
        <v>369</v>
      </c>
      <c r="J17" s="31" t="s">
        <v>134</v>
      </c>
      <c r="K17" s="31" t="s">
        <v>320</v>
      </c>
      <c r="L17" s="31" t="s">
        <v>320</v>
      </c>
      <c r="M17" s="31" t="s">
        <v>169</v>
      </c>
      <c r="N17" s="32"/>
      <c r="O17" s="32"/>
      <c r="P17" s="204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169</v>
      </c>
      <c r="AB17" s="32"/>
      <c r="AC17" s="32"/>
      <c r="AD17" s="32"/>
      <c r="AE17" s="32"/>
      <c r="AF17" s="32"/>
      <c r="AG17" s="32"/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0.5</v>
      </c>
      <c r="F18" s="31">
        <v>0.5</v>
      </c>
      <c r="G18" s="31">
        <f>AVERAGE(0.5,0)</f>
      </c>
      <c r="H18" s="31">
        <f>AVERAGE(0.5,0)</f>
      </c>
      <c r="I18" s="31">
        <f>AVERAGE(0.5,0)</f>
      </c>
      <c r="J18" s="31">
        <v>0.5</v>
      </c>
      <c r="K18" s="31">
        <f>AVERAGE(2,0.5)</f>
      </c>
      <c r="L18" s="31">
        <f>AVERAGE(2,0.5)</f>
      </c>
      <c r="M18" s="31">
        <v>2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>
        <v>2</v>
      </c>
      <c r="AB18" s="31"/>
      <c r="AC18" s="31"/>
      <c r="AD18" s="31"/>
      <c r="AE18" s="31"/>
      <c r="AF18" s="31"/>
      <c r="AG18" s="31"/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784</v>
      </c>
      <c r="B21" s="40" t="s">
        <v>785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68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773</v>
      </c>
      <c r="C4" s="7"/>
      <c r="D4" s="7"/>
      <c r="E4" s="2"/>
      <c r="F4" s="124" t="s">
        <v>774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480</v>
      </c>
      <c r="C8" s="31" t="s">
        <v>482</v>
      </c>
      <c r="D8" s="31" t="s">
        <v>482</v>
      </c>
      <c r="E8" s="33" t="s">
        <v>482</v>
      </c>
      <c r="F8" s="33" t="s">
        <v>482</v>
      </c>
      <c r="G8" s="31" t="s">
        <v>482</v>
      </c>
      <c r="H8" s="31" t="s">
        <v>482</v>
      </c>
      <c r="I8" s="31" t="s">
        <v>482</v>
      </c>
      <c r="J8" s="31" t="s">
        <v>482</v>
      </c>
      <c r="K8" s="31" t="s">
        <v>482</v>
      </c>
      <c r="L8" s="31" t="s">
        <v>482</v>
      </c>
      <c r="M8" s="31" t="s">
        <v>482</v>
      </c>
      <c r="N8" s="32"/>
      <c r="O8" s="32"/>
      <c r="P8" s="33" t="s">
        <v>482</v>
      </c>
      <c r="Q8" s="33" t="s">
        <v>482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482</v>
      </c>
      <c r="AB8" s="32"/>
      <c r="AC8" s="32"/>
      <c r="AD8" s="32"/>
      <c r="AE8" s="32"/>
      <c r="AF8" s="32"/>
      <c r="AG8" s="32"/>
      <c r="AH8" s="31" t="s">
        <v>775</v>
      </c>
    </row>
    <row x14ac:dyDescent="0.25" r="9" customHeight="1" ht="18.75">
      <c r="A9" s="30" t="s">
        <v>45</v>
      </c>
      <c r="B9" s="31" t="s">
        <v>486</v>
      </c>
      <c r="C9" s="31" t="s">
        <v>490</v>
      </c>
      <c r="D9" s="31" t="s">
        <v>482</v>
      </c>
      <c r="E9" s="31" t="s">
        <v>343</v>
      </c>
      <c r="F9" s="31" t="s">
        <v>343</v>
      </c>
      <c r="G9" s="31" t="s">
        <v>343</v>
      </c>
      <c r="H9" s="31" t="s">
        <v>343</v>
      </c>
      <c r="I9" s="31" t="s">
        <v>343</v>
      </c>
      <c r="J9" s="31" t="s">
        <v>343</v>
      </c>
      <c r="K9" s="31" t="s">
        <v>344</v>
      </c>
      <c r="L9" s="31" t="s">
        <v>485</v>
      </c>
      <c r="M9" s="31" t="s">
        <v>482</v>
      </c>
      <c r="N9" s="34"/>
      <c r="O9" s="34"/>
      <c r="P9" s="31" t="s">
        <v>482</v>
      </c>
      <c r="Q9" s="31" t="s">
        <v>482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482</v>
      </c>
      <c r="AB9" s="34"/>
      <c r="AC9" s="34"/>
      <c r="AD9" s="34"/>
      <c r="AE9" s="34"/>
      <c r="AF9" s="34"/>
      <c r="AG9" s="34"/>
      <c r="AH9" s="119" t="s">
        <v>776</v>
      </c>
    </row>
    <row x14ac:dyDescent="0.25" r="10" customHeight="1" ht="18.75">
      <c r="A10" s="35" t="s">
        <v>47</v>
      </c>
      <c r="B10" s="117">
        <v>97</v>
      </c>
      <c r="C10" s="117">
        <v>262</v>
      </c>
      <c r="D10" s="117">
        <v>43</v>
      </c>
      <c r="E10" s="117">
        <v>91</v>
      </c>
      <c r="F10" s="117">
        <v>91</v>
      </c>
      <c r="G10" s="117">
        <v>91</v>
      </c>
      <c r="H10" s="117">
        <v>91</v>
      </c>
      <c r="I10" s="117">
        <v>91</v>
      </c>
      <c r="J10" s="117">
        <v>91</v>
      </c>
      <c r="K10" s="117">
        <v>166</v>
      </c>
      <c r="L10" s="117">
        <v>167</v>
      </c>
      <c r="M10" s="117">
        <v>43</v>
      </c>
      <c r="N10" s="37"/>
      <c r="O10" s="37"/>
      <c r="P10" s="117">
        <v>43</v>
      </c>
      <c r="Q10" s="117">
        <v>43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43</v>
      </c>
      <c r="AB10" s="37"/>
      <c r="AC10" s="37"/>
      <c r="AD10" s="37"/>
      <c r="AE10" s="37"/>
      <c r="AF10" s="37"/>
      <c r="AG10" s="37"/>
      <c r="AH10" s="117">
        <v>134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3" t="s">
        <v>52</v>
      </c>
      <c r="F11" s="33" t="s">
        <v>52</v>
      </c>
      <c r="G11" s="31" t="s">
        <v>52</v>
      </c>
      <c r="H11" s="31" t="s">
        <v>52</v>
      </c>
      <c r="I11" s="31" t="s">
        <v>52</v>
      </c>
      <c r="J11" s="33" t="s">
        <v>52</v>
      </c>
      <c r="K11" s="31" t="s">
        <v>52</v>
      </c>
      <c r="L11" s="31" t="s">
        <v>52</v>
      </c>
      <c r="M11" s="31" t="s">
        <v>52</v>
      </c>
      <c r="N11" s="32"/>
      <c r="O11" s="32"/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1" t="s">
        <v>162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3" t="s">
        <v>52</v>
      </c>
      <c r="F12" s="33" t="s">
        <v>52</v>
      </c>
      <c r="G12" s="31" t="s">
        <v>52</v>
      </c>
      <c r="H12" s="31" t="s">
        <v>52</v>
      </c>
      <c r="I12" s="31" t="s">
        <v>52</v>
      </c>
      <c r="J12" s="33" t="s">
        <v>52</v>
      </c>
      <c r="K12" s="31" t="s">
        <v>52</v>
      </c>
      <c r="L12" s="31" t="s">
        <v>52</v>
      </c>
      <c r="M12" s="31" t="s">
        <v>52</v>
      </c>
      <c r="N12" s="32"/>
      <c r="O12" s="32"/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488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2"/>
      <c r="O15" s="32"/>
      <c r="P15" s="31" t="s">
        <v>140</v>
      </c>
      <c r="Q15" s="31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488</v>
      </c>
    </row>
    <row x14ac:dyDescent="0.25" r="16" customHeight="1" ht="18.75">
      <c r="A16" s="30" t="s">
        <v>128</v>
      </c>
      <c r="B16" s="31">
        <v>0</v>
      </c>
      <c r="C16" s="31">
        <f>AVERAGE(2.5,2.5,2.5,3)</f>
      </c>
      <c r="D16" s="31">
        <v>2.5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f>AVERAGE(2.5,3)</f>
      </c>
      <c r="M16" s="31">
        <v>2.5</v>
      </c>
      <c r="N16" s="31"/>
      <c r="O16" s="31"/>
      <c r="P16" s="31">
        <v>2.5</v>
      </c>
      <c r="Q16" s="31">
        <v>2.5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2.5</v>
      </c>
      <c r="AB16" s="31"/>
      <c r="AC16" s="31"/>
      <c r="AD16" s="31"/>
      <c r="AE16" s="31"/>
      <c r="AF16" s="31"/>
      <c r="AG16" s="31"/>
      <c r="AH16" s="31">
        <v>0</v>
      </c>
    </row>
    <row x14ac:dyDescent="0.25" r="17" customHeight="1" ht="18.75">
      <c r="A17" s="30" t="s">
        <v>129</v>
      </c>
      <c r="B17" s="31" t="s">
        <v>134</v>
      </c>
      <c r="C17" s="31" t="s">
        <v>169</v>
      </c>
      <c r="D17" s="31" t="s">
        <v>169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134</v>
      </c>
      <c r="K17" s="31" t="s">
        <v>320</v>
      </c>
      <c r="L17" s="31" t="s">
        <v>320</v>
      </c>
      <c r="M17" s="31" t="s">
        <v>169</v>
      </c>
      <c r="N17" s="32"/>
      <c r="O17" s="32"/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169</v>
      </c>
      <c r="AB17" s="32"/>
      <c r="AC17" s="32"/>
      <c r="AD17" s="32"/>
      <c r="AE17" s="32"/>
      <c r="AF17" s="32"/>
      <c r="AG17" s="32"/>
      <c r="AH17" s="119" t="s">
        <v>369</v>
      </c>
    </row>
    <row x14ac:dyDescent="0.25" r="18" customHeight="1" ht="18.75">
      <c r="A18" s="30" t="s">
        <v>130</v>
      </c>
      <c r="B18" s="31">
        <f>1/3</f>
      </c>
      <c r="C18" s="31">
        <v>2</v>
      </c>
      <c r="D18" s="31">
        <v>2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>
        <f>AVERAGE(2,0.5)</f>
      </c>
      <c r="L18" s="31">
        <f>AVERAGE(2,0.5)</f>
      </c>
      <c r="M18" s="31">
        <v>2</v>
      </c>
      <c r="N18" s="31"/>
      <c r="O18" s="31"/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2</v>
      </c>
      <c r="AB18" s="31"/>
      <c r="AC18" s="31"/>
      <c r="AD18" s="31"/>
      <c r="AE18" s="31"/>
      <c r="AF18" s="31"/>
      <c r="AG18" s="31"/>
      <c r="AH18" s="31">
        <f>AVERAGE(1/3,0)</f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777</v>
      </c>
      <c r="B21" s="40" t="s">
        <v>778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69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765</v>
      </c>
      <c r="C4" s="7"/>
      <c r="D4" s="7"/>
      <c r="E4" s="2"/>
      <c r="F4" s="124" t="s">
        <v>771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219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401</v>
      </c>
      <c r="C8" s="33" t="s">
        <v>207</v>
      </c>
      <c r="D8" s="33" t="s">
        <v>207</v>
      </c>
      <c r="E8" s="31" t="s">
        <v>207</v>
      </c>
      <c r="F8" s="31" t="s">
        <v>207</v>
      </c>
      <c r="G8" s="31" t="s">
        <v>207</v>
      </c>
      <c r="H8" s="31" t="s">
        <v>207</v>
      </c>
      <c r="I8" s="31" t="s">
        <v>207</v>
      </c>
      <c r="J8" s="31" t="s">
        <v>207</v>
      </c>
      <c r="K8" s="33" t="s">
        <v>207</v>
      </c>
      <c r="L8" s="33" t="s">
        <v>207</v>
      </c>
      <c r="M8" s="33" t="s">
        <v>207</v>
      </c>
      <c r="N8" s="31" t="s">
        <v>207</v>
      </c>
      <c r="O8" s="31" t="s">
        <v>207</v>
      </c>
      <c r="P8" s="33" t="s">
        <v>207</v>
      </c>
      <c r="Q8" s="33" t="s">
        <v>207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207</v>
      </c>
      <c r="AB8" s="32"/>
      <c r="AC8" s="32"/>
      <c r="AD8" s="32"/>
      <c r="AE8" s="32"/>
      <c r="AF8" s="32"/>
      <c r="AG8" s="32"/>
      <c r="AH8" s="33" t="s">
        <v>224</v>
      </c>
    </row>
    <row x14ac:dyDescent="0.25" r="9" customHeight="1" ht="15.75">
      <c r="A9" s="30" t="s">
        <v>45</v>
      </c>
      <c r="B9" s="33" t="s">
        <v>210</v>
      </c>
      <c r="C9" s="33" t="s">
        <v>767</v>
      </c>
      <c r="D9" s="33" t="s">
        <v>411</v>
      </c>
      <c r="E9" s="31" t="s">
        <v>210</v>
      </c>
      <c r="F9" s="31" t="s">
        <v>210</v>
      </c>
      <c r="G9" s="31" t="s">
        <v>210</v>
      </c>
      <c r="H9" s="31" t="s">
        <v>211</v>
      </c>
      <c r="I9" s="31" t="s">
        <v>207</v>
      </c>
      <c r="J9" s="31" t="s">
        <v>210</v>
      </c>
      <c r="K9" s="31" t="s">
        <v>408</v>
      </c>
      <c r="L9" s="31" t="s">
        <v>408</v>
      </c>
      <c r="M9" s="31" t="s">
        <v>408</v>
      </c>
      <c r="N9" s="31" t="s">
        <v>408</v>
      </c>
      <c r="O9" s="31" t="s">
        <v>408</v>
      </c>
      <c r="P9" s="33" t="s">
        <v>409</v>
      </c>
      <c r="Q9" s="33" t="s">
        <v>409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768</v>
      </c>
      <c r="AB9" s="34"/>
      <c r="AC9" s="34"/>
      <c r="AD9" s="34"/>
      <c r="AE9" s="34"/>
      <c r="AF9" s="34"/>
      <c r="AG9" s="34"/>
      <c r="AH9" s="31" t="s">
        <v>227</v>
      </c>
    </row>
    <row x14ac:dyDescent="0.25" r="10" customHeight="1" ht="18.75">
      <c r="A10" s="35" t="s">
        <v>47</v>
      </c>
      <c r="B10" s="117">
        <v>52</v>
      </c>
      <c r="C10" s="117">
        <v>119</v>
      </c>
      <c r="D10" s="117">
        <v>51</v>
      </c>
      <c r="E10" s="117">
        <v>122</v>
      </c>
      <c r="F10" s="117">
        <v>52</v>
      </c>
      <c r="G10" s="117">
        <v>52</v>
      </c>
      <c r="H10" s="117">
        <v>46</v>
      </c>
      <c r="I10" s="117">
        <v>50</v>
      </c>
      <c r="J10" s="117">
        <v>52</v>
      </c>
      <c r="K10" s="117">
        <v>53</v>
      </c>
      <c r="L10" s="117">
        <v>53</v>
      </c>
      <c r="M10" s="117">
        <v>53</v>
      </c>
      <c r="N10" s="117">
        <v>53</v>
      </c>
      <c r="O10" s="117">
        <v>53</v>
      </c>
      <c r="P10" s="117">
        <v>49</v>
      </c>
      <c r="Q10" s="117">
        <v>49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253</v>
      </c>
      <c r="AB10" s="37"/>
      <c r="AC10" s="37"/>
      <c r="AD10" s="37"/>
      <c r="AE10" s="37"/>
      <c r="AF10" s="37"/>
      <c r="AG10" s="37"/>
      <c r="AH10" s="117">
        <v>56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3" t="s">
        <v>52</v>
      </c>
      <c r="D12" s="33" t="s">
        <v>52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162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0.5</v>
      </c>
      <c r="C16" s="31">
        <v>0.875</v>
      </c>
      <c r="D16" s="31">
        <v>1</v>
      </c>
      <c r="E16" s="31">
        <f>AVERAGE(0.5,0.5,0.5,1)</f>
      </c>
      <c r="F16" s="31">
        <v>0.5</v>
      </c>
      <c r="G16" s="31">
        <v>0.5</v>
      </c>
      <c r="H16" s="31">
        <f>5/3</f>
      </c>
      <c r="I16" s="31">
        <v>1</v>
      </c>
      <c r="J16" s="31">
        <v>0.5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1</v>
      </c>
      <c r="AB16" s="31"/>
      <c r="AC16" s="31"/>
      <c r="AD16" s="31"/>
      <c r="AE16" s="31"/>
      <c r="AF16" s="31"/>
      <c r="AG16" s="31"/>
      <c r="AH16" s="31">
        <v>-0.5</v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169</v>
      </c>
      <c r="AB17" s="32"/>
      <c r="AC17" s="32"/>
      <c r="AD17" s="32"/>
      <c r="AE17" s="32"/>
      <c r="AF17" s="32"/>
      <c r="AG17" s="32"/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2</v>
      </c>
      <c r="AB18" s="31"/>
      <c r="AC18" s="31"/>
      <c r="AD18" s="31"/>
      <c r="AE18" s="31"/>
      <c r="AF18" s="31"/>
      <c r="AG18" s="31"/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772</v>
      </c>
      <c r="B21" s="40" t="s">
        <v>770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70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765</v>
      </c>
      <c r="C4" s="7"/>
      <c r="D4" s="7"/>
      <c r="E4" s="2"/>
      <c r="F4" s="124" t="s">
        <v>766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204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401</v>
      </c>
      <c r="C8" s="33" t="s">
        <v>207</v>
      </c>
      <c r="D8" s="33" t="s">
        <v>207</v>
      </c>
      <c r="E8" s="31" t="s">
        <v>207</v>
      </c>
      <c r="F8" s="31" t="s">
        <v>207</v>
      </c>
      <c r="G8" s="31" t="s">
        <v>207</v>
      </c>
      <c r="H8" s="31" t="s">
        <v>207</v>
      </c>
      <c r="I8" s="31" t="s">
        <v>207</v>
      </c>
      <c r="J8" s="31" t="s">
        <v>207</v>
      </c>
      <c r="K8" s="33" t="s">
        <v>207</v>
      </c>
      <c r="L8" s="33" t="s">
        <v>207</v>
      </c>
      <c r="M8" s="33" t="s">
        <v>207</v>
      </c>
      <c r="N8" s="31" t="s">
        <v>207</v>
      </c>
      <c r="O8" s="31" t="s">
        <v>207</v>
      </c>
      <c r="P8" s="33" t="s">
        <v>207</v>
      </c>
      <c r="Q8" s="33" t="s">
        <v>207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207</v>
      </c>
      <c r="AB8" s="32"/>
      <c r="AC8" s="32"/>
      <c r="AD8" s="32"/>
      <c r="AE8" s="32"/>
      <c r="AF8" s="32"/>
      <c r="AG8" s="32"/>
      <c r="AH8" s="33" t="s">
        <v>207</v>
      </c>
    </row>
    <row x14ac:dyDescent="0.25" r="9" customHeight="1" ht="15.75">
      <c r="A9" s="30" t="s">
        <v>45</v>
      </c>
      <c r="B9" s="33" t="s">
        <v>210</v>
      </c>
      <c r="C9" s="33" t="s">
        <v>767</v>
      </c>
      <c r="D9" s="33" t="s">
        <v>411</v>
      </c>
      <c r="E9" s="31" t="s">
        <v>210</v>
      </c>
      <c r="F9" s="31" t="s">
        <v>210</v>
      </c>
      <c r="G9" s="31" t="s">
        <v>210</v>
      </c>
      <c r="H9" s="31" t="s">
        <v>211</v>
      </c>
      <c r="I9" s="31" t="s">
        <v>207</v>
      </c>
      <c r="J9" s="31" t="s">
        <v>210</v>
      </c>
      <c r="K9" s="31" t="s">
        <v>408</v>
      </c>
      <c r="L9" s="31" t="s">
        <v>408</v>
      </c>
      <c r="M9" s="31" t="s">
        <v>408</v>
      </c>
      <c r="N9" s="31" t="s">
        <v>408</v>
      </c>
      <c r="O9" s="31" t="s">
        <v>408</v>
      </c>
      <c r="P9" s="33" t="s">
        <v>409</v>
      </c>
      <c r="Q9" s="33" t="s">
        <v>409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768</v>
      </c>
      <c r="AB9" s="34"/>
      <c r="AC9" s="34"/>
      <c r="AD9" s="34"/>
      <c r="AE9" s="34"/>
      <c r="AF9" s="34"/>
      <c r="AG9" s="34"/>
      <c r="AH9" s="33" t="s">
        <v>212</v>
      </c>
    </row>
    <row x14ac:dyDescent="0.25" r="10" customHeight="1" ht="18.75">
      <c r="A10" s="35" t="s">
        <v>47</v>
      </c>
      <c r="B10" s="117">
        <v>52</v>
      </c>
      <c r="C10" s="117">
        <v>119</v>
      </c>
      <c r="D10" s="117">
        <v>51</v>
      </c>
      <c r="E10" s="117">
        <v>122</v>
      </c>
      <c r="F10" s="117">
        <v>52</v>
      </c>
      <c r="G10" s="117">
        <v>52</v>
      </c>
      <c r="H10" s="117">
        <v>46</v>
      </c>
      <c r="I10" s="117">
        <v>50</v>
      </c>
      <c r="J10" s="117">
        <v>52</v>
      </c>
      <c r="K10" s="117">
        <v>53</v>
      </c>
      <c r="L10" s="117">
        <v>53</v>
      </c>
      <c r="M10" s="117">
        <v>53</v>
      </c>
      <c r="N10" s="117">
        <v>53</v>
      </c>
      <c r="O10" s="117">
        <v>53</v>
      </c>
      <c r="P10" s="117">
        <v>49</v>
      </c>
      <c r="Q10" s="117">
        <v>49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253</v>
      </c>
      <c r="AB10" s="37"/>
      <c r="AC10" s="37"/>
      <c r="AD10" s="37"/>
      <c r="AE10" s="37"/>
      <c r="AF10" s="37"/>
      <c r="AG10" s="37"/>
      <c r="AH10" s="117">
        <v>48</v>
      </c>
    </row>
    <row x14ac:dyDescent="0.25" r="11" customHeight="1" ht="18.75">
      <c r="A11" s="30" t="s">
        <v>123</v>
      </c>
      <c r="B11" s="33" t="s">
        <v>52</v>
      </c>
      <c r="C11" s="33" t="s">
        <v>52</v>
      </c>
      <c r="D11" s="33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3" t="s">
        <v>52</v>
      </c>
      <c r="D12" s="33" t="s">
        <v>52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162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</row>
    <row x14ac:dyDescent="0.25" r="16" customHeight="1" ht="18.75">
      <c r="A16" s="30" t="s">
        <v>128</v>
      </c>
      <c r="B16" s="31">
        <v>0.5</v>
      </c>
      <c r="C16" s="31">
        <f>AVERAGE(1,1,1,0.5)</f>
      </c>
      <c r="D16" s="31">
        <v>1</v>
      </c>
      <c r="E16" s="31">
        <f>AVERAGE(0.5,0.5,0.5,1)</f>
      </c>
      <c r="F16" s="31">
        <v>0.5</v>
      </c>
      <c r="G16" s="31">
        <v>0.5</v>
      </c>
      <c r="H16" s="31">
        <f>5/3</f>
      </c>
      <c r="I16" s="31">
        <v>1</v>
      </c>
      <c r="J16" s="31">
        <v>0.5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1</v>
      </c>
      <c r="AB16" s="31"/>
      <c r="AC16" s="31"/>
      <c r="AD16" s="31"/>
      <c r="AE16" s="31"/>
      <c r="AF16" s="31"/>
      <c r="AG16" s="31"/>
      <c r="AH16" s="31">
        <f>4/3</f>
      </c>
    </row>
    <row x14ac:dyDescent="0.25" r="17" customHeight="1" ht="18.75">
      <c r="A17" s="30" t="s">
        <v>129</v>
      </c>
      <c r="B17" s="31" t="s">
        <v>169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169</v>
      </c>
      <c r="AB17" s="32"/>
      <c r="AC17" s="32"/>
      <c r="AD17" s="32"/>
      <c r="AE17" s="32"/>
      <c r="AF17" s="32"/>
      <c r="AG17" s="32"/>
      <c r="AH17" s="31" t="s">
        <v>169</v>
      </c>
    </row>
    <row x14ac:dyDescent="0.25" r="18" customHeight="1" ht="18.75">
      <c r="A18" s="30" t="s">
        <v>130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2</v>
      </c>
      <c r="AB18" s="31"/>
      <c r="AC18" s="31"/>
      <c r="AD18" s="31"/>
      <c r="AE18" s="31"/>
      <c r="AF18" s="31"/>
      <c r="AG18" s="31"/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769</v>
      </c>
      <c r="B21" s="40" t="s">
        <v>770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3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2"/>
      <c r="Y1" s="2"/>
      <c r="Z1" s="3"/>
      <c r="AA1" s="2"/>
      <c r="AB1" s="2"/>
      <c r="AC1" s="2"/>
      <c r="AD1" s="2"/>
      <c r="AE1" s="2"/>
      <c r="AF1" s="2"/>
      <c r="AG1" s="2"/>
      <c r="AH1" s="2"/>
      <c r="AI1" s="3"/>
      <c r="AJ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3"/>
      <c r="AJ2" s="2"/>
    </row>
    <row x14ac:dyDescent="0.25" r="3" customHeight="1" ht="18.75">
      <c r="A3" s="1" t="s">
        <v>2</v>
      </c>
      <c r="B3" s="5">
        <v>71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3"/>
      <c r="V3" s="3"/>
      <c r="W3" s="3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3"/>
      <c r="AJ3" s="2"/>
    </row>
    <row x14ac:dyDescent="0.25" r="4" customHeight="1" ht="18.75">
      <c r="A4" s="1" t="s">
        <v>4</v>
      </c>
      <c r="B4" s="7" t="s">
        <v>759</v>
      </c>
      <c r="C4" s="7"/>
      <c r="D4" s="7"/>
      <c r="E4" s="2"/>
      <c r="F4" s="124" t="s">
        <v>760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3"/>
      <c r="V4" s="3"/>
      <c r="W4" s="3"/>
      <c r="X4" s="2"/>
      <c r="Y4" s="2"/>
      <c r="Z4" s="3"/>
      <c r="AA4" s="2"/>
      <c r="AB4" s="2"/>
      <c r="AC4" s="2"/>
      <c r="AD4" s="2"/>
      <c r="AE4" s="2"/>
      <c r="AF4" s="2"/>
      <c r="AG4" s="2"/>
      <c r="AH4" s="2"/>
      <c r="AI4" s="3"/>
      <c r="AJ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3"/>
      <c r="V5" s="3"/>
      <c r="W5" s="3"/>
      <c r="X5" s="2"/>
      <c r="Y5" s="2"/>
      <c r="Z5" s="3"/>
      <c r="AA5" s="2"/>
      <c r="AB5" s="2"/>
      <c r="AC5" s="2"/>
      <c r="AD5" s="2"/>
      <c r="AE5" s="2"/>
      <c r="AF5" s="2"/>
      <c r="AG5" s="2"/>
      <c r="AH5" s="2"/>
      <c r="AI5" s="3"/>
      <c r="AJ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3"/>
      <c r="X6" s="2"/>
      <c r="Y6" s="2"/>
      <c r="Z6" s="3"/>
      <c r="AA6" s="2"/>
      <c r="AB6" s="2"/>
      <c r="AC6" s="2"/>
      <c r="AD6" s="2"/>
      <c r="AE6" s="2"/>
      <c r="AF6" s="2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72" t="s">
        <v>26</v>
      </c>
      <c r="S7" s="173" t="s">
        <v>27</v>
      </c>
      <c r="T7" s="189" t="s">
        <v>28</v>
      </c>
      <c r="U7" s="22" t="s">
        <v>29</v>
      </c>
      <c r="V7" s="23" t="s">
        <v>30</v>
      </c>
      <c r="W7" s="23" t="s">
        <v>31</v>
      </c>
      <c r="X7" s="201" t="s">
        <v>32</v>
      </c>
      <c r="Y7" s="201" t="s">
        <v>33</v>
      </c>
      <c r="Z7" s="25" t="s">
        <v>34</v>
      </c>
      <c r="AA7" s="55" t="s">
        <v>35</v>
      </c>
      <c r="AB7" s="202" t="s">
        <v>36</v>
      </c>
      <c r="AC7" s="202" t="s">
        <v>37</v>
      </c>
      <c r="AD7" s="202" t="s">
        <v>38</v>
      </c>
      <c r="AE7" s="174" t="s">
        <v>39</v>
      </c>
      <c r="AF7" s="203" t="s">
        <v>40</v>
      </c>
      <c r="AG7" s="56" t="s">
        <v>41</v>
      </c>
      <c r="AH7" s="56" t="s">
        <v>42</v>
      </c>
      <c r="AI7" s="3"/>
      <c r="AJ7" s="112" t="s">
        <v>42</v>
      </c>
    </row>
    <row x14ac:dyDescent="0.25" r="8" customHeight="1" ht="18.75">
      <c r="A8" s="30" t="s">
        <v>43</v>
      </c>
      <c r="B8" s="31" t="s">
        <v>373</v>
      </c>
      <c r="C8" s="31" t="s">
        <v>180</v>
      </c>
      <c r="D8" s="31" t="s">
        <v>180</v>
      </c>
      <c r="E8" s="31" t="s">
        <v>180</v>
      </c>
      <c r="F8" s="31" t="s">
        <v>180</v>
      </c>
      <c r="G8" s="31" t="s">
        <v>180</v>
      </c>
      <c r="H8" s="31" t="s">
        <v>180</v>
      </c>
      <c r="I8" s="31" t="s">
        <v>180</v>
      </c>
      <c r="J8" s="31" t="s">
        <v>180</v>
      </c>
      <c r="K8" s="31" t="s">
        <v>180</v>
      </c>
      <c r="L8" s="31" t="s">
        <v>180</v>
      </c>
      <c r="M8" s="31" t="s">
        <v>180</v>
      </c>
      <c r="N8" s="31" t="s">
        <v>180</v>
      </c>
      <c r="O8" s="31" t="s">
        <v>180</v>
      </c>
      <c r="P8" s="31" t="s">
        <v>180</v>
      </c>
      <c r="Q8" s="139" t="s">
        <v>180</v>
      </c>
      <c r="R8" s="31" t="s">
        <v>180</v>
      </c>
      <c r="S8" s="31" t="s">
        <v>180</v>
      </c>
      <c r="T8" s="31" t="s">
        <v>367</v>
      </c>
      <c r="U8" s="32"/>
      <c r="V8" s="32"/>
      <c r="W8" s="32"/>
      <c r="X8" s="31" t="s">
        <v>180</v>
      </c>
      <c r="Y8" s="31" t="s">
        <v>180</v>
      </c>
      <c r="Z8" s="32"/>
      <c r="AA8" s="31" t="s">
        <v>180</v>
      </c>
      <c r="AB8" s="31" t="s">
        <v>180</v>
      </c>
      <c r="AC8" s="31" t="s">
        <v>180</v>
      </c>
      <c r="AD8" s="31" t="s">
        <v>180</v>
      </c>
      <c r="AE8" s="31" t="s">
        <v>180</v>
      </c>
      <c r="AF8" s="31" t="s">
        <v>180</v>
      </c>
      <c r="AG8" s="31" t="s">
        <v>180</v>
      </c>
      <c r="AH8" s="31" t="s">
        <v>180</v>
      </c>
      <c r="AI8" s="3"/>
      <c r="AJ8" s="31" t="s">
        <v>250</v>
      </c>
    </row>
    <row x14ac:dyDescent="0.25" r="9" customHeight="1" ht="18.75">
      <c r="A9" s="30" t="s">
        <v>45</v>
      </c>
      <c r="B9" s="31" t="s">
        <v>180</v>
      </c>
      <c r="C9" s="31" t="s">
        <v>374</v>
      </c>
      <c r="D9" s="31" t="s">
        <v>374</v>
      </c>
      <c r="E9" s="31" t="s">
        <v>374</v>
      </c>
      <c r="F9" s="31" t="s">
        <v>374</v>
      </c>
      <c r="G9" s="31" t="s">
        <v>374</v>
      </c>
      <c r="H9" s="31" t="s">
        <v>374</v>
      </c>
      <c r="I9" s="31" t="s">
        <v>374</v>
      </c>
      <c r="J9" s="31" t="s">
        <v>374</v>
      </c>
      <c r="K9" s="31" t="s">
        <v>374</v>
      </c>
      <c r="L9" s="31" t="s">
        <v>374</v>
      </c>
      <c r="M9" s="31" t="s">
        <v>374</v>
      </c>
      <c r="N9" s="31" t="s">
        <v>374</v>
      </c>
      <c r="O9" s="31" t="s">
        <v>374</v>
      </c>
      <c r="P9" s="31" t="s">
        <v>186</v>
      </c>
      <c r="Q9" s="139" t="s">
        <v>186</v>
      </c>
      <c r="R9" s="31" t="s">
        <v>187</v>
      </c>
      <c r="S9" s="31" t="s">
        <v>185</v>
      </c>
      <c r="T9" s="31" t="s">
        <v>368</v>
      </c>
      <c r="U9" s="32"/>
      <c r="V9" s="32"/>
      <c r="W9" s="32"/>
      <c r="X9" s="31" t="s">
        <v>374</v>
      </c>
      <c r="Y9" s="31" t="s">
        <v>374</v>
      </c>
      <c r="Z9" s="32"/>
      <c r="AA9" s="31" t="s">
        <v>374</v>
      </c>
      <c r="AB9" s="31" t="s">
        <v>374</v>
      </c>
      <c r="AC9" s="31" t="s">
        <v>374</v>
      </c>
      <c r="AD9" s="31" t="s">
        <v>374</v>
      </c>
      <c r="AE9" s="31" t="s">
        <v>374</v>
      </c>
      <c r="AF9" s="31" t="s">
        <v>374</v>
      </c>
      <c r="AG9" s="31" t="s">
        <v>189</v>
      </c>
      <c r="AH9" s="31" t="s">
        <v>189</v>
      </c>
      <c r="AI9" s="3"/>
      <c r="AJ9" s="31" t="s">
        <v>250</v>
      </c>
    </row>
    <row x14ac:dyDescent="0.25" r="10" customHeight="1" ht="18.75">
      <c r="A10" s="35" t="s">
        <v>47</v>
      </c>
      <c r="B10" s="117">
        <v>79</v>
      </c>
      <c r="C10" s="117">
        <v>83</v>
      </c>
      <c r="D10" s="117">
        <v>83</v>
      </c>
      <c r="E10" s="117">
        <v>83</v>
      </c>
      <c r="F10" s="117">
        <v>83</v>
      </c>
      <c r="G10" s="117">
        <v>83</v>
      </c>
      <c r="H10" s="117">
        <v>83</v>
      </c>
      <c r="I10" s="117">
        <v>83</v>
      </c>
      <c r="J10" s="117">
        <v>83</v>
      </c>
      <c r="K10" s="117">
        <v>83</v>
      </c>
      <c r="L10" s="117">
        <v>83</v>
      </c>
      <c r="M10" s="117">
        <v>83</v>
      </c>
      <c r="N10" s="117">
        <v>83</v>
      </c>
      <c r="O10" s="117">
        <v>83</v>
      </c>
      <c r="P10" s="117">
        <v>128</v>
      </c>
      <c r="Q10" s="167">
        <v>128</v>
      </c>
      <c r="R10" s="117">
        <v>81</v>
      </c>
      <c r="S10" s="117">
        <v>127</v>
      </c>
      <c r="T10" s="117">
        <v>151</v>
      </c>
      <c r="U10" s="37"/>
      <c r="V10" s="37"/>
      <c r="W10" s="37"/>
      <c r="X10" s="117">
        <v>83</v>
      </c>
      <c r="Y10" s="117">
        <v>83</v>
      </c>
      <c r="Z10" s="37"/>
      <c r="AA10" s="117">
        <v>83</v>
      </c>
      <c r="AB10" s="117">
        <v>83</v>
      </c>
      <c r="AC10" s="117">
        <v>83</v>
      </c>
      <c r="AD10" s="117">
        <v>83</v>
      </c>
      <c r="AE10" s="117">
        <v>83</v>
      </c>
      <c r="AF10" s="117">
        <v>83</v>
      </c>
      <c r="AG10" s="117">
        <v>82</v>
      </c>
      <c r="AH10" s="117">
        <v>82</v>
      </c>
      <c r="AI10" s="3"/>
      <c r="AJ10" s="117">
        <v>73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139" t="s">
        <v>52</v>
      </c>
      <c r="R11" s="31" t="s">
        <v>52</v>
      </c>
      <c r="S11" s="31" t="s">
        <v>52</v>
      </c>
      <c r="T11" s="31" t="s">
        <v>162</v>
      </c>
      <c r="U11" s="32"/>
      <c r="V11" s="32"/>
      <c r="W11" s="32"/>
      <c r="X11" s="31" t="s">
        <v>52</v>
      </c>
      <c r="Y11" s="31" t="s">
        <v>52</v>
      </c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3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139" t="s">
        <v>52</v>
      </c>
      <c r="R12" s="31" t="s">
        <v>52</v>
      </c>
      <c r="S12" s="31" t="s">
        <v>52</v>
      </c>
      <c r="T12" s="31" t="s">
        <v>162</v>
      </c>
      <c r="U12" s="32"/>
      <c r="V12" s="32"/>
      <c r="W12" s="32"/>
      <c r="X12" s="31" t="s">
        <v>52</v>
      </c>
      <c r="Y12" s="31" t="s">
        <v>52</v>
      </c>
      <c r="Z12" s="32"/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  <c r="AI12" s="3"/>
      <c r="AJ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139" t="s">
        <v>49</v>
      </c>
      <c r="R13" s="31" t="s">
        <v>49</v>
      </c>
      <c r="S13" s="31" t="s">
        <v>49</v>
      </c>
      <c r="T13" s="31" t="s">
        <v>49</v>
      </c>
      <c r="U13" s="32"/>
      <c r="V13" s="32"/>
      <c r="W13" s="32"/>
      <c r="X13" s="31" t="s">
        <v>49</v>
      </c>
      <c r="Y13" s="31" t="s">
        <v>49</v>
      </c>
      <c r="Z13" s="32"/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139" t="s">
        <v>49</v>
      </c>
      <c r="R14" s="31" t="s">
        <v>49</v>
      </c>
      <c r="S14" s="31" t="s">
        <v>49</v>
      </c>
      <c r="T14" s="31" t="s">
        <v>49</v>
      </c>
      <c r="U14" s="32"/>
      <c r="V14" s="32"/>
      <c r="W14" s="32"/>
      <c r="X14" s="31" t="s">
        <v>49</v>
      </c>
      <c r="Y14" s="31" t="s">
        <v>49</v>
      </c>
      <c r="Z14" s="32"/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1" t="s">
        <v>49</v>
      </c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193</v>
      </c>
      <c r="Q15" s="139" t="s">
        <v>193</v>
      </c>
      <c r="R15" s="31" t="s">
        <v>193</v>
      </c>
      <c r="S15" s="31" t="s">
        <v>192</v>
      </c>
      <c r="T15" s="33" t="s">
        <v>133</v>
      </c>
      <c r="U15" s="32"/>
      <c r="V15" s="32"/>
      <c r="W15" s="32"/>
      <c r="X15" s="31" t="s">
        <v>143</v>
      </c>
      <c r="Y15" s="31" t="s">
        <v>143</v>
      </c>
      <c r="Z15" s="32"/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143</v>
      </c>
      <c r="AG15" s="31" t="s">
        <v>143</v>
      </c>
      <c r="AH15" s="31" t="s">
        <v>143</v>
      </c>
      <c r="AI15" s="3"/>
      <c r="AJ15" s="31" t="s">
        <v>143</v>
      </c>
    </row>
    <row x14ac:dyDescent="0.25" r="16" customHeight="1" ht="18.75">
      <c r="A16" s="30" t="s">
        <v>128</v>
      </c>
      <c r="B16" s="31">
        <v>0.75</v>
      </c>
      <c r="C16" s="31">
        <v>0.75</v>
      </c>
      <c r="D16" s="31">
        <v>0.75</v>
      </c>
      <c r="E16" s="31">
        <v>0.75</v>
      </c>
      <c r="F16" s="31">
        <v>0.75</v>
      </c>
      <c r="G16" s="31">
        <v>0.75</v>
      </c>
      <c r="H16" s="31">
        <v>0.75</v>
      </c>
      <c r="I16" s="31">
        <v>0.75</v>
      </c>
      <c r="J16" s="31">
        <v>0.75</v>
      </c>
      <c r="K16" s="31">
        <v>0.75</v>
      </c>
      <c r="L16" s="31">
        <v>0.75</v>
      </c>
      <c r="M16" s="31">
        <v>0.75</v>
      </c>
      <c r="N16" s="31">
        <v>0.75</v>
      </c>
      <c r="O16" s="31">
        <v>0.75</v>
      </c>
      <c r="P16" s="31">
        <v>-4</v>
      </c>
      <c r="Q16" s="139">
        <v>-4</v>
      </c>
      <c r="R16" s="31">
        <v>-4</v>
      </c>
      <c r="S16" s="31">
        <f>AVERAGE(0.75,0.75,-4)</f>
      </c>
      <c r="T16" s="31">
        <v>-2</v>
      </c>
      <c r="U16" s="31"/>
      <c r="V16" s="31"/>
      <c r="W16" s="31"/>
      <c r="X16" s="31">
        <v>0.75</v>
      </c>
      <c r="Y16" s="31">
        <v>0.75</v>
      </c>
      <c r="Z16" s="31"/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v>0.75</v>
      </c>
      <c r="AG16" s="31">
        <f>5/3</f>
      </c>
      <c r="AH16" s="31">
        <f>5/3</f>
      </c>
      <c r="AI16" s="3"/>
      <c r="AJ16" s="31">
        <v>1.67</v>
      </c>
    </row>
    <row x14ac:dyDescent="0.25" r="17" customHeight="1" ht="18.75">
      <c r="A17" s="30" t="s">
        <v>129</v>
      </c>
      <c r="B17" s="31" t="s">
        <v>198</v>
      </c>
      <c r="C17" s="31" t="s">
        <v>198</v>
      </c>
      <c r="D17" s="31" t="s">
        <v>198</v>
      </c>
      <c r="E17" s="31" t="s">
        <v>198</v>
      </c>
      <c r="F17" s="31" t="s">
        <v>198</v>
      </c>
      <c r="G17" s="31" t="s">
        <v>198</v>
      </c>
      <c r="H17" s="31" t="s">
        <v>198</v>
      </c>
      <c r="I17" s="31" t="s">
        <v>198</v>
      </c>
      <c r="J17" s="31" t="s">
        <v>198</v>
      </c>
      <c r="K17" s="31" t="s">
        <v>198</v>
      </c>
      <c r="L17" s="31" t="s">
        <v>198</v>
      </c>
      <c r="M17" s="31" t="s">
        <v>198</v>
      </c>
      <c r="N17" s="31" t="s">
        <v>198</v>
      </c>
      <c r="O17" s="31" t="s">
        <v>198</v>
      </c>
      <c r="P17" s="31" t="s">
        <v>197</v>
      </c>
      <c r="Q17" s="139" t="s">
        <v>197</v>
      </c>
      <c r="R17" s="31" t="s">
        <v>198</v>
      </c>
      <c r="S17" s="31" t="s">
        <v>196</v>
      </c>
      <c r="T17" s="33" t="s">
        <v>369</v>
      </c>
      <c r="U17" s="32"/>
      <c r="V17" s="32"/>
      <c r="W17" s="32"/>
      <c r="X17" s="31" t="s">
        <v>198</v>
      </c>
      <c r="Y17" s="31" t="s">
        <v>198</v>
      </c>
      <c r="Z17" s="32"/>
      <c r="AA17" s="31" t="s">
        <v>198</v>
      </c>
      <c r="AB17" s="31" t="s">
        <v>198</v>
      </c>
      <c r="AC17" s="31" t="s">
        <v>198</v>
      </c>
      <c r="AD17" s="31" t="s">
        <v>198</v>
      </c>
      <c r="AE17" s="31" t="s">
        <v>198</v>
      </c>
      <c r="AF17" s="31" t="s">
        <v>198</v>
      </c>
      <c r="AG17" s="31" t="s">
        <v>198</v>
      </c>
      <c r="AH17" s="31" t="s">
        <v>198</v>
      </c>
      <c r="AI17" s="3"/>
      <c r="AJ17" s="31" t="s">
        <v>257</v>
      </c>
    </row>
    <row x14ac:dyDescent="0.25" r="18" customHeight="1" ht="18.75">
      <c r="A18" s="30" t="s">
        <v>130</v>
      </c>
      <c r="B18" s="31">
        <v>1.25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1">
        <v>1</v>
      </c>
      <c r="O18" s="31">
        <v>1</v>
      </c>
      <c r="P18" s="31">
        <v>1.75</v>
      </c>
      <c r="Q18" s="139">
        <v>1.75</v>
      </c>
      <c r="R18" s="31">
        <v>1.25</v>
      </c>
      <c r="S18" s="31">
        <f>AVERAGE(25/16,25/16,1.25)</f>
      </c>
      <c r="T18" s="31">
        <f>AVERAGE(1/3,0)</f>
      </c>
      <c r="U18" s="31"/>
      <c r="V18" s="31"/>
      <c r="W18" s="31"/>
      <c r="X18" s="31">
        <v>1</v>
      </c>
      <c r="Y18" s="31">
        <v>1</v>
      </c>
      <c r="Z18" s="31"/>
      <c r="AA18" s="31">
        <v>1</v>
      </c>
      <c r="AB18" s="31">
        <v>1</v>
      </c>
      <c r="AC18" s="31">
        <v>1</v>
      </c>
      <c r="AD18" s="31">
        <v>1</v>
      </c>
      <c r="AE18" s="31">
        <v>1</v>
      </c>
      <c r="AF18" s="31">
        <v>1</v>
      </c>
      <c r="AG18" s="31">
        <v>1</v>
      </c>
      <c r="AH18" s="31">
        <v>1</v>
      </c>
      <c r="AI18" s="3"/>
      <c r="AJ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3"/>
      <c r="W19" s="3"/>
      <c r="X19" s="2"/>
      <c r="Y19" s="2"/>
      <c r="Z19" s="3"/>
      <c r="AA19" s="2"/>
      <c r="AB19" s="2"/>
      <c r="AC19" s="2"/>
      <c r="AD19" s="2"/>
      <c r="AE19" s="2"/>
      <c r="AF19" s="2"/>
      <c r="AG19" s="2"/>
      <c r="AH19" s="138" t="s">
        <v>761</v>
      </c>
      <c r="AI19" s="3"/>
      <c r="AJ19" s="138" t="s">
        <v>762</v>
      </c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3"/>
      <c r="V20" s="3"/>
      <c r="W20" s="3"/>
      <c r="X20" s="2"/>
      <c r="Y20" s="2"/>
      <c r="Z20" s="3"/>
      <c r="AA20" s="2"/>
      <c r="AB20" s="2"/>
      <c r="AC20" s="2"/>
      <c r="AD20" s="2"/>
      <c r="AE20" s="2"/>
      <c r="AF20" s="2"/>
      <c r="AG20" s="2"/>
      <c r="AH20" s="2"/>
      <c r="AI20" s="3"/>
      <c r="AJ20" s="2"/>
    </row>
    <row x14ac:dyDescent="0.25" r="21" customHeight="1" ht="18.75">
      <c r="A21" s="30" t="s">
        <v>763</v>
      </c>
      <c r="B21" s="40" t="s">
        <v>764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"/>
      <c r="V21" s="3"/>
      <c r="W21" s="3"/>
      <c r="X21" s="2"/>
      <c r="Y21" s="2"/>
      <c r="Z21" s="3"/>
      <c r="AA21" s="2"/>
      <c r="AB21" s="2"/>
      <c r="AC21" s="2"/>
      <c r="AD21" s="2"/>
      <c r="AE21" s="2"/>
      <c r="AF21" s="2"/>
      <c r="AG21" s="2"/>
      <c r="AH21" s="2"/>
      <c r="AI21" s="3"/>
      <c r="AJ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24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3" width="13.576428571428572" customWidth="1" bestFit="1"/>
    <col min="21" max="21" style="43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3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151" width="13.576428571428572" customWidth="1" bestFit="1"/>
    <col min="31" max="31" style="151" width="13.576428571428572" customWidth="1" bestFit="1"/>
    <col min="32" max="32" style="151" width="13.576428571428572" customWidth="1" bestFit="1"/>
    <col min="33" max="33" style="151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49"/>
      <c r="AE1" s="149"/>
      <c r="AF1" s="149"/>
      <c r="AG1" s="149"/>
      <c r="AH1" s="2"/>
      <c r="AI1" s="3"/>
      <c r="AJ1" s="2"/>
    </row>
    <row x14ac:dyDescent="0.25" r="2" customHeight="1" ht="18.7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49"/>
      <c r="AE2" s="149"/>
      <c r="AF2" s="149"/>
      <c r="AG2" s="149"/>
      <c r="AH2" s="2"/>
      <c r="AI2" s="3"/>
      <c r="AJ2" s="2"/>
    </row>
    <row x14ac:dyDescent="0.25" r="3" customHeight="1" ht="18.75">
      <c r="A3" s="1" t="s">
        <v>2</v>
      </c>
      <c r="B3" s="5">
        <v>72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149"/>
      <c r="AE3" s="149"/>
      <c r="AF3" s="149"/>
      <c r="AG3" s="149"/>
      <c r="AH3" s="2"/>
      <c r="AI3" s="3"/>
      <c r="AJ3" s="2"/>
    </row>
    <row x14ac:dyDescent="0.25" r="4" customHeight="1" ht="18.75">
      <c r="A4" s="1" t="s">
        <v>4</v>
      </c>
      <c r="B4" s="7" t="s">
        <v>746</v>
      </c>
      <c r="C4" s="7"/>
      <c r="D4" s="7"/>
      <c r="E4" s="2"/>
      <c r="F4" s="124" t="s">
        <v>747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149"/>
      <c r="AE4" s="149"/>
      <c r="AF4" s="149"/>
      <c r="AG4" s="149"/>
      <c r="AH4" s="2"/>
      <c r="AI4" s="3"/>
      <c r="AJ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149"/>
      <c r="AE5" s="149"/>
      <c r="AF5" s="149"/>
      <c r="AG5" s="149"/>
      <c r="AH5" s="2"/>
      <c r="AI5" s="3"/>
      <c r="AJ5" s="2"/>
    </row>
    <row x14ac:dyDescent="0.25" r="6" customHeight="1" ht="18.7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149"/>
      <c r="AE6" s="149"/>
      <c r="AF6" s="149"/>
      <c r="AG6" s="149"/>
      <c r="AH6" s="2"/>
      <c r="AI6" s="3"/>
      <c r="AJ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199" t="s">
        <v>28</v>
      </c>
      <c r="U7" s="199" t="s">
        <v>29</v>
      </c>
      <c r="V7" s="147" t="s">
        <v>30</v>
      </c>
      <c r="W7" s="147" t="s">
        <v>31</v>
      </c>
      <c r="X7" s="104" t="s">
        <v>32</v>
      </c>
      <c r="Y7" s="104" t="s">
        <v>33</v>
      </c>
      <c r="Z7" s="106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200" t="s">
        <v>40</v>
      </c>
      <c r="AG7" s="112" t="s">
        <v>41</v>
      </c>
      <c r="AH7" s="112" t="s">
        <v>42</v>
      </c>
      <c r="AI7" s="3"/>
      <c r="AJ7" s="64" t="s">
        <v>10</v>
      </c>
    </row>
    <row x14ac:dyDescent="0.25" r="8" customHeight="1" ht="18.75">
      <c r="A8" s="30" t="s">
        <v>43</v>
      </c>
      <c r="B8" s="31" t="s">
        <v>198</v>
      </c>
      <c r="C8" s="143" t="s">
        <v>358</v>
      </c>
      <c r="D8" s="143" t="s">
        <v>358</v>
      </c>
      <c r="E8" s="143" t="s">
        <v>358</v>
      </c>
      <c r="F8" s="31" t="s">
        <v>149</v>
      </c>
      <c r="G8" s="31" t="s">
        <v>149</v>
      </c>
      <c r="H8" s="31" t="s">
        <v>149</v>
      </c>
      <c r="I8" s="116" t="s">
        <v>149</v>
      </c>
      <c r="J8" s="33" t="s">
        <v>149</v>
      </c>
      <c r="K8" s="33" t="s">
        <v>149</v>
      </c>
      <c r="L8" s="33" t="s">
        <v>149</v>
      </c>
      <c r="M8" s="33" t="s">
        <v>149</v>
      </c>
      <c r="N8" s="33" t="s">
        <v>149</v>
      </c>
      <c r="O8" s="33" t="s">
        <v>149</v>
      </c>
      <c r="P8" s="33" t="s">
        <v>149</v>
      </c>
      <c r="Q8" s="33" t="s">
        <v>149</v>
      </c>
      <c r="R8" s="33" t="s">
        <v>149</v>
      </c>
      <c r="S8" s="33" t="s">
        <v>149</v>
      </c>
      <c r="T8" s="31" t="s">
        <v>367</v>
      </c>
      <c r="U8" s="33" t="s">
        <v>149</v>
      </c>
      <c r="V8" s="33" t="s">
        <v>149</v>
      </c>
      <c r="W8" s="33" t="s">
        <v>149</v>
      </c>
      <c r="X8" s="33" t="s">
        <v>149</v>
      </c>
      <c r="Y8" s="33" t="s">
        <v>149</v>
      </c>
      <c r="Z8" s="33" t="s">
        <v>149</v>
      </c>
      <c r="AA8" s="31" t="s">
        <v>149</v>
      </c>
      <c r="AB8" s="31" t="s">
        <v>149</v>
      </c>
      <c r="AC8" s="33" t="s">
        <v>149</v>
      </c>
      <c r="AD8" s="31" t="s">
        <v>149</v>
      </c>
      <c r="AE8" s="33" t="s">
        <v>149</v>
      </c>
      <c r="AF8" s="33" t="s">
        <v>748</v>
      </c>
      <c r="AG8" s="33" t="s">
        <v>180</v>
      </c>
      <c r="AH8" s="33" t="s">
        <v>180</v>
      </c>
      <c r="AI8" s="3"/>
      <c r="AJ8" s="31" t="s">
        <v>198</v>
      </c>
    </row>
    <row x14ac:dyDescent="0.25" r="9" customHeight="1" ht="18.75">
      <c r="A9" s="30" t="s">
        <v>45</v>
      </c>
      <c r="B9" s="31" t="s">
        <v>156</v>
      </c>
      <c r="C9" s="143" t="s">
        <v>358</v>
      </c>
      <c r="D9" s="143" t="s">
        <v>358</v>
      </c>
      <c r="E9" s="143" t="s">
        <v>358</v>
      </c>
      <c r="F9" s="31" t="s">
        <v>149</v>
      </c>
      <c r="G9" s="31" t="s">
        <v>149</v>
      </c>
      <c r="H9" s="31" t="s">
        <v>149</v>
      </c>
      <c r="I9" s="114" t="s">
        <v>149</v>
      </c>
      <c r="J9" s="31" t="s">
        <v>149</v>
      </c>
      <c r="K9" s="31" t="s">
        <v>149</v>
      </c>
      <c r="L9" s="31" t="s">
        <v>749</v>
      </c>
      <c r="M9" s="31" t="s">
        <v>750</v>
      </c>
      <c r="N9" s="31" t="s">
        <v>149</v>
      </c>
      <c r="O9" s="31" t="s">
        <v>149</v>
      </c>
      <c r="P9" s="31" t="s">
        <v>149</v>
      </c>
      <c r="Q9" s="31" t="s">
        <v>149</v>
      </c>
      <c r="R9" s="31" t="s">
        <v>149</v>
      </c>
      <c r="S9" s="31" t="s">
        <v>149</v>
      </c>
      <c r="T9" s="31" t="s">
        <v>368</v>
      </c>
      <c r="U9" s="31" t="s">
        <v>149</v>
      </c>
      <c r="V9" s="31" t="s">
        <v>149</v>
      </c>
      <c r="W9" s="31" t="s">
        <v>149</v>
      </c>
      <c r="X9" s="31" t="s">
        <v>149</v>
      </c>
      <c r="Y9" s="31" t="s">
        <v>149</v>
      </c>
      <c r="Z9" s="31" t="s">
        <v>149</v>
      </c>
      <c r="AA9" s="31" t="s">
        <v>149</v>
      </c>
      <c r="AB9" s="31" t="s">
        <v>149</v>
      </c>
      <c r="AC9" s="31" t="s">
        <v>149</v>
      </c>
      <c r="AD9" s="31" t="s">
        <v>149</v>
      </c>
      <c r="AE9" s="31" t="s">
        <v>149</v>
      </c>
      <c r="AF9" s="33" t="s">
        <v>751</v>
      </c>
      <c r="AG9" s="31" t="s">
        <v>189</v>
      </c>
      <c r="AH9" s="31" t="s">
        <v>189</v>
      </c>
      <c r="AI9" s="3"/>
      <c r="AJ9" s="31" t="s">
        <v>361</v>
      </c>
    </row>
    <row x14ac:dyDescent="0.25" r="10" customHeight="1" ht="18.75">
      <c r="A10" s="35" t="s">
        <v>47</v>
      </c>
      <c r="B10" s="117">
        <v>87</v>
      </c>
      <c r="C10" s="144"/>
      <c r="D10" s="144"/>
      <c r="E10" s="144"/>
      <c r="F10" s="117">
        <v>85</v>
      </c>
      <c r="G10" s="117">
        <v>85</v>
      </c>
      <c r="H10" s="117">
        <v>85</v>
      </c>
      <c r="I10" s="137">
        <v>85</v>
      </c>
      <c r="J10" s="117">
        <v>85</v>
      </c>
      <c r="K10" s="117">
        <v>85</v>
      </c>
      <c r="L10" s="117">
        <v>89</v>
      </c>
      <c r="M10" s="117">
        <v>140</v>
      </c>
      <c r="N10" s="117">
        <v>85</v>
      </c>
      <c r="O10" s="117">
        <v>85</v>
      </c>
      <c r="P10" s="117">
        <v>85</v>
      </c>
      <c r="Q10" s="117">
        <v>85</v>
      </c>
      <c r="R10" s="117">
        <v>85</v>
      </c>
      <c r="S10" s="117">
        <v>85</v>
      </c>
      <c r="T10" s="117">
        <v>151</v>
      </c>
      <c r="U10" s="117">
        <v>85</v>
      </c>
      <c r="V10" s="117">
        <v>85</v>
      </c>
      <c r="W10" s="117">
        <v>85</v>
      </c>
      <c r="X10" s="117">
        <v>85</v>
      </c>
      <c r="Y10" s="117">
        <v>85</v>
      </c>
      <c r="Z10" s="117">
        <v>85</v>
      </c>
      <c r="AA10" s="117">
        <v>85</v>
      </c>
      <c r="AB10" s="117">
        <v>85</v>
      </c>
      <c r="AC10" s="117">
        <v>85</v>
      </c>
      <c r="AD10" s="117">
        <v>85</v>
      </c>
      <c r="AE10" s="117">
        <v>85</v>
      </c>
      <c r="AF10" s="117">
        <v>131</v>
      </c>
      <c r="AG10" s="117">
        <v>82</v>
      </c>
      <c r="AH10" s="117">
        <v>82</v>
      </c>
      <c r="AI10" s="3"/>
      <c r="AJ10" s="117">
        <v>139</v>
      </c>
    </row>
    <row x14ac:dyDescent="0.25" r="11" customHeight="1" ht="18.75">
      <c r="A11" s="30" t="s">
        <v>123</v>
      </c>
      <c r="B11" s="31" t="s">
        <v>52</v>
      </c>
      <c r="C11" s="143" t="s">
        <v>49</v>
      </c>
      <c r="D11" s="143" t="s">
        <v>49</v>
      </c>
      <c r="E11" s="143" t="s">
        <v>49</v>
      </c>
      <c r="F11" s="31" t="s">
        <v>52</v>
      </c>
      <c r="G11" s="31" t="s">
        <v>52</v>
      </c>
      <c r="H11" s="31" t="s">
        <v>52</v>
      </c>
      <c r="I11" s="114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1" t="s">
        <v>162</v>
      </c>
      <c r="U11" s="31" t="s">
        <v>52</v>
      </c>
      <c r="V11" s="31" t="s">
        <v>52</v>
      </c>
      <c r="W11" s="31" t="s">
        <v>52</v>
      </c>
      <c r="X11" s="31" t="s">
        <v>52</v>
      </c>
      <c r="Y11" s="31" t="s">
        <v>52</v>
      </c>
      <c r="Z11" s="31" t="s">
        <v>52</v>
      </c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1" t="s">
        <v>52</v>
      </c>
      <c r="AG11" s="31" t="s">
        <v>52</v>
      </c>
      <c r="AH11" s="31" t="s">
        <v>52</v>
      </c>
      <c r="AI11" s="3"/>
      <c r="AJ11" s="31" t="s">
        <v>52</v>
      </c>
    </row>
    <row x14ac:dyDescent="0.25" r="12" customHeight="1" ht="18.75">
      <c r="A12" s="30" t="s">
        <v>124</v>
      </c>
      <c r="B12" s="31" t="s">
        <v>52</v>
      </c>
      <c r="C12" s="143" t="s">
        <v>49</v>
      </c>
      <c r="D12" s="143" t="s">
        <v>49</v>
      </c>
      <c r="E12" s="143" t="s">
        <v>49</v>
      </c>
      <c r="F12" s="31" t="s">
        <v>52</v>
      </c>
      <c r="G12" s="31" t="s">
        <v>52</v>
      </c>
      <c r="H12" s="31" t="s">
        <v>52</v>
      </c>
      <c r="I12" s="114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1" t="s">
        <v>162</v>
      </c>
      <c r="U12" s="31" t="s">
        <v>52</v>
      </c>
      <c r="V12" s="31" t="s">
        <v>52</v>
      </c>
      <c r="W12" s="31" t="s">
        <v>52</v>
      </c>
      <c r="X12" s="31" t="s">
        <v>52</v>
      </c>
      <c r="Y12" s="31" t="s">
        <v>52</v>
      </c>
      <c r="Z12" s="31" t="s">
        <v>52</v>
      </c>
      <c r="AA12" s="31" t="s">
        <v>52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1" t="s">
        <v>52</v>
      </c>
      <c r="AG12" s="31" t="s">
        <v>52</v>
      </c>
      <c r="AH12" s="31" t="s">
        <v>52</v>
      </c>
      <c r="AI12" s="3"/>
      <c r="AJ12" s="31" t="s">
        <v>52</v>
      </c>
    </row>
    <row x14ac:dyDescent="0.25" r="13" customHeight="1" ht="18.75">
      <c r="A13" s="30" t="s">
        <v>125</v>
      </c>
      <c r="B13" s="31" t="s">
        <v>49</v>
      </c>
      <c r="C13" s="143" t="s">
        <v>49</v>
      </c>
      <c r="D13" s="143" t="s">
        <v>49</v>
      </c>
      <c r="E13" s="143" t="s">
        <v>49</v>
      </c>
      <c r="F13" s="31" t="s">
        <v>49</v>
      </c>
      <c r="G13" s="31" t="s">
        <v>49</v>
      </c>
      <c r="H13" s="31" t="s">
        <v>49</v>
      </c>
      <c r="I13" s="114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1" t="s">
        <v>49</v>
      </c>
      <c r="V13" s="31" t="s">
        <v>49</v>
      </c>
      <c r="W13" s="31" t="s">
        <v>49</v>
      </c>
      <c r="X13" s="31" t="s">
        <v>49</v>
      </c>
      <c r="Y13" s="31" t="s">
        <v>49</v>
      </c>
      <c r="Z13" s="31" t="s">
        <v>49</v>
      </c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1" t="s">
        <v>49</v>
      </c>
      <c r="AG13" s="31" t="s">
        <v>49</v>
      </c>
      <c r="AH13" s="31" t="s">
        <v>49</v>
      </c>
      <c r="AI13" s="3"/>
      <c r="AJ13" s="31" t="s">
        <v>49</v>
      </c>
    </row>
    <row x14ac:dyDescent="0.25" r="14" customHeight="1" ht="18.75">
      <c r="A14" s="30" t="s">
        <v>126</v>
      </c>
      <c r="B14" s="31" t="s">
        <v>52</v>
      </c>
      <c r="C14" s="143" t="s">
        <v>49</v>
      </c>
      <c r="D14" s="143" t="s">
        <v>49</v>
      </c>
      <c r="E14" s="143" t="s">
        <v>49</v>
      </c>
      <c r="F14" s="31" t="s">
        <v>52</v>
      </c>
      <c r="G14" s="31" t="s">
        <v>52</v>
      </c>
      <c r="H14" s="31" t="s">
        <v>52</v>
      </c>
      <c r="I14" s="114" t="s">
        <v>52</v>
      </c>
      <c r="J14" s="31" t="s">
        <v>52</v>
      </c>
      <c r="K14" s="31" t="s">
        <v>52</v>
      </c>
      <c r="L14" s="31" t="s">
        <v>52</v>
      </c>
      <c r="M14" s="31" t="s">
        <v>52</v>
      </c>
      <c r="N14" s="31" t="s">
        <v>52</v>
      </c>
      <c r="O14" s="31" t="s">
        <v>52</v>
      </c>
      <c r="P14" s="31" t="s">
        <v>52</v>
      </c>
      <c r="Q14" s="31" t="s">
        <v>52</v>
      </c>
      <c r="R14" s="31" t="s">
        <v>52</v>
      </c>
      <c r="S14" s="31" t="s">
        <v>52</v>
      </c>
      <c r="T14" s="31" t="s">
        <v>49</v>
      </c>
      <c r="U14" s="31" t="s">
        <v>52</v>
      </c>
      <c r="V14" s="31" t="s">
        <v>52</v>
      </c>
      <c r="W14" s="31" t="s">
        <v>52</v>
      </c>
      <c r="X14" s="31" t="s">
        <v>52</v>
      </c>
      <c r="Y14" s="31" t="s">
        <v>52</v>
      </c>
      <c r="Z14" s="31" t="s">
        <v>52</v>
      </c>
      <c r="AA14" s="31" t="s">
        <v>52</v>
      </c>
      <c r="AB14" s="31" t="s">
        <v>52</v>
      </c>
      <c r="AC14" s="31" t="s">
        <v>52</v>
      </c>
      <c r="AD14" s="31" t="s">
        <v>52</v>
      </c>
      <c r="AE14" s="31" t="s">
        <v>52</v>
      </c>
      <c r="AF14" s="31" t="s">
        <v>162</v>
      </c>
      <c r="AG14" s="31" t="s">
        <v>49</v>
      </c>
      <c r="AH14" s="31" t="s">
        <v>49</v>
      </c>
      <c r="AI14" s="3"/>
      <c r="AJ14" s="31" t="s">
        <v>52</v>
      </c>
    </row>
    <row x14ac:dyDescent="0.25" r="15" customHeight="1" ht="18.75">
      <c r="A15" s="30" t="s">
        <v>127</v>
      </c>
      <c r="B15" s="31" t="s">
        <v>164</v>
      </c>
      <c r="C15" s="143" t="s">
        <v>143</v>
      </c>
      <c r="D15" s="143" t="s">
        <v>143</v>
      </c>
      <c r="E15" s="143" t="s">
        <v>143</v>
      </c>
      <c r="F15" s="31" t="s">
        <v>143</v>
      </c>
      <c r="G15" s="31" t="s">
        <v>143</v>
      </c>
      <c r="H15" s="31" t="s">
        <v>143</v>
      </c>
      <c r="I15" s="114" t="s">
        <v>143</v>
      </c>
      <c r="J15" s="31" t="s">
        <v>143</v>
      </c>
      <c r="K15" s="31" t="s">
        <v>143</v>
      </c>
      <c r="L15" s="31" t="s">
        <v>164</v>
      </c>
      <c r="M15" s="31" t="s">
        <v>234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1" t="s">
        <v>143</v>
      </c>
      <c r="S15" s="31" t="s">
        <v>143</v>
      </c>
      <c r="T15" s="33" t="s">
        <v>133</v>
      </c>
      <c r="U15" s="31" t="s">
        <v>143</v>
      </c>
      <c r="V15" s="31" t="s">
        <v>143</v>
      </c>
      <c r="W15" s="31" t="s">
        <v>143</v>
      </c>
      <c r="X15" s="31" t="s">
        <v>143</v>
      </c>
      <c r="Y15" s="31" t="s">
        <v>143</v>
      </c>
      <c r="Z15" s="31" t="s">
        <v>143</v>
      </c>
      <c r="AA15" s="31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1" t="s">
        <v>752</v>
      </c>
      <c r="AG15" s="31" t="s">
        <v>143</v>
      </c>
      <c r="AH15" s="31" t="s">
        <v>143</v>
      </c>
      <c r="AI15" s="3"/>
      <c r="AJ15" s="31" t="s">
        <v>133</v>
      </c>
    </row>
    <row x14ac:dyDescent="0.25" r="16" customHeight="1" ht="18.75">
      <c r="A16" s="30" t="s">
        <v>128</v>
      </c>
      <c r="B16" s="31">
        <f>-7/6</f>
      </c>
      <c r="C16" s="143">
        <v>0.75</v>
      </c>
      <c r="D16" s="143">
        <v>0.75</v>
      </c>
      <c r="E16" s="143">
        <v>0.75</v>
      </c>
      <c r="F16" s="31">
        <v>0.75</v>
      </c>
      <c r="G16" s="31">
        <v>0.75</v>
      </c>
      <c r="H16" s="31">
        <v>0.75</v>
      </c>
      <c r="I16" s="114">
        <v>0.75</v>
      </c>
      <c r="J16" s="31">
        <v>0.75</v>
      </c>
      <c r="K16" s="31">
        <v>0.75</v>
      </c>
      <c r="L16" s="31">
        <v>-1.625</v>
      </c>
      <c r="M16" s="31">
        <v>-3</v>
      </c>
      <c r="N16" s="31">
        <v>0.75</v>
      </c>
      <c r="O16" s="31">
        <v>0.75</v>
      </c>
      <c r="P16" s="31">
        <v>0.75</v>
      </c>
      <c r="Q16" s="31">
        <v>0.75</v>
      </c>
      <c r="R16" s="31">
        <v>0.75</v>
      </c>
      <c r="S16" s="31">
        <v>0.75</v>
      </c>
      <c r="T16" s="31">
        <v>-2</v>
      </c>
      <c r="U16" s="31">
        <v>0.75</v>
      </c>
      <c r="V16" s="31">
        <v>0.75</v>
      </c>
      <c r="W16" s="31">
        <v>0.75</v>
      </c>
      <c r="X16" s="31">
        <v>0.75</v>
      </c>
      <c r="Y16" s="31">
        <v>0.75</v>
      </c>
      <c r="Z16" s="31">
        <v>0.75</v>
      </c>
      <c r="AA16" s="31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>
        <f>AVERAGE(0.75,-3)</f>
      </c>
      <c r="AG16" s="31">
        <f>5/3</f>
      </c>
      <c r="AH16" s="31">
        <f>5/3</f>
      </c>
      <c r="AI16" s="3"/>
      <c r="AJ16" s="31">
        <f>-1/6</f>
      </c>
    </row>
    <row x14ac:dyDescent="0.25" r="17" customHeight="1" ht="18.75">
      <c r="A17" s="30" t="s">
        <v>129</v>
      </c>
      <c r="B17" s="31" t="s">
        <v>167</v>
      </c>
      <c r="C17" s="143" t="s">
        <v>358</v>
      </c>
      <c r="D17" s="143" t="s">
        <v>358</v>
      </c>
      <c r="E17" s="143" t="s">
        <v>358</v>
      </c>
      <c r="F17" s="31" t="s">
        <v>167</v>
      </c>
      <c r="G17" s="31" t="s">
        <v>167</v>
      </c>
      <c r="H17" s="31" t="s">
        <v>167</v>
      </c>
      <c r="I17" s="114" t="s">
        <v>167</v>
      </c>
      <c r="J17" s="31" t="s">
        <v>167</v>
      </c>
      <c r="K17" s="31" t="s">
        <v>167</v>
      </c>
      <c r="L17" s="31" t="s">
        <v>167</v>
      </c>
      <c r="M17" s="31" t="s">
        <v>167</v>
      </c>
      <c r="N17" s="31" t="s">
        <v>167</v>
      </c>
      <c r="O17" s="31" t="s">
        <v>167</v>
      </c>
      <c r="P17" s="31" t="s">
        <v>167</v>
      </c>
      <c r="Q17" s="31" t="s">
        <v>167</v>
      </c>
      <c r="R17" s="31" t="s">
        <v>167</v>
      </c>
      <c r="S17" s="31" t="s">
        <v>167</v>
      </c>
      <c r="T17" s="33" t="s">
        <v>369</v>
      </c>
      <c r="U17" s="31" t="s">
        <v>167</v>
      </c>
      <c r="V17" s="31" t="s">
        <v>167</v>
      </c>
      <c r="W17" s="31" t="s">
        <v>167</v>
      </c>
      <c r="X17" s="31" t="s">
        <v>167</v>
      </c>
      <c r="Y17" s="31" t="s">
        <v>167</v>
      </c>
      <c r="Z17" s="31" t="s">
        <v>167</v>
      </c>
      <c r="AA17" s="31" t="s">
        <v>167</v>
      </c>
      <c r="AB17" s="31" t="s">
        <v>167</v>
      </c>
      <c r="AC17" s="31" t="s">
        <v>167</v>
      </c>
      <c r="AD17" s="31" t="s">
        <v>167</v>
      </c>
      <c r="AE17" s="31" t="s">
        <v>167</v>
      </c>
      <c r="AF17" s="118" t="s">
        <v>753</v>
      </c>
      <c r="AG17" s="31" t="s">
        <v>198</v>
      </c>
      <c r="AH17" s="31" t="s">
        <v>198</v>
      </c>
      <c r="AI17" s="3"/>
      <c r="AJ17" s="31" t="s">
        <v>167</v>
      </c>
    </row>
    <row x14ac:dyDescent="0.25" r="18" customHeight="1" ht="18.75">
      <c r="A18" s="30" t="s">
        <v>130</v>
      </c>
      <c r="B18" s="31">
        <v>0.75</v>
      </c>
      <c r="C18" s="143">
        <v>0</v>
      </c>
      <c r="D18" s="143">
        <v>0</v>
      </c>
      <c r="E18" s="143">
        <v>0</v>
      </c>
      <c r="F18" s="31">
        <v>0.75</v>
      </c>
      <c r="G18" s="31">
        <v>0.75</v>
      </c>
      <c r="H18" s="31">
        <v>0.75</v>
      </c>
      <c r="I18" s="114">
        <v>0.75</v>
      </c>
      <c r="J18" s="31">
        <v>0.75</v>
      </c>
      <c r="K18" s="31">
        <v>0.75</v>
      </c>
      <c r="L18" s="31">
        <v>0.75</v>
      </c>
      <c r="M18" s="31">
        <v>0.75</v>
      </c>
      <c r="N18" s="31">
        <v>0.75</v>
      </c>
      <c r="O18" s="31">
        <v>0.75</v>
      </c>
      <c r="P18" s="31">
        <v>0.75</v>
      </c>
      <c r="Q18" s="31">
        <v>0.75</v>
      </c>
      <c r="R18" s="31">
        <v>0.75</v>
      </c>
      <c r="S18" s="31">
        <v>0.75</v>
      </c>
      <c r="T18" s="31">
        <f>AVERAGE(1/3,0)</f>
      </c>
      <c r="U18" s="31">
        <v>0.75</v>
      </c>
      <c r="V18" s="31">
        <v>0.75</v>
      </c>
      <c r="W18" s="31">
        <v>0.75</v>
      </c>
      <c r="X18" s="31">
        <v>0.75</v>
      </c>
      <c r="Y18" s="31">
        <v>0.75</v>
      </c>
      <c r="Z18" s="31">
        <v>0.75</v>
      </c>
      <c r="AA18" s="31">
        <v>0.75</v>
      </c>
      <c r="AB18" s="31">
        <v>0.75</v>
      </c>
      <c r="AC18" s="31">
        <v>0.75</v>
      </c>
      <c r="AD18" s="31">
        <v>0.75</v>
      </c>
      <c r="AE18" s="31">
        <v>0.75</v>
      </c>
      <c r="AF18" s="31">
        <f>AVERAGE(0.75,1/3)</f>
      </c>
      <c r="AG18" s="31">
        <v>0.875</v>
      </c>
      <c r="AH18" s="31">
        <v>0.875</v>
      </c>
      <c r="AI18" s="3"/>
      <c r="AJ18" s="31">
        <v>0.75</v>
      </c>
    </row>
    <row x14ac:dyDescent="0.25" r="19" customHeight="1" ht="18.75">
      <c r="A19" s="3"/>
      <c r="B19" s="138" t="s">
        <v>754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49"/>
      <c r="AE19" s="149"/>
      <c r="AF19" s="149"/>
      <c r="AG19" s="149"/>
      <c r="AH19" s="2"/>
      <c r="AI19" s="3"/>
      <c r="AJ19" s="138" t="s">
        <v>755</v>
      </c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49"/>
      <c r="AE20" s="149"/>
      <c r="AF20" s="149"/>
      <c r="AG20" s="149"/>
      <c r="AH20" s="2"/>
      <c r="AI20" s="3"/>
      <c r="AJ20" s="2"/>
    </row>
    <row x14ac:dyDescent="0.25" r="21" customHeight="1" ht="18.75">
      <c r="A21" s="30" t="s">
        <v>756</v>
      </c>
      <c r="B21" s="40" t="s">
        <v>757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49"/>
      <c r="AE21" s="149"/>
      <c r="AF21" s="149"/>
      <c r="AG21" s="149"/>
      <c r="AH21" s="2"/>
      <c r="AI21" s="3"/>
      <c r="AJ21" s="2"/>
    </row>
    <row x14ac:dyDescent="0.25" r="22" customHeight="1" ht="18.75">
      <c r="A22" s="30" t="s">
        <v>758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49"/>
      <c r="AE22" s="149"/>
      <c r="AF22" s="149"/>
      <c r="AG22" s="149"/>
      <c r="AH22" s="2"/>
      <c r="AI22" s="3"/>
      <c r="AJ22" s="2"/>
    </row>
    <row x14ac:dyDescent="0.25" r="23" customHeight="1" ht="18.7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49"/>
      <c r="AE23" s="149"/>
      <c r="AF23" s="149"/>
      <c r="AG23" s="149"/>
      <c r="AH23" s="2"/>
      <c r="AI23" s="3"/>
      <c r="AJ23" s="2"/>
    </row>
    <row x14ac:dyDescent="0.25" r="24" customHeight="1" ht="18.7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50"/>
      <c r="AE24" s="150"/>
      <c r="AF24" s="150"/>
      <c r="AG24" s="150"/>
      <c r="AH24" s="2"/>
      <c r="AI24" s="3"/>
      <c r="AJ24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K37"/>
  <sheetViews>
    <sheetView workbookViewId="0"/>
  </sheetViews>
  <sheetFormatPr defaultRowHeight="15" x14ac:dyDescent="0.25"/>
  <cols>
    <col min="1" max="1" style="44" width="26.71928571428571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4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  <col min="48" max="48" style="43" width="13.576428571428572" customWidth="1" bestFit="1"/>
    <col min="49" max="49" style="44" width="13.576428571428572" customWidth="1" bestFit="1"/>
    <col min="50" max="50" style="44" width="13.576428571428572" customWidth="1" bestFit="1"/>
    <col min="51" max="51" style="44" width="13.576428571428572" customWidth="1" bestFit="1"/>
    <col min="52" max="52" style="44" width="13.576428571428572" customWidth="1" bestFit="1"/>
    <col min="53" max="53" style="44" width="13.576428571428572" customWidth="1" bestFit="1"/>
    <col min="54" max="54" style="44" width="13.576428571428572" customWidth="1" bestFit="1"/>
    <col min="55" max="55" style="44" width="13.576428571428572" customWidth="1" bestFit="1"/>
    <col min="56" max="56" style="43" width="13.576428571428572" customWidth="1" bestFit="1"/>
    <col min="57" max="57" style="44" width="13.576428571428572" customWidth="1" bestFit="1"/>
    <col min="58" max="58" style="44" width="13.576428571428572" customWidth="1" bestFit="1"/>
    <col min="59" max="59" style="44" width="13.576428571428572" customWidth="1" bestFit="1"/>
    <col min="60" max="60" style="44" width="13.576428571428572" customWidth="1" bestFit="1"/>
    <col min="61" max="61" style="44" width="13.576428571428572" customWidth="1" bestFit="1"/>
    <col min="62" max="62" style="44" width="13.576428571428572" customWidth="1" bestFit="1"/>
    <col min="63" max="63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714</v>
      </c>
      <c r="J1" s="2"/>
      <c r="K1" s="3"/>
      <c r="L1" s="3"/>
      <c r="M1" s="3"/>
      <c r="N1" s="2"/>
      <c r="O1" s="2"/>
      <c r="P1" s="2"/>
      <c r="Q1" s="2"/>
      <c r="R1" s="2"/>
      <c r="S1" s="2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3"/>
      <c r="AY1" s="3"/>
      <c r="AZ1" s="3"/>
      <c r="BA1" s="3"/>
      <c r="BB1" s="3"/>
      <c r="BC1" s="3"/>
      <c r="BD1" s="2"/>
      <c r="BE1" s="3"/>
      <c r="BF1" s="3"/>
      <c r="BG1" s="3"/>
      <c r="BH1" s="3"/>
      <c r="BI1" s="3"/>
      <c r="BJ1" s="3"/>
      <c r="BK1" s="2"/>
    </row>
    <row x14ac:dyDescent="0.25" r="2" customHeight="1" ht="18.75">
      <c r="A2" s="3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/>
      <c r="AX2" s="3"/>
      <c r="AY2" s="3"/>
      <c r="AZ2" s="3"/>
      <c r="BA2" s="3"/>
      <c r="BB2" s="3"/>
      <c r="BC2" s="3"/>
      <c r="BD2" s="2"/>
      <c r="BE2" s="3"/>
      <c r="BF2" s="3"/>
      <c r="BG2" s="3"/>
      <c r="BH2" s="3"/>
      <c r="BI2" s="3"/>
      <c r="BJ2" s="3"/>
      <c r="BK2" s="2"/>
    </row>
    <row x14ac:dyDescent="0.25" r="3" customHeight="1" ht="18.75">
      <c r="A3" s="1" t="s">
        <v>2</v>
      </c>
      <c r="B3" s="5">
        <v>73</v>
      </c>
      <c r="C3" s="7"/>
      <c r="D3" s="7"/>
      <c r="E3" s="45"/>
      <c r="F3" s="90" t="s">
        <v>3</v>
      </c>
      <c r="G3" s="90"/>
      <c r="H3" s="90"/>
      <c r="I3" s="90"/>
      <c r="J3" s="90"/>
      <c r="K3" s="89"/>
      <c r="L3" s="89"/>
      <c r="M3" s="89"/>
      <c r="N3" s="90"/>
      <c r="O3" s="90"/>
      <c r="P3" s="2"/>
      <c r="Q3" s="2"/>
      <c r="R3" s="2"/>
      <c r="S3" s="2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3"/>
      <c r="AX3" s="3"/>
      <c r="AY3" s="3"/>
      <c r="AZ3" s="3"/>
      <c r="BA3" s="3"/>
      <c r="BB3" s="3"/>
      <c r="BC3" s="3"/>
      <c r="BD3" s="2"/>
      <c r="BE3" s="3"/>
      <c r="BF3" s="3"/>
      <c r="BG3" s="3"/>
      <c r="BH3" s="3"/>
      <c r="BI3" s="3"/>
      <c r="BJ3" s="3"/>
      <c r="BK3" s="2"/>
    </row>
    <row x14ac:dyDescent="0.25" r="4" customHeight="1" ht="18.75">
      <c r="A4" s="1" t="s">
        <v>4</v>
      </c>
      <c r="B4" s="7" t="s">
        <v>715</v>
      </c>
      <c r="C4" s="7"/>
      <c r="D4" s="7"/>
      <c r="E4" s="2"/>
      <c r="F4" s="124" t="s">
        <v>734</v>
      </c>
      <c r="G4" s="92"/>
      <c r="H4" s="92"/>
      <c r="I4" s="92"/>
      <c r="J4" s="92"/>
      <c r="K4" s="93"/>
      <c r="L4" s="93"/>
      <c r="M4" s="93"/>
      <c r="N4" s="92"/>
      <c r="O4" s="125"/>
      <c r="P4" s="2"/>
      <c r="Q4" s="2"/>
      <c r="R4" s="2"/>
      <c r="S4" s="2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3"/>
      <c r="AX4" s="3"/>
      <c r="AY4" s="3"/>
      <c r="AZ4" s="3"/>
      <c r="BA4" s="3"/>
      <c r="BB4" s="3"/>
      <c r="BC4" s="3"/>
      <c r="BD4" s="2"/>
      <c r="BE4" s="3"/>
      <c r="BF4" s="3"/>
      <c r="BG4" s="3"/>
      <c r="BH4" s="3"/>
      <c r="BI4" s="3"/>
      <c r="BJ4" s="3"/>
      <c r="BK4" s="2"/>
    </row>
    <row x14ac:dyDescent="0.25" r="5" customHeight="1" ht="18.75">
      <c r="A5" s="1" t="s">
        <v>7</v>
      </c>
      <c r="B5" s="7" t="s">
        <v>570</v>
      </c>
      <c r="C5" s="7"/>
      <c r="D5" s="7"/>
      <c r="E5" s="2"/>
      <c r="F5" s="126"/>
      <c r="G5" s="96"/>
      <c r="H5" s="96"/>
      <c r="I5" s="96"/>
      <c r="J5" s="96"/>
      <c r="K5" s="97"/>
      <c r="L5" s="97"/>
      <c r="M5" s="97"/>
      <c r="N5" s="96"/>
      <c r="O5" s="127"/>
      <c r="P5" s="2"/>
      <c r="Q5" s="2"/>
      <c r="R5" s="2"/>
      <c r="S5" s="2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3"/>
      <c r="AX5" s="3"/>
      <c r="AY5" s="3"/>
      <c r="AZ5" s="3"/>
      <c r="BA5" s="3"/>
      <c r="BB5" s="3"/>
      <c r="BC5" s="3"/>
      <c r="BD5" s="2"/>
      <c r="BE5" s="3"/>
      <c r="BF5" s="3"/>
      <c r="BG5" s="3"/>
      <c r="BH5" s="3"/>
      <c r="BI5" s="3"/>
      <c r="BJ5" s="3"/>
      <c r="BK5" s="2"/>
    </row>
    <row x14ac:dyDescent="0.25" r="6" customHeight="1" ht="18.75">
      <c r="A6" s="3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2"/>
      <c r="O6" s="2"/>
      <c r="P6" s="2"/>
      <c r="Q6" s="2"/>
      <c r="R6" s="2"/>
      <c r="S6" s="2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3"/>
      <c r="AX6" s="3"/>
      <c r="AY6" s="3"/>
      <c r="AZ6" s="3"/>
      <c r="BA6" s="3"/>
      <c r="BB6" s="3"/>
      <c r="BC6" s="3"/>
      <c r="BD6" s="2"/>
      <c r="BE6" s="3"/>
      <c r="BF6" s="3"/>
      <c r="BG6" s="3"/>
      <c r="BH6" s="3"/>
      <c r="BI6" s="3"/>
      <c r="BJ6" s="3"/>
      <c r="BK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17" t="s">
        <v>19</v>
      </c>
      <c r="L7" s="17" t="s">
        <v>20</v>
      </c>
      <c r="M7" s="17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22" t="s">
        <v>28</v>
      </c>
      <c r="U7" s="22" t="s">
        <v>29</v>
      </c>
      <c r="V7" s="23" t="s">
        <v>30</v>
      </c>
      <c r="W7" s="23" t="s">
        <v>31</v>
      </c>
      <c r="X7" s="24" t="s">
        <v>32</v>
      </c>
      <c r="Y7" s="24" t="s">
        <v>33</v>
      </c>
      <c r="Z7" s="25" t="s">
        <v>34</v>
      </c>
      <c r="AA7" s="55" t="s">
        <v>35</v>
      </c>
      <c r="AB7" s="26" t="s">
        <v>36</v>
      </c>
      <c r="AC7" s="26" t="s">
        <v>37</v>
      </c>
      <c r="AD7" s="26" t="s">
        <v>38</v>
      </c>
      <c r="AE7" s="27" t="s">
        <v>39</v>
      </c>
      <c r="AF7" s="28" t="s">
        <v>40</v>
      </c>
      <c r="AG7" s="29" t="s">
        <v>41</v>
      </c>
      <c r="AH7" s="56" t="s">
        <v>42</v>
      </c>
      <c r="AI7" s="3"/>
      <c r="AJ7" s="49" t="s">
        <v>11</v>
      </c>
      <c r="AK7" s="49" t="s">
        <v>12</v>
      </c>
      <c r="AL7" s="50" t="s">
        <v>13</v>
      </c>
      <c r="AM7" s="51" t="s">
        <v>14</v>
      </c>
      <c r="AN7" s="52" t="s">
        <v>15</v>
      </c>
      <c r="AO7" s="52" t="s">
        <v>16</v>
      </c>
      <c r="AP7" s="52" t="s">
        <v>17</v>
      </c>
      <c r="AQ7" s="166" t="s">
        <v>18</v>
      </c>
      <c r="AR7" s="53" t="s">
        <v>19</v>
      </c>
      <c r="AS7" s="53" t="s">
        <v>20</v>
      </c>
      <c r="AT7" s="53" t="s">
        <v>21</v>
      </c>
      <c r="AU7" s="136" t="s">
        <v>22</v>
      </c>
      <c r="AV7" s="136" t="s">
        <v>23</v>
      </c>
      <c r="AW7" s="22" t="s">
        <v>28</v>
      </c>
      <c r="AX7" s="22" t="s">
        <v>29</v>
      </c>
      <c r="AY7" s="23" t="s">
        <v>30</v>
      </c>
      <c r="AZ7" s="23" t="s">
        <v>31</v>
      </c>
      <c r="BA7" s="24" t="s">
        <v>32</v>
      </c>
      <c r="BB7" s="24" t="s">
        <v>33</v>
      </c>
      <c r="BC7" s="25" t="s">
        <v>34</v>
      </c>
      <c r="BD7" s="55" t="s">
        <v>35</v>
      </c>
      <c r="BE7" s="26" t="s">
        <v>36</v>
      </c>
      <c r="BF7" s="26" t="s">
        <v>37</v>
      </c>
      <c r="BG7" s="26" t="s">
        <v>38</v>
      </c>
      <c r="BH7" s="27" t="s">
        <v>39</v>
      </c>
      <c r="BI7" s="28" t="s">
        <v>40</v>
      </c>
      <c r="BJ7" s="29" t="s">
        <v>41</v>
      </c>
      <c r="BK7" s="56" t="s">
        <v>42</v>
      </c>
    </row>
    <row x14ac:dyDescent="0.25" r="8" customHeight="1" ht="15.75">
      <c r="A8" s="30" t="s">
        <v>43</v>
      </c>
      <c r="B8" s="31" t="s">
        <v>44</v>
      </c>
      <c r="C8" s="31" t="s">
        <v>367</v>
      </c>
      <c r="D8" s="31" t="s">
        <v>367</v>
      </c>
      <c r="E8" s="31" t="s">
        <v>367</v>
      </c>
      <c r="F8" s="143" t="s">
        <v>358</v>
      </c>
      <c r="G8" s="143" t="s">
        <v>358</v>
      </c>
      <c r="H8" s="143" t="s">
        <v>358</v>
      </c>
      <c r="I8" s="143" t="s">
        <v>358</v>
      </c>
      <c r="J8" s="31" t="s">
        <v>367</v>
      </c>
      <c r="K8" s="175"/>
      <c r="L8" s="175"/>
      <c r="M8" s="175"/>
      <c r="N8" s="31" t="s">
        <v>68</v>
      </c>
      <c r="O8" s="31" t="s">
        <v>68</v>
      </c>
      <c r="P8" s="31" t="s">
        <v>367</v>
      </c>
      <c r="Q8" s="31" t="s">
        <v>367</v>
      </c>
      <c r="R8" s="31" t="s">
        <v>367</v>
      </c>
      <c r="S8" s="31" t="s">
        <v>367</v>
      </c>
      <c r="T8" s="175"/>
      <c r="U8" s="32"/>
      <c r="V8" s="32"/>
      <c r="W8" s="32"/>
      <c r="X8" s="32"/>
      <c r="Y8" s="32"/>
      <c r="Z8" s="32"/>
      <c r="AA8" s="31" t="s">
        <v>517</v>
      </c>
      <c r="AB8" s="32"/>
      <c r="AC8" s="32"/>
      <c r="AD8" s="32"/>
      <c r="AE8" s="32"/>
      <c r="AF8" s="32"/>
      <c r="AG8" s="32"/>
      <c r="AH8" s="31" t="s">
        <v>358</v>
      </c>
      <c r="AI8" s="3"/>
      <c r="AJ8" s="31" t="s">
        <v>132</v>
      </c>
      <c r="AK8" s="31" t="s">
        <v>132</v>
      </c>
      <c r="AL8" s="31" t="s">
        <v>220</v>
      </c>
      <c r="AM8" s="31" t="s">
        <v>514</v>
      </c>
      <c r="AN8" s="31" t="s">
        <v>515</v>
      </c>
      <c r="AO8" s="31" t="s">
        <v>515</v>
      </c>
      <c r="AP8" s="31" t="s">
        <v>515</v>
      </c>
      <c r="AQ8" s="31" t="s">
        <v>515</v>
      </c>
      <c r="AR8" s="31" t="s">
        <v>132</v>
      </c>
      <c r="AS8" s="31" t="s">
        <v>132</v>
      </c>
      <c r="AT8" s="31" t="s">
        <v>132</v>
      </c>
      <c r="AU8" s="31" t="s">
        <v>516</v>
      </c>
      <c r="AV8" s="31" t="s">
        <v>516</v>
      </c>
      <c r="AW8" s="32"/>
      <c r="AX8" s="32"/>
      <c r="AY8" s="32"/>
      <c r="AZ8" s="32"/>
      <c r="BA8" s="32"/>
      <c r="BB8" s="32"/>
      <c r="BC8" s="32"/>
      <c r="BD8" s="31" t="s">
        <v>735</v>
      </c>
      <c r="BE8" s="32"/>
      <c r="BF8" s="32"/>
      <c r="BG8" s="32"/>
      <c r="BH8" s="32"/>
      <c r="BI8" s="32"/>
      <c r="BJ8" s="32"/>
      <c r="BK8" s="31" t="s">
        <v>132</v>
      </c>
    </row>
    <row x14ac:dyDescent="0.25" r="9" customHeight="1" ht="15.75">
      <c r="A9" s="30" t="s">
        <v>45</v>
      </c>
      <c r="B9" s="31" t="s">
        <v>717</v>
      </c>
      <c r="C9" s="31" t="s">
        <v>368</v>
      </c>
      <c r="D9" s="31" t="s">
        <v>368</v>
      </c>
      <c r="E9" s="31" t="s">
        <v>368</v>
      </c>
      <c r="F9" s="143" t="s">
        <v>358</v>
      </c>
      <c r="G9" s="143" t="s">
        <v>358</v>
      </c>
      <c r="H9" s="143" t="s">
        <v>358</v>
      </c>
      <c r="I9" s="143" t="s">
        <v>358</v>
      </c>
      <c r="J9" s="31" t="s">
        <v>368</v>
      </c>
      <c r="K9" s="175"/>
      <c r="L9" s="175"/>
      <c r="M9" s="175"/>
      <c r="N9" s="31" t="s">
        <v>132</v>
      </c>
      <c r="O9" s="31" t="s">
        <v>132</v>
      </c>
      <c r="P9" s="31" t="s">
        <v>368</v>
      </c>
      <c r="Q9" s="31" t="s">
        <v>368</v>
      </c>
      <c r="R9" s="31" t="s">
        <v>368</v>
      </c>
      <c r="S9" s="31" t="s">
        <v>368</v>
      </c>
      <c r="T9" s="175"/>
      <c r="U9" s="32"/>
      <c r="V9" s="32"/>
      <c r="W9" s="32"/>
      <c r="X9" s="32"/>
      <c r="Y9" s="32"/>
      <c r="Z9" s="32"/>
      <c r="AA9" s="31" t="s">
        <v>273</v>
      </c>
      <c r="AB9" s="32"/>
      <c r="AC9" s="32"/>
      <c r="AD9" s="32"/>
      <c r="AE9" s="32"/>
      <c r="AF9" s="32"/>
      <c r="AG9" s="32"/>
      <c r="AH9" s="31" t="s">
        <v>358</v>
      </c>
      <c r="AI9" s="3"/>
      <c r="AJ9" s="31" t="s">
        <v>271</v>
      </c>
      <c r="AK9" s="31" t="s">
        <v>271</v>
      </c>
      <c r="AL9" s="31" t="s">
        <v>227</v>
      </c>
      <c r="AM9" s="31" t="s">
        <v>518</v>
      </c>
      <c r="AN9" s="31" t="s">
        <v>158</v>
      </c>
      <c r="AO9" s="31" t="s">
        <v>158</v>
      </c>
      <c r="AP9" s="31" t="s">
        <v>158</v>
      </c>
      <c r="AQ9" s="31" t="s">
        <v>158</v>
      </c>
      <c r="AR9" s="31" t="s">
        <v>271</v>
      </c>
      <c r="AS9" s="31" t="s">
        <v>272</v>
      </c>
      <c r="AT9" s="31" t="s">
        <v>271</v>
      </c>
      <c r="AU9" s="119" t="s">
        <v>519</v>
      </c>
      <c r="AV9" s="31" t="s">
        <v>271</v>
      </c>
      <c r="AW9" s="32"/>
      <c r="AX9" s="32"/>
      <c r="AY9" s="32"/>
      <c r="AZ9" s="32"/>
      <c r="BA9" s="32"/>
      <c r="BB9" s="32"/>
      <c r="BC9" s="32"/>
      <c r="BD9" s="31" t="s">
        <v>272</v>
      </c>
      <c r="BE9" s="32"/>
      <c r="BF9" s="32"/>
      <c r="BG9" s="32"/>
      <c r="BH9" s="32"/>
      <c r="BI9" s="32"/>
      <c r="BJ9" s="32"/>
      <c r="BK9" s="31" t="s">
        <v>271</v>
      </c>
    </row>
    <row x14ac:dyDescent="0.25" r="10" customHeight="1" ht="18.75">
      <c r="A10" s="35" t="s">
        <v>47</v>
      </c>
      <c r="B10" s="117">
        <v>251</v>
      </c>
      <c r="C10" s="117">
        <v>151</v>
      </c>
      <c r="D10" s="117">
        <v>151</v>
      </c>
      <c r="E10" s="117">
        <v>151</v>
      </c>
      <c r="F10" s="144"/>
      <c r="G10" s="144"/>
      <c r="H10" s="144"/>
      <c r="I10" s="144"/>
      <c r="J10" s="117">
        <v>151</v>
      </c>
      <c r="K10" s="176"/>
      <c r="L10" s="176"/>
      <c r="M10" s="176"/>
      <c r="N10" s="117">
        <v>98</v>
      </c>
      <c r="O10" s="117">
        <v>98</v>
      </c>
      <c r="P10" s="117">
        <v>151</v>
      </c>
      <c r="Q10" s="117">
        <v>151</v>
      </c>
      <c r="R10" s="117">
        <v>151</v>
      </c>
      <c r="S10" s="117">
        <v>151</v>
      </c>
      <c r="T10" s="176"/>
      <c r="U10" s="37"/>
      <c r="V10" s="37"/>
      <c r="W10" s="37"/>
      <c r="X10" s="37"/>
      <c r="Y10" s="37"/>
      <c r="Z10" s="37"/>
      <c r="AA10" s="117">
        <v>187</v>
      </c>
      <c r="AB10" s="37"/>
      <c r="AC10" s="37"/>
      <c r="AD10" s="37"/>
      <c r="AE10" s="37"/>
      <c r="AF10" s="37"/>
      <c r="AG10" s="37"/>
      <c r="AH10" s="36" t="s">
        <v>358</v>
      </c>
      <c r="AI10" s="3"/>
      <c r="AJ10" s="117">
        <v>57</v>
      </c>
      <c r="AK10" s="117">
        <v>57</v>
      </c>
      <c r="AL10" s="117">
        <v>56</v>
      </c>
      <c r="AM10" s="117">
        <v>193</v>
      </c>
      <c r="AN10" s="117">
        <v>61</v>
      </c>
      <c r="AO10" s="117">
        <v>61</v>
      </c>
      <c r="AP10" s="117">
        <v>61</v>
      </c>
      <c r="AQ10" s="117">
        <v>61</v>
      </c>
      <c r="AR10" s="117">
        <v>57</v>
      </c>
      <c r="AS10" s="117">
        <v>35</v>
      </c>
      <c r="AT10" s="117">
        <v>57</v>
      </c>
      <c r="AU10" s="117">
        <v>194</v>
      </c>
      <c r="AV10" s="117">
        <v>57</v>
      </c>
      <c r="AW10" s="37"/>
      <c r="AX10" s="37"/>
      <c r="AY10" s="37"/>
      <c r="AZ10" s="37"/>
      <c r="BA10" s="37"/>
      <c r="BB10" s="37"/>
      <c r="BC10" s="37"/>
      <c r="BD10" s="196">
        <v>35</v>
      </c>
      <c r="BE10" s="37"/>
      <c r="BF10" s="37"/>
      <c r="BG10" s="37"/>
      <c r="BH10" s="37"/>
      <c r="BI10" s="37"/>
      <c r="BJ10" s="37"/>
      <c r="BK10" s="196">
        <v>57</v>
      </c>
    </row>
    <row x14ac:dyDescent="0.25" r="11" customHeight="1" ht="18.75">
      <c r="A11" s="30" t="s">
        <v>123</v>
      </c>
      <c r="B11" s="31" t="s">
        <v>52</v>
      </c>
      <c r="C11" s="31" t="s">
        <v>162</v>
      </c>
      <c r="D11" s="31" t="s">
        <v>162</v>
      </c>
      <c r="E11" s="31" t="s">
        <v>162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31" t="s">
        <v>162</v>
      </c>
      <c r="K11" s="175"/>
      <c r="L11" s="175"/>
      <c r="M11" s="175"/>
      <c r="N11" s="31" t="s">
        <v>52</v>
      </c>
      <c r="O11" s="31" t="s">
        <v>52</v>
      </c>
      <c r="P11" s="31" t="s">
        <v>162</v>
      </c>
      <c r="Q11" s="31" t="s">
        <v>162</v>
      </c>
      <c r="R11" s="31" t="s">
        <v>162</v>
      </c>
      <c r="S11" s="31" t="s">
        <v>162</v>
      </c>
      <c r="T11" s="175"/>
      <c r="U11" s="32"/>
      <c r="V11" s="32"/>
      <c r="W11" s="32"/>
      <c r="X11" s="32"/>
      <c r="Y11" s="32"/>
      <c r="Z11" s="32"/>
      <c r="AA11" s="31" t="s">
        <v>52</v>
      </c>
      <c r="AB11" s="32"/>
      <c r="AC11" s="32"/>
      <c r="AD11" s="32"/>
      <c r="AE11" s="32"/>
      <c r="AF11" s="32"/>
      <c r="AG11" s="32"/>
      <c r="AH11" s="31" t="s">
        <v>49</v>
      </c>
      <c r="AI11" s="3"/>
      <c r="AJ11" s="33" t="s">
        <v>52</v>
      </c>
      <c r="AK11" s="33" t="s">
        <v>52</v>
      </c>
      <c r="AL11" s="33" t="s">
        <v>52</v>
      </c>
      <c r="AM11" s="33" t="s">
        <v>52</v>
      </c>
      <c r="AN11" s="33" t="s">
        <v>52</v>
      </c>
      <c r="AO11" s="33" t="s">
        <v>52</v>
      </c>
      <c r="AP11" s="33" t="s">
        <v>52</v>
      </c>
      <c r="AQ11" s="33" t="s">
        <v>52</v>
      </c>
      <c r="AR11" s="33" t="s">
        <v>52</v>
      </c>
      <c r="AS11" s="33" t="s">
        <v>52</v>
      </c>
      <c r="AT11" s="33" t="s">
        <v>52</v>
      </c>
      <c r="AU11" s="33" t="s">
        <v>52</v>
      </c>
      <c r="AV11" s="33" t="s">
        <v>52</v>
      </c>
      <c r="AW11" s="34"/>
      <c r="AX11" s="34"/>
      <c r="AY11" s="32"/>
      <c r="AZ11" s="32"/>
      <c r="BA11" s="32"/>
      <c r="BB11" s="32"/>
      <c r="BC11" s="32"/>
      <c r="BD11" s="31" t="s">
        <v>52</v>
      </c>
      <c r="BE11" s="32"/>
      <c r="BF11" s="32"/>
      <c r="BG11" s="32"/>
      <c r="BH11" s="32"/>
      <c r="BI11" s="32"/>
      <c r="BJ11" s="32"/>
      <c r="BK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162</v>
      </c>
      <c r="D12" s="31" t="s">
        <v>162</v>
      </c>
      <c r="E12" s="31" t="s">
        <v>162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31" t="s">
        <v>162</v>
      </c>
      <c r="K12" s="175"/>
      <c r="L12" s="175"/>
      <c r="M12" s="175"/>
      <c r="N12" s="31" t="s">
        <v>52</v>
      </c>
      <c r="O12" s="31" t="s">
        <v>52</v>
      </c>
      <c r="P12" s="31" t="s">
        <v>162</v>
      </c>
      <c r="Q12" s="31" t="s">
        <v>162</v>
      </c>
      <c r="R12" s="31" t="s">
        <v>162</v>
      </c>
      <c r="S12" s="31" t="s">
        <v>162</v>
      </c>
      <c r="T12" s="175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  <c r="AI12" s="3"/>
      <c r="AJ12" s="31" t="s">
        <v>52</v>
      </c>
      <c r="AK12" s="31" t="s">
        <v>52</v>
      </c>
      <c r="AL12" s="33" t="s">
        <v>49</v>
      </c>
      <c r="AM12" s="31" t="s">
        <v>162</v>
      </c>
      <c r="AN12" s="31" t="s">
        <v>52</v>
      </c>
      <c r="AO12" s="31" t="s">
        <v>52</v>
      </c>
      <c r="AP12" s="31" t="s">
        <v>52</v>
      </c>
      <c r="AQ12" s="31" t="s">
        <v>52</v>
      </c>
      <c r="AR12" s="31" t="s">
        <v>52</v>
      </c>
      <c r="AS12" s="31" t="s">
        <v>52</v>
      </c>
      <c r="AT12" s="31" t="s">
        <v>52</v>
      </c>
      <c r="AU12" s="31" t="s">
        <v>52</v>
      </c>
      <c r="AV12" s="31" t="s">
        <v>52</v>
      </c>
      <c r="AW12" s="32"/>
      <c r="AX12" s="32"/>
      <c r="AY12" s="32"/>
      <c r="AZ12" s="32"/>
      <c r="BA12" s="32"/>
      <c r="BB12" s="32"/>
      <c r="BC12" s="32"/>
      <c r="BD12" s="31" t="s">
        <v>52</v>
      </c>
      <c r="BE12" s="32"/>
      <c r="BF12" s="32"/>
      <c r="BG12" s="32"/>
      <c r="BH12" s="32"/>
      <c r="BI12" s="32"/>
      <c r="BJ12" s="32"/>
      <c r="BK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31" t="s">
        <v>49</v>
      </c>
      <c r="K13" s="175"/>
      <c r="L13" s="175"/>
      <c r="M13" s="175"/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175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31" t="s">
        <v>52</v>
      </c>
      <c r="AK13" s="31" t="s">
        <v>52</v>
      </c>
      <c r="AL13" s="31" t="s">
        <v>52</v>
      </c>
      <c r="AM13" s="31" t="s">
        <v>295</v>
      </c>
      <c r="AN13" s="31" t="s">
        <v>49</v>
      </c>
      <c r="AO13" s="31" t="s">
        <v>49</v>
      </c>
      <c r="AP13" s="31" t="s">
        <v>49</v>
      </c>
      <c r="AQ13" s="31" t="s">
        <v>49</v>
      </c>
      <c r="AR13" s="31" t="s">
        <v>52</v>
      </c>
      <c r="AS13" s="31" t="s">
        <v>52</v>
      </c>
      <c r="AT13" s="31" t="s">
        <v>52</v>
      </c>
      <c r="AU13" s="31" t="s">
        <v>52</v>
      </c>
      <c r="AV13" s="31" t="s">
        <v>52</v>
      </c>
      <c r="AW13" s="32"/>
      <c r="AX13" s="32"/>
      <c r="AY13" s="32"/>
      <c r="AZ13" s="32"/>
      <c r="BA13" s="32"/>
      <c r="BB13" s="32"/>
      <c r="BC13" s="32"/>
      <c r="BD13" s="31" t="s">
        <v>52</v>
      </c>
      <c r="BE13" s="32"/>
      <c r="BF13" s="32"/>
      <c r="BG13" s="32"/>
      <c r="BH13" s="32"/>
      <c r="BI13" s="32"/>
      <c r="BJ13" s="32"/>
      <c r="BK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175"/>
      <c r="L14" s="175"/>
      <c r="M14" s="175"/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175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  <c r="AR14" s="31" t="s">
        <v>49</v>
      </c>
      <c r="AS14" s="31" t="s">
        <v>49</v>
      </c>
      <c r="AT14" s="31" t="s">
        <v>49</v>
      </c>
      <c r="AU14" s="31" t="s">
        <v>49</v>
      </c>
      <c r="AV14" s="31" t="s">
        <v>49</v>
      </c>
      <c r="AW14" s="32"/>
      <c r="AX14" s="32"/>
      <c r="AY14" s="32"/>
      <c r="AZ14" s="32"/>
      <c r="BA14" s="32"/>
      <c r="BB14" s="32"/>
      <c r="BC14" s="32"/>
      <c r="BD14" s="31" t="s">
        <v>49</v>
      </c>
      <c r="BE14" s="32"/>
      <c r="BF14" s="32"/>
      <c r="BG14" s="32"/>
      <c r="BH14" s="32"/>
      <c r="BI14" s="32"/>
      <c r="BJ14" s="32"/>
      <c r="BK14" s="31" t="s">
        <v>49</v>
      </c>
    </row>
    <row x14ac:dyDescent="0.25" r="15" customHeight="1" ht="18.75">
      <c r="A15" s="30" t="s">
        <v>127</v>
      </c>
      <c r="B15" s="33" t="s">
        <v>133</v>
      </c>
      <c r="C15" s="33" t="s">
        <v>133</v>
      </c>
      <c r="D15" s="33" t="s">
        <v>133</v>
      </c>
      <c r="E15" s="33" t="s">
        <v>133</v>
      </c>
      <c r="F15" s="146" t="s">
        <v>133</v>
      </c>
      <c r="G15" s="146" t="s">
        <v>133</v>
      </c>
      <c r="H15" s="146" t="s">
        <v>133</v>
      </c>
      <c r="I15" s="146" t="s">
        <v>133</v>
      </c>
      <c r="J15" s="33" t="s">
        <v>133</v>
      </c>
      <c r="K15" s="197"/>
      <c r="L15" s="197"/>
      <c r="M15" s="197"/>
      <c r="N15" s="33" t="s">
        <v>133</v>
      </c>
      <c r="O15" s="33" t="s">
        <v>133</v>
      </c>
      <c r="P15" s="33" t="s">
        <v>133</v>
      </c>
      <c r="Q15" s="33" t="s">
        <v>133</v>
      </c>
      <c r="R15" s="33" t="s">
        <v>133</v>
      </c>
      <c r="S15" s="33" t="s">
        <v>133</v>
      </c>
      <c r="T15" s="197"/>
      <c r="U15" s="34"/>
      <c r="V15" s="34"/>
      <c r="W15" s="34"/>
      <c r="X15" s="34"/>
      <c r="Y15" s="34"/>
      <c r="Z15" s="34"/>
      <c r="AA15" s="33" t="s">
        <v>133</v>
      </c>
      <c r="AB15" s="34"/>
      <c r="AC15" s="34"/>
      <c r="AD15" s="34"/>
      <c r="AE15" s="34"/>
      <c r="AF15" s="34"/>
      <c r="AG15" s="34"/>
      <c r="AH15" s="33" t="s">
        <v>133</v>
      </c>
      <c r="AI15" s="3"/>
      <c r="AJ15" s="31" t="s">
        <v>133</v>
      </c>
      <c r="AK15" s="31" t="s">
        <v>133</v>
      </c>
      <c r="AL15" s="31" t="s">
        <v>133</v>
      </c>
      <c r="AM15" s="31" t="s">
        <v>133</v>
      </c>
      <c r="AN15" s="31" t="s">
        <v>133</v>
      </c>
      <c r="AO15" s="31" t="s">
        <v>133</v>
      </c>
      <c r="AP15" s="31" t="s">
        <v>133</v>
      </c>
      <c r="AQ15" s="31" t="s">
        <v>133</v>
      </c>
      <c r="AR15" s="31" t="s">
        <v>133</v>
      </c>
      <c r="AS15" s="31" t="s">
        <v>133</v>
      </c>
      <c r="AT15" s="31" t="s">
        <v>133</v>
      </c>
      <c r="AU15" s="31" t="s">
        <v>520</v>
      </c>
      <c r="AV15" s="31" t="s">
        <v>133</v>
      </c>
      <c r="AW15" s="32"/>
      <c r="AX15" s="32"/>
      <c r="AY15" s="34"/>
      <c r="AZ15" s="34"/>
      <c r="BA15" s="34"/>
      <c r="BB15" s="34"/>
      <c r="BC15" s="34"/>
      <c r="BD15" s="31" t="s">
        <v>133</v>
      </c>
      <c r="BE15" s="34"/>
      <c r="BF15" s="34"/>
      <c r="BG15" s="34"/>
      <c r="BH15" s="34"/>
      <c r="BI15" s="34"/>
      <c r="BJ15" s="34"/>
      <c r="BK15" s="31" t="s">
        <v>133</v>
      </c>
    </row>
    <row x14ac:dyDescent="0.25" r="16" customHeight="1" ht="18.75">
      <c r="A16" s="30" t="s">
        <v>128</v>
      </c>
      <c r="B16" s="31">
        <v>-2</v>
      </c>
      <c r="C16" s="31">
        <v>-2</v>
      </c>
      <c r="D16" s="31">
        <v>-2</v>
      </c>
      <c r="E16" s="31">
        <v>-2</v>
      </c>
      <c r="F16" s="143">
        <v>-2</v>
      </c>
      <c r="G16" s="143">
        <v>-2</v>
      </c>
      <c r="H16" s="143">
        <v>-2</v>
      </c>
      <c r="I16" s="143">
        <v>-2</v>
      </c>
      <c r="J16" s="31">
        <v>-2</v>
      </c>
      <c r="K16" s="177"/>
      <c r="L16" s="177"/>
      <c r="M16" s="177"/>
      <c r="N16" s="31">
        <v>-2</v>
      </c>
      <c r="O16" s="31">
        <v>-2</v>
      </c>
      <c r="P16" s="31">
        <v>-2</v>
      </c>
      <c r="Q16" s="31">
        <v>-2</v>
      </c>
      <c r="R16" s="31">
        <v>-2</v>
      </c>
      <c r="S16" s="31">
        <v>-2</v>
      </c>
      <c r="T16" s="177"/>
      <c r="U16" s="31"/>
      <c r="V16" s="31"/>
      <c r="W16" s="31"/>
      <c r="X16" s="31"/>
      <c r="Y16" s="31"/>
      <c r="Z16" s="31"/>
      <c r="AA16" s="31">
        <v>-0.5</v>
      </c>
      <c r="AB16" s="31"/>
      <c r="AC16" s="31"/>
      <c r="AD16" s="31"/>
      <c r="AE16" s="31"/>
      <c r="AF16" s="31"/>
      <c r="AG16" s="31"/>
      <c r="AH16" s="31">
        <v>-2</v>
      </c>
      <c r="AI16" s="3"/>
      <c r="AJ16" s="31">
        <v>-0.5</v>
      </c>
      <c r="AK16" s="31">
        <v>-0.5</v>
      </c>
      <c r="AL16" s="31">
        <v>-0.5</v>
      </c>
      <c r="AM16" s="31">
        <f>AVERAGE(-2,-0.5)</f>
      </c>
      <c r="AN16" s="31">
        <v>-2</v>
      </c>
      <c r="AO16" s="31">
        <v>-2</v>
      </c>
      <c r="AP16" s="31">
        <v>-2</v>
      </c>
      <c r="AQ16" s="31">
        <v>-2</v>
      </c>
      <c r="AR16" s="31">
        <v>-0.5</v>
      </c>
      <c r="AS16" s="31">
        <v>-0.5</v>
      </c>
      <c r="AT16" s="31">
        <v>-0.5</v>
      </c>
      <c r="AU16" s="31">
        <f>AVERAGE(-0.5,-0.5,0.5)</f>
      </c>
      <c r="AV16" s="31">
        <v>-0.5</v>
      </c>
      <c r="AW16" s="31"/>
      <c r="AX16" s="31"/>
      <c r="AY16" s="31"/>
      <c r="AZ16" s="31"/>
      <c r="BA16" s="31"/>
      <c r="BB16" s="31"/>
      <c r="BC16" s="31"/>
      <c r="BD16" s="31">
        <v>-0.5</v>
      </c>
      <c r="BE16" s="31"/>
      <c r="BF16" s="31"/>
      <c r="BG16" s="31"/>
      <c r="BH16" s="31"/>
      <c r="BI16" s="31"/>
      <c r="BJ16" s="31"/>
      <c r="BK16" s="31">
        <v>-0.5</v>
      </c>
    </row>
    <row x14ac:dyDescent="0.25" r="17" customHeight="1" ht="15.75">
      <c r="A17" s="30" t="s">
        <v>129</v>
      </c>
      <c r="B17" s="31" t="s">
        <v>718</v>
      </c>
      <c r="C17" s="33" t="s">
        <v>369</v>
      </c>
      <c r="D17" s="33" t="s">
        <v>369</v>
      </c>
      <c r="E17" s="33" t="s">
        <v>369</v>
      </c>
      <c r="F17" s="146" t="s">
        <v>358</v>
      </c>
      <c r="G17" s="146" t="s">
        <v>358</v>
      </c>
      <c r="H17" s="146" t="s">
        <v>358</v>
      </c>
      <c r="I17" s="146" t="s">
        <v>358</v>
      </c>
      <c r="J17" s="33" t="s">
        <v>369</v>
      </c>
      <c r="K17" s="197"/>
      <c r="L17" s="197"/>
      <c r="M17" s="197"/>
      <c r="N17" s="31" t="s">
        <v>134</v>
      </c>
      <c r="O17" s="31" t="s">
        <v>134</v>
      </c>
      <c r="P17" s="33" t="s">
        <v>369</v>
      </c>
      <c r="Q17" s="33" t="s">
        <v>369</v>
      </c>
      <c r="R17" s="33" t="s">
        <v>369</v>
      </c>
      <c r="S17" s="33" t="s">
        <v>369</v>
      </c>
      <c r="T17" s="197"/>
      <c r="U17" s="32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32"/>
      <c r="AF17" s="32"/>
      <c r="AG17" s="32"/>
      <c r="AH17" s="33" t="s">
        <v>358</v>
      </c>
      <c r="AI17" s="3"/>
      <c r="AJ17" s="31" t="s">
        <v>169</v>
      </c>
      <c r="AK17" s="31" t="s">
        <v>169</v>
      </c>
      <c r="AL17" s="31" t="s">
        <v>169</v>
      </c>
      <c r="AM17" s="31" t="s">
        <v>169</v>
      </c>
      <c r="AN17" s="31" t="s">
        <v>169</v>
      </c>
      <c r="AO17" s="31" t="s">
        <v>169</v>
      </c>
      <c r="AP17" s="31" t="s">
        <v>169</v>
      </c>
      <c r="AQ17" s="31" t="s">
        <v>169</v>
      </c>
      <c r="AR17" s="31" t="s">
        <v>169</v>
      </c>
      <c r="AS17" s="31" t="s">
        <v>274</v>
      </c>
      <c r="AT17" s="31" t="s">
        <v>169</v>
      </c>
      <c r="AU17" s="31" t="s">
        <v>274</v>
      </c>
      <c r="AV17" s="31" t="s">
        <v>169</v>
      </c>
      <c r="AW17" s="32"/>
      <c r="AX17" s="32"/>
      <c r="AY17" s="32"/>
      <c r="AZ17" s="32"/>
      <c r="BA17" s="32"/>
      <c r="BB17" s="32"/>
      <c r="BC17" s="32"/>
      <c r="BD17" s="31" t="s">
        <v>274</v>
      </c>
      <c r="BE17" s="32"/>
      <c r="BF17" s="32"/>
      <c r="BG17" s="32"/>
      <c r="BH17" s="32"/>
      <c r="BI17" s="32"/>
      <c r="BJ17" s="32"/>
      <c r="BK17" s="31" t="s">
        <v>169</v>
      </c>
    </row>
    <row x14ac:dyDescent="0.25" r="18" customHeight="1" ht="18.75">
      <c r="A18" s="30" t="s">
        <v>130</v>
      </c>
      <c r="B18" s="31">
        <f>1/3*1.25</f>
      </c>
      <c r="C18" s="31">
        <f>AVERAGE(1/3,0)</f>
      </c>
      <c r="D18" s="31">
        <f>AVERAGE(1/3,0)</f>
      </c>
      <c r="E18" s="31">
        <f>AVERAGE(1/3,0)</f>
      </c>
      <c r="F18" s="143">
        <v>0</v>
      </c>
      <c r="G18" s="143">
        <v>0</v>
      </c>
      <c r="H18" s="143">
        <v>0</v>
      </c>
      <c r="I18" s="143">
        <v>0</v>
      </c>
      <c r="J18" s="31">
        <f>AVERAGE(1/3,0)</f>
      </c>
      <c r="K18" s="177"/>
      <c r="L18" s="177"/>
      <c r="M18" s="177"/>
      <c r="N18" s="31">
        <f>1/3</f>
      </c>
      <c r="O18" s="31">
        <f>1/3</f>
      </c>
      <c r="P18" s="31">
        <f>AVERAGE(1/3,0)</f>
      </c>
      <c r="Q18" s="31">
        <f>AVERAGE(1/3,0)</f>
      </c>
      <c r="R18" s="31">
        <f>AVERAGE(1/3,0)</f>
      </c>
      <c r="S18" s="31">
        <f>AVERAGE(1/3,0)</f>
      </c>
      <c r="T18" s="177"/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31"/>
      <c r="AF18" s="31"/>
      <c r="AG18" s="31"/>
      <c r="AH18" s="31">
        <v>0</v>
      </c>
      <c r="AI18" s="3"/>
      <c r="AJ18" s="31">
        <v>2</v>
      </c>
      <c r="AK18" s="31">
        <v>2</v>
      </c>
      <c r="AL18" s="31">
        <v>2</v>
      </c>
      <c r="AM18" s="31">
        <v>2</v>
      </c>
      <c r="AN18" s="31">
        <v>2</v>
      </c>
      <c r="AO18" s="31">
        <v>2</v>
      </c>
      <c r="AP18" s="31">
        <v>2</v>
      </c>
      <c r="AQ18" s="31">
        <v>2</v>
      </c>
      <c r="AR18" s="31">
        <v>2</v>
      </c>
      <c r="AS18" s="31">
        <v>3</v>
      </c>
      <c r="AT18" s="31">
        <v>2</v>
      </c>
      <c r="AU18" s="31">
        <v>3</v>
      </c>
      <c r="AV18" s="31">
        <v>2</v>
      </c>
      <c r="AW18" s="31"/>
      <c r="AX18" s="31"/>
      <c r="AY18" s="31"/>
      <c r="AZ18" s="31"/>
      <c r="BA18" s="31"/>
      <c r="BB18" s="31"/>
      <c r="BC18" s="31"/>
      <c r="BD18" s="31">
        <v>3</v>
      </c>
      <c r="BE18" s="31"/>
      <c r="BF18" s="31"/>
      <c r="BG18" s="31"/>
      <c r="BH18" s="31"/>
      <c r="BI18" s="31"/>
      <c r="BJ18" s="31"/>
      <c r="BK18" s="31">
        <v>2</v>
      </c>
    </row>
    <row x14ac:dyDescent="0.25" r="19" customHeight="1" ht="15.75">
      <c r="A19" s="3"/>
      <c r="B19" s="2"/>
      <c r="C19" s="198" t="s">
        <v>736</v>
      </c>
      <c r="D19" s="2"/>
      <c r="E19" s="2"/>
      <c r="F19" s="2"/>
      <c r="G19" s="2"/>
      <c r="H19" s="2"/>
      <c r="I19" s="2"/>
      <c r="J19" s="2"/>
      <c r="K19" s="3"/>
      <c r="L19" s="3"/>
      <c r="M19" s="3"/>
      <c r="N19" s="2"/>
      <c r="O19" s="2"/>
      <c r="P19" s="2"/>
      <c r="Q19" s="2"/>
      <c r="R19" s="2"/>
      <c r="S19" s="2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  <c r="AI19" s="3"/>
      <c r="AJ19" s="198" t="s">
        <v>737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3"/>
      <c r="AX19" s="3"/>
      <c r="AY19" s="3"/>
      <c r="AZ19" s="3"/>
      <c r="BA19" s="3"/>
      <c r="BB19" s="3"/>
      <c r="BC19" s="3"/>
      <c r="BD19" s="2"/>
      <c r="BE19" s="3"/>
      <c r="BF19" s="3"/>
      <c r="BG19" s="3"/>
      <c r="BH19" s="3"/>
      <c r="BI19" s="3"/>
      <c r="BJ19" s="3"/>
      <c r="BK19" s="2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3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3"/>
      <c r="AX20" s="3"/>
      <c r="AY20" s="3"/>
      <c r="AZ20" s="3"/>
      <c r="BA20" s="3"/>
      <c r="BB20" s="3"/>
      <c r="BC20" s="3"/>
      <c r="BD20" s="2"/>
      <c r="BE20" s="3"/>
      <c r="BF20" s="3"/>
      <c r="BG20" s="3"/>
      <c r="BH20" s="3"/>
      <c r="BI20" s="3"/>
      <c r="BJ20" s="3"/>
      <c r="BK20" s="2"/>
    </row>
    <row x14ac:dyDescent="0.25" r="21" customHeight="1" ht="35.25">
      <c r="A21" s="192" t="s">
        <v>738</v>
      </c>
      <c r="B21" s="40"/>
      <c r="C21" s="2"/>
      <c r="D21" s="2"/>
      <c r="E21" s="2"/>
      <c r="F21" s="2"/>
      <c r="G21" s="2"/>
      <c r="H21" s="2"/>
      <c r="I21" s="2"/>
      <c r="J21" s="2"/>
      <c r="K21" s="3"/>
      <c r="L21" s="3"/>
      <c r="M21" s="3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3"/>
      <c r="AX21" s="3"/>
      <c r="AY21" s="3"/>
      <c r="AZ21" s="3"/>
      <c r="BA21" s="3"/>
      <c r="BB21" s="3"/>
      <c r="BC21" s="3"/>
      <c r="BD21" s="2"/>
      <c r="BE21" s="3"/>
      <c r="BF21" s="3"/>
      <c r="BG21" s="3"/>
      <c r="BH21" s="3"/>
      <c r="BI21" s="3"/>
      <c r="BJ21" s="3"/>
      <c r="BK21" s="2"/>
    </row>
    <row x14ac:dyDescent="0.25" r="22" customHeight="1" ht="35.25">
      <c r="A22" s="192" t="s">
        <v>739</v>
      </c>
      <c r="B22" s="40"/>
      <c r="C22" s="2"/>
      <c r="D22" s="2"/>
      <c r="E22" s="2"/>
      <c r="F22" s="2"/>
      <c r="G22" s="2"/>
      <c r="H22" s="2"/>
      <c r="I22" s="2"/>
      <c r="J22" s="2"/>
      <c r="K22" s="3"/>
      <c r="L22" s="3"/>
      <c r="M22" s="3"/>
      <c r="N22" s="2"/>
      <c r="O22" s="2"/>
      <c r="P22" s="2"/>
      <c r="Q22" s="2"/>
      <c r="R22" s="2"/>
      <c r="S22" s="2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3"/>
      <c r="AX22" s="3"/>
      <c r="AY22" s="3"/>
      <c r="AZ22" s="3"/>
      <c r="BA22" s="3"/>
      <c r="BB22" s="3"/>
      <c r="BC22" s="3"/>
      <c r="BD22" s="2"/>
      <c r="BE22" s="3"/>
      <c r="BF22" s="3"/>
      <c r="BG22" s="3"/>
      <c r="BH22" s="3"/>
      <c r="BI22" s="3"/>
      <c r="BJ22" s="3"/>
      <c r="BK22" s="2"/>
    </row>
    <row x14ac:dyDescent="0.25" r="23" customHeight="1" ht="18.75">
      <c r="A23" s="123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  <c r="M23" s="3"/>
      <c r="N23" s="2"/>
      <c r="O23" s="2"/>
      <c r="P23" s="2"/>
      <c r="Q23" s="2"/>
      <c r="R23" s="2"/>
      <c r="S23" s="2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3"/>
      <c r="AH23" s="2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3"/>
      <c r="AX23" s="3"/>
      <c r="AY23" s="3"/>
      <c r="AZ23" s="3"/>
      <c r="BA23" s="3"/>
      <c r="BB23" s="3"/>
      <c r="BC23" s="3"/>
      <c r="BD23" s="2"/>
      <c r="BE23" s="3"/>
      <c r="BF23" s="3"/>
      <c r="BG23" s="3"/>
      <c r="BH23" s="3"/>
      <c r="BI23" s="3"/>
      <c r="BJ23" s="3"/>
      <c r="BK23" s="2"/>
    </row>
    <row x14ac:dyDescent="0.25" r="24" customHeight="1" ht="18.75">
      <c r="A24" s="123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  <c r="AA24" s="2"/>
      <c r="AB24" s="3"/>
      <c r="AC24" s="3"/>
      <c r="AD24" s="3"/>
      <c r="AE24" s="3"/>
      <c r="AF24" s="3"/>
      <c r="AG24" s="3"/>
      <c r="AH24" s="2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3"/>
      <c r="AX24" s="3"/>
      <c r="AY24" s="3"/>
      <c r="AZ24" s="3"/>
      <c r="BA24" s="3"/>
      <c r="BB24" s="3"/>
      <c r="BC24" s="3"/>
      <c r="BD24" s="2"/>
      <c r="BE24" s="3"/>
      <c r="BF24" s="3"/>
      <c r="BG24" s="3"/>
      <c r="BH24" s="3"/>
      <c r="BI24" s="3"/>
      <c r="BJ24" s="3"/>
      <c r="BK24" s="2"/>
    </row>
    <row x14ac:dyDescent="0.25" r="25" customHeight="1" ht="18.75">
      <c r="A25" s="30" t="s">
        <v>416</v>
      </c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2"/>
      <c r="O25" s="2"/>
      <c r="P25" s="2"/>
      <c r="Q25" s="2"/>
      <c r="R25" s="2"/>
      <c r="S25" s="2"/>
      <c r="T25" s="3"/>
      <c r="U25" s="3"/>
      <c r="V25" s="3"/>
      <c r="W25" s="3"/>
      <c r="X25" s="3"/>
      <c r="Y25" s="3"/>
      <c r="Z25" s="3"/>
      <c r="AA25" s="2"/>
      <c r="AB25" s="3"/>
      <c r="AC25" s="3"/>
      <c r="AD25" s="3"/>
      <c r="AE25" s="3"/>
      <c r="AF25" s="3"/>
      <c r="AG25" s="3"/>
      <c r="AH25" s="2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3"/>
      <c r="AX25" s="3"/>
      <c r="AY25" s="3"/>
      <c r="AZ25" s="3"/>
      <c r="BA25" s="3"/>
      <c r="BB25" s="3"/>
      <c r="BC25" s="3"/>
      <c r="BD25" s="2"/>
      <c r="BE25" s="3"/>
      <c r="BF25" s="3"/>
      <c r="BG25" s="3"/>
      <c r="BH25" s="3"/>
      <c r="BI25" s="3"/>
      <c r="BJ25" s="3"/>
      <c r="BK25" s="2"/>
    </row>
    <row x14ac:dyDescent="0.25" r="26" customHeight="1" ht="15.75">
      <c r="A26" s="164" t="s">
        <v>740</v>
      </c>
      <c r="B26" s="2"/>
      <c r="C26" s="193" t="s">
        <v>358</v>
      </c>
      <c r="D26" s="193"/>
      <c r="E26" s="150" t="s">
        <v>733</v>
      </c>
      <c r="F26" s="150" t="s">
        <v>733</v>
      </c>
      <c r="G26" s="158" t="s">
        <v>158</v>
      </c>
      <c r="H26" s="158"/>
      <c r="I26" s="158"/>
      <c r="J26" s="158" t="s">
        <v>158</v>
      </c>
      <c r="K26" s="39" t="s">
        <v>271</v>
      </c>
      <c r="L26" s="39"/>
      <c r="M26" s="39"/>
      <c r="N26" s="158"/>
      <c r="O26" s="158"/>
      <c r="P26" s="193" t="s">
        <v>368</v>
      </c>
      <c r="Q26" s="193"/>
      <c r="R26" s="193"/>
      <c r="S26" s="193"/>
      <c r="T26" s="39"/>
      <c r="U26" s="39"/>
      <c r="V26" s="3"/>
      <c r="W26" s="3"/>
      <c r="X26" s="3"/>
      <c r="Y26" s="3"/>
      <c r="Z26" s="3"/>
      <c r="AA26" s="158" t="s">
        <v>273</v>
      </c>
      <c r="AB26" s="3"/>
      <c r="AC26" s="3"/>
      <c r="AD26" s="3"/>
      <c r="AE26" s="3"/>
      <c r="AF26" s="39"/>
      <c r="AG26" s="3"/>
      <c r="AH26" s="193" t="s">
        <v>358</v>
      </c>
      <c r="AI26" s="3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3"/>
      <c r="AX26" s="3"/>
      <c r="AY26" s="3"/>
      <c r="AZ26" s="3"/>
      <c r="BA26" s="3"/>
      <c r="BB26" s="3"/>
      <c r="BC26" s="3"/>
      <c r="BD26" s="2"/>
      <c r="BE26" s="3"/>
      <c r="BF26" s="3"/>
      <c r="BG26" s="3"/>
      <c r="BH26" s="3"/>
      <c r="BI26" s="3"/>
      <c r="BJ26" s="3"/>
      <c r="BK26" s="2"/>
    </row>
    <row x14ac:dyDescent="0.25" r="27" customHeight="1" ht="15.75">
      <c r="A27" s="30" t="s">
        <v>741</v>
      </c>
      <c r="B27" s="2"/>
      <c r="C27" s="193" t="s">
        <v>358</v>
      </c>
      <c r="D27" s="193"/>
      <c r="E27" s="193" t="s">
        <v>358</v>
      </c>
      <c r="F27" s="193"/>
      <c r="G27" s="193" t="s">
        <v>358</v>
      </c>
      <c r="H27" s="193"/>
      <c r="I27" s="193"/>
      <c r="J27" s="193" t="s">
        <v>368</v>
      </c>
      <c r="K27" s="39" t="s">
        <v>272</v>
      </c>
      <c r="L27" s="39"/>
      <c r="M27" s="39"/>
      <c r="N27" s="150" t="s">
        <v>431</v>
      </c>
      <c r="O27" s="2"/>
      <c r="P27" s="193" t="s">
        <v>132</v>
      </c>
      <c r="Q27" s="193"/>
      <c r="R27" s="193"/>
      <c r="S27" s="2"/>
      <c r="T27" s="39"/>
      <c r="U27" s="3"/>
      <c r="V27" s="3"/>
      <c r="W27" s="3"/>
      <c r="X27" s="3"/>
      <c r="Y27" s="3"/>
      <c r="Z27" s="3"/>
      <c r="AA27" s="158" t="s">
        <v>273</v>
      </c>
      <c r="AB27" s="3"/>
      <c r="AC27" s="3"/>
      <c r="AD27" s="3"/>
      <c r="AE27" s="194" t="s">
        <v>132</v>
      </c>
      <c r="AF27" s="3"/>
      <c r="AG27" s="3"/>
      <c r="AH27" s="2"/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3"/>
      <c r="AX27" s="3"/>
      <c r="AY27" s="3"/>
      <c r="AZ27" s="3"/>
      <c r="BA27" s="3"/>
      <c r="BB27" s="3"/>
      <c r="BC27" s="3"/>
      <c r="BD27" s="2"/>
      <c r="BE27" s="3"/>
      <c r="BF27" s="3"/>
      <c r="BG27" s="3"/>
      <c r="BH27" s="3"/>
      <c r="BI27" s="3"/>
      <c r="BJ27" s="3"/>
      <c r="BK27" s="2"/>
    </row>
    <row x14ac:dyDescent="0.25" r="28" customHeight="1" ht="15.75">
      <c r="A28" s="30" t="s">
        <v>742</v>
      </c>
      <c r="B28" s="2"/>
      <c r="C28" s="193" t="s">
        <v>358</v>
      </c>
      <c r="D28" s="193"/>
      <c r="E28" s="2"/>
      <c r="F28" s="2"/>
      <c r="G28" s="193" t="s">
        <v>358</v>
      </c>
      <c r="H28" s="193"/>
      <c r="I28" s="193"/>
      <c r="J28" s="2"/>
      <c r="K28" s="39" t="s">
        <v>272</v>
      </c>
      <c r="L28" s="39"/>
      <c r="M28" s="39"/>
      <c r="N28" s="2"/>
      <c r="O28" s="2"/>
      <c r="P28" s="2"/>
      <c r="Q28" s="2"/>
      <c r="R28" s="2"/>
      <c r="S28" s="2"/>
      <c r="T28" s="39"/>
      <c r="U28" s="3"/>
      <c r="V28" s="3"/>
      <c r="W28" s="3"/>
      <c r="X28" s="3"/>
      <c r="Y28" s="3"/>
      <c r="Z28" s="3"/>
      <c r="AA28" s="158" t="s">
        <v>273</v>
      </c>
      <c r="AB28" s="3"/>
      <c r="AC28" s="3"/>
      <c r="AD28" s="3"/>
      <c r="AE28" s="3"/>
      <c r="AF28" s="3"/>
      <c r="AG28" s="3"/>
      <c r="AH28" s="2"/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3"/>
      <c r="AX28" s="3"/>
      <c r="AY28" s="3"/>
      <c r="AZ28" s="3"/>
      <c r="BA28" s="3"/>
      <c r="BB28" s="3"/>
      <c r="BC28" s="3"/>
      <c r="BD28" s="2"/>
      <c r="BE28" s="3"/>
      <c r="BF28" s="3"/>
      <c r="BG28" s="3"/>
      <c r="BH28" s="3"/>
      <c r="BI28" s="3"/>
      <c r="BJ28" s="3"/>
      <c r="BK28" s="2"/>
    </row>
    <row x14ac:dyDescent="0.25" r="29" customHeight="1" ht="15.75">
      <c r="A29" s="30" t="s">
        <v>743</v>
      </c>
      <c r="B29" s="2"/>
      <c r="C29" s="158" t="s">
        <v>271</v>
      </c>
      <c r="D29" s="158"/>
      <c r="E29" s="158" t="s">
        <v>227</v>
      </c>
      <c r="F29" s="158" t="s">
        <v>158</v>
      </c>
      <c r="G29" s="158" t="s">
        <v>158</v>
      </c>
      <c r="H29" s="158"/>
      <c r="I29" s="158"/>
      <c r="J29" s="158" t="s">
        <v>158</v>
      </c>
      <c r="K29" s="39" t="s">
        <v>271</v>
      </c>
      <c r="L29" s="39"/>
      <c r="M29" s="39"/>
      <c r="N29" s="2"/>
      <c r="O29" s="2"/>
      <c r="P29" s="193" t="s">
        <v>368</v>
      </c>
      <c r="Q29" s="193"/>
      <c r="R29" s="193"/>
      <c r="S29" s="193"/>
      <c r="T29" s="39"/>
      <c r="U29" s="3"/>
      <c r="V29" s="3"/>
      <c r="W29" s="3"/>
      <c r="X29" s="3"/>
      <c r="Y29" s="3"/>
      <c r="Z29" s="3"/>
      <c r="AA29" s="158" t="s">
        <v>272</v>
      </c>
      <c r="AB29" s="3"/>
      <c r="AC29" s="3"/>
      <c r="AD29" s="3"/>
      <c r="AE29" s="3"/>
      <c r="AF29" s="3"/>
      <c r="AG29" s="39" t="s">
        <v>272</v>
      </c>
      <c r="AH29" s="158" t="s">
        <v>271</v>
      </c>
      <c r="AI29" s="3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3"/>
      <c r="AX29" s="3"/>
      <c r="AY29" s="3"/>
      <c r="AZ29" s="3"/>
      <c r="BA29" s="3"/>
      <c r="BB29" s="3"/>
      <c r="BC29" s="3"/>
      <c r="BD29" s="2"/>
      <c r="BE29" s="3"/>
      <c r="BF29" s="3"/>
      <c r="BG29" s="3"/>
      <c r="BH29" s="3"/>
      <c r="BI29" s="3"/>
      <c r="BJ29" s="3"/>
      <c r="BK29" s="2"/>
    </row>
    <row x14ac:dyDescent="0.25" r="30" customHeight="1" ht="15.75">
      <c r="A30" s="30" t="s">
        <v>744</v>
      </c>
      <c r="B30" s="2"/>
      <c r="C30" s="158" t="s">
        <v>271</v>
      </c>
      <c r="D30" s="158"/>
      <c r="E30" s="158" t="s">
        <v>227</v>
      </c>
      <c r="F30" s="158" t="s">
        <v>158</v>
      </c>
      <c r="G30" s="158" t="s">
        <v>158</v>
      </c>
      <c r="H30" s="158"/>
      <c r="I30" s="158"/>
      <c r="J30" s="158" t="s">
        <v>158</v>
      </c>
      <c r="K30" s="39" t="s">
        <v>271</v>
      </c>
      <c r="L30" s="39"/>
      <c r="M30" s="39"/>
      <c r="N30" s="2"/>
      <c r="O30" s="2"/>
      <c r="P30" s="193" t="s">
        <v>368</v>
      </c>
      <c r="Q30" s="193"/>
      <c r="R30" s="193"/>
      <c r="S30" s="193"/>
      <c r="T30" s="39"/>
      <c r="U30" s="3"/>
      <c r="V30" s="39"/>
      <c r="W30" s="39"/>
      <c r="X30" s="3"/>
      <c r="Y30" s="3"/>
      <c r="Z30" s="3"/>
      <c r="AA30" s="2"/>
      <c r="AB30" s="3"/>
      <c r="AC30" s="3"/>
      <c r="AD30" s="3"/>
      <c r="AE30" s="3"/>
      <c r="AF30" s="39"/>
      <c r="AG30" s="39" t="s">
        <v>272</v>
      </c>
      <c r="AH30" s="158" t="s">
        <v>271</v>
      </c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3"/>
      <c r="AX30" s="3"/>
      <c r="AY30" s="3"/>
      <c r="AZ30" s="3"/>
      <c r="BA30" s="3"/>
      <c r="BB30" s="3"/>
      <c r="BC30" s="3"/>
      <c r="BD30" s="2"/>
      <c r="BE30" s="3"/>
      <c r="BF30" s="3"/>
      <c r="BG30" s="3"/>
      <c r="BH30" s="3"/>
      <c r="BI30" s="3"/>
      <c r="BJ30" s="3"/>
      <c r="BK30" s="2"/>
    </row>
    <row x14ac:dyDescent="0.25" r="31" customHeight="1" ht="15.75">
      <c r="A31" s="30" t="s">
        <v>745</v>
      </c>
      <c r="B31" s="2"/>
      <c r="C31" s="158" t="s">
        <v>271</v>
      </c>
      <c r="D31" s="158"/>
      <c r="E31" s="158" t="s">
        <v>227</v>
      </c>
      <c r="F31" s="158" t="s">
        <v>227</v>
      </c>
      <c r="G31" s="193" t="s">
        <v>358</v>
      </c>
      <c r="H31" s="193"/>
      <c r="I31" s="193"/>
      <c r="J31" s="150" t="s">
        <v>430</v>
      </c>
      <c r="K31" s="30" t="s">
        <v>430</v>
      </c>
      <c r="L31" s="3"/>
      <c r="M31" s="3"/>
      <c r="N31" s="150" t="s">
        <v>430</v>
      </c>
      <c r="O31" s="2"/>
      <c r="P31" s="150" t="s">
        <v>430</v>
      </c>
      <c r="Q31" s="2"/>
      <c r="R31" s="2"/>
      <c r="S31" s="2"/>
      <c r="T31" s="3"/>
      <c r="U31" s="3"/>
      <c r="V31" s="3"/>
      <c r="W31" s="3"/>
      <c r="X31" s="3"/>
      <c r="Y31" s="3"/>
      <c r="Z31" s="3"/>
      <c r="AA31" s="150" t="s">
        <v>430</v>
      </c>
      <c r="AB31" s="3"/>
      <c r="AC31" s="3"/>
      <c r="AD31" s="3"/>
      <c r="AE31" s="3"/>
      <c r="AF31" s="3"/>
      <c r="AG31" s="3"/>
      <c r="AH31" s="2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3"/>
      <c r="AX31" s="3"/>
      <c r="AY31" s="3"/>
      <c r="AZ31" s="3"/>
      <c r="BA31" s="3"/>
      <c r="BB31" s="3"/>
      <c r="BC31" s="3"/>
      <c r="BD31" s="2"/>
      <c r="BE31" s="3"/>
      <c r="BF31" s="3"/>
      <c r="BG31" s="3"/>
      <c r="BH31" s="3"/>
      <c r="BI31" s="3"/>
      <c r="BJ31" s="3"/>
      <c r="BK31" s="2"/>
    </row>
    <row x14ac:dyDescent="0.25" r="32" customHeight="1" ht="15.75">
      <c r="A32" s="3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2"/>
      <c r="O32" s="2"/>
      <c r="P32" s="2"/>
      <c r="Q32" s="2"/>
      <c r="R32" s="2"/>
      <c r="S32" s="2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3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3"/>
      <c r="AX32" s="3"/>
      <c r="AY32" s="3"/>
      <c r="AZ32" s="3"/>
      <c r="BA32" s="3"/>
      <c r="BB32" s="3"/>
      <c r="BC32" s="3"/>
      <c r="BD32" s="2"/>
      <c r="BE32" s="3"/>
      <c r="BF32" s="3"/>
      <c r="BG32" s="3"/>
      <c r="BH32" s="3"/>
      <c r="BI32" s="3"/>
      <c r="BJ32" s="3"/>
      <c r="BK32" s="2"/>
    </row>
    <row x14ac:dyDescent="0.25" r="33" customHeight="1" ht="15.75">
      <c r="A33" s="3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2"/>
      <c r="O33" s="2"/>
      <c r="P33" s="2"/>
      <c r="Q33" s="2"/>
      <c r="R33" s="2"/>
      <c r="S33" s="2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3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3"/>
      <c r="AX33" s="3"/>
      <c r="AY33" s="3"/>
      <c r="AZ33" s="3"/>
      <c r="BA33" s="3"/>
      <c r="BB33" s="3"/>
      <c r="BC33" s="3"/>
      <c r="BD33" s="2"/>
      <c r="BE33" s="3"/>
      <c r="BF33" s="3"/>
      <c r="BG33" s="3"/>
      <c r="BH33" s="3"/>
      <c r="BI33" s="3"/>
      <c r="BJ33" s="3"/>
      <c r="BK33" s="2"/>
    </row>
    <row x14ac:dyDescent="0.25" r="34" customHeight="1" ht="15.75">
      <c r="A34" s="3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2"/>
      <c r="O34" s="2"/>
      <c r="P34" s="2"/>
      <c r="Q34" s="2"/>
      <c r="R34" s="2"/>
      <c r="S34" s="2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3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3"/>
      <c r="AX34" s="3"/>
      <c r="AY34" s="3"/>
      <c r="AZ34" s="3"/>
      <c r="BA34" s="3"/>
      <c r="BB34" s="3"/>
      <c r="BC34" s="3"/>
      <c r="BD34" s="2"/>
      <c r="BE34" s="3"/>
      <c r="BF34" s="3"/>
      <c r="BG34" s="3"/>
      <c r="BH34" s="3"/>
      <c r="BI34" s="3"/>
      <c r="BJ34" s="3"/>
      <c r="BK34" s="2"/>
    </row>
    <row x14ac:dyDescent="0.25" r="35" customHeight="1" ht="15.75">
      <c r="A35" s="3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2"/>
      <c r="O35" s="2"/>
      <c r="P35" s="2"/>
      <c r="Q35" s="2"/>
      <c r="R35" s="2"/>
      <c r="S35" s="2"/>
      <c r="T35" s="3"/>
      <c r="U35" s="3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3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3"/>
      <c r="AX35" s="3"/>
      <c r="AY35" s="3"/>
      <c r="AZ35" s="3"/>
      <c r="BA35" s="3"/>
      <c r="BB35" s="3"/>
      <c r="BC35" s="3"/>
      <c r="BD35" s="2"/>
      <c r="BE35" s="3"/>
      <c r="BF35" s="3"/>
      <c r="BG35" s="3"/>
      <c r="BH35" s="3"/>
      <c r="BI35" s="3"/>
      <c r="BJ35" s="3"/>
      <c r="BK35" s="2"/>
    </row>
    <row x14ac:dyDescent="0.25" r="36" customHeight="1" ht="15.75">
      <c r="A36" s="3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2"/>
      <c r="O36" s="2"/>
      <c r="P36" s="2"/>
      <c r="Q36" s="2"/>
      <c r="R36" s="2"/>
      <c r="S36" s="2"/>
      <c r="T36" s="3"/>
      <c r="U36" s="3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3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3"/>
      <c r="AX36" s="3"/>
      <c r="AY36" s="3"/>
      <c r="AZ36" s="3"/>
      <c r="BA36" s="3"/>
      <c r="BB36" s="3"/>
      <c r="BC36" s="3"/>
      <c r="BD36" s="2"/>
      <c r="BE36" s="3"/>
      <c r="BF36" s="3"/>
      <c r="BG36" s="3"/>
      <c r="BH36" s="3"/>
      <c r="BI36" s="3"/>
      <c r="BJ36" s="3"/>
      <c r="BK36" s="2"/>
    </row>
    <row x14ac:dyDescent="0.25" r="37" customHeight="1" ht="15.75">
      <c r="A37" s="3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2"/>
      <c r="O37" s="2"/>
      <c r="P37" s="2"/>
      <c r="Q37" s="2"/>
      <c r="R37" s="2"/>
      <c r="S37" s="2"/>
      <c r="T37" s="3"/>
      <c r="U37" s="3"/>
      <c r="V37" s="3"/>
      <c r="W37" s="3"/>
      <c r="X37" s="3"/>
      <c r="Y37" s="3"/>
      <c r="Z37" s="3"/>
      <c r="AA37" s="2"/>
      <c r="AB37" s="3"/>
      <c r="AC37" s="3"/>
      <c r="AD37" s="3"/>
      <c r="AE37" s="3"/>
      <c r="AF37" s="3"/>
      <c r="AG37" s="3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3"/>
      <c r="AX37" s="3"/>
      <c r="AY37" s="3"/>
      <c r="AZ37" s="3"/>
      <c r="BA37" s="3"/>
      <c r="BB37" s="3"/>
      <c r="BC37" s="3"/>
      <c r="BD37" s="2"/>
      <c r="BE37" s="3"/>
      <c r="BF37" s="3"/>
      <c r="BG37" s="3"/>
      <c r="BH37" s="3"/>
      <c r="BI37" s="3"/>
      <c r="BJ37" s="3"/>
      <c r="BK37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32"/>
  <sheetViews>
    <sheetView workbookViewId="0"/>
  </sheetViews>
  <sheetFormatPr defaultRowHeight="15" x14ac:dyDescent="0.25"/>
  <cols>
    <col min="1" max="1" style="57" width="26.719285714285714" customWidth="1" bestFit="1"/>
    <col min="2" max="2" style="43" width="13.576428571428572" customWidth="1" bestFit="1"/>
    <col min="3" max="3" style="151" width="13.576428571428572" customWidth="1" bestFit="1"/>
    <col min="4" max="4" style="43" width="13.576428571428572" customWidth="1" bestFit="1"/>
    <col min="5" max="5" style="151" width="13.576428571428572" customWidth="1" bestFit="1"/>
    <col min="6" max="6" style="43" width="13.576428571428572" customWidth="1" bestFit="1"/>
    <col min="7" max="7" style="151" width="13.576428571428572" customWidth="1" bestFit="1"/>
    <col min="8" max="8" style="43" width="13.576428571428572" customWidth="1" bestFit="1"/>
    <col min="9" max="9" style="43" width="13.576428571428572" customWidth="1" bestFit="1"/>
    <col min="10" max="10" style="151" width="13.576428571428572" customWidth="1" bestFit="1"/>
    <col min="11" max="11" style="151" width="13.576428571428572" customWidth="1" bestFit="1"/>
    <col min="12" max="12" style="151" width="13.576428571428572" customWidth="1" bestFit="1"/>
    <col min="13" max="13" style="151" width="13.576428571428572" customWidth="1" bestFit="1"/>
    <col min="14" max="14" style="151" width="13.576428571428572" customWidth="1" bestFit="1"/>
    <col min="15" max="15" style="151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151" width="13.576428571428572" customWidth="1" bestFit="1"/>
    <col min="19" max="19" style="151" width="13.576428571428572" customWidth="1" bestFit="1"/>
    <col min="20" max="20" style="43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151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  <col min="48" max="48" style="43" width="13.576428571428572" customWidth="1" bestFit="1"/>
    <col min="49" max="49" style="44" width="13.576428571428572" customWidth="1" bestFit="1"/>
    <col min="50" max="50" style="44" width="13.576428571428572" customWidth="1" bestFit="1"/>
    <col min="51" max="51" style="44" width="13.576428571428572" customWidth="1" bestFit="1"/>
  </cols>
  <sheetData>
    <row x14ac:dyDescent="0.25" r="1" customHeight="1" ht="18.75">
      <c r="A1" s="1" t="s">
        <v>70</v>
      </c>
      <c r="B1" s="2"/>
      <c r="C1" s="149"/>
      <c r="D1" s="45" t="s">
        <v>71</v>
      </c>
      <c r="E1" s="149"/>
      <c r="F1" s="2"/>
      <c r="G1" s="149"/>
      <c r="H1" s="2"/>
      <c r="I1" s="45" t="s">
        <v>714</v>
      </c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2"/>
      <c r="U1" s="3"/>
      <c r="V1" s="3"/>
      <c r="W1" s="3"/>
      <c r="X1" s="3"/>
      <c r="Y1" s="3"/>
      <c r="Z1" s="3"/>
      <c r="AA1" s="149"/>
      <c r="AB1" s="3"/>
      <c r="AC1" s="3"/>
      <c r="AD1" s="3"/>
      <c r="AE1" s="3"/>
      <c r="AF1" s="3"/>
      <c r="AG1" s="3"/>
      <c r="AH1" s="2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3"/>
      <c r="AY1" s="3"/>
    </row>
    <row x14ac:dyDescent="0.25" r="2" customHeight="1" ht="18.75">
      <c r="A2" s="46"/>
      <c r="B2" s="2"/>
      <c r="C2" s="149"/>
      <c r="D2" s="2"/>
      <c r="E2" s="149"/>
      <c r="F2" s="2"/>
      <c r="G2" s="149"/>
      <c r="H2" s="2"/>
      <c r="I2" s="2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2"/>
      <c r="U2" s="3"/>
      <c r="V2" s="3"/>
      <c r="W2" s="3"/>
      <c r="X2" s="3"/>
      <c r="Y2" s="3"/>
      <c r="Z2" s="3"/>
      <c r="AA2" s="149"/>
      <c r="AB2" s="3"/>
      <c r="AC2" s="3"/>
      <c r="AD2" s="3"/>
      <c r="AE2" s="3"/>
      <c r="AF2" s="3"/>
      <c r="AG2" s="3"/>
      <c r="AH2" s="2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/>
      <c r="AX2" s="3"/>
      <c r="AY2" s="3"/>
    </row>
    <row x14ac:dyDescent="0.25" r="3" customHeight="1" ht="18.75">
      <c r="A3" s="1" t="s">
        <v>2</v>
      </c>
      <c r="B3" s="5">
        <v>74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149"/>
      <c r="Q3" s="149"/>
      <c r="R3" s="149"/>
      <c r="S3" s="149"/>
      <c r="T3" s="2"/>
      <c r="U3" s="3"/>
      <c r="V3" s="3"/>
      <c r="W3" s="3"/>
      <c r="X3" s="3"/>
      <c r="Y3" s="3"/>
      <c r="Z3" s="3"/>
      <c r="AA3" s="149"/>
      <c r="AB3" s="3"/>
      <c r="AC3" s="3"/>
      <c r="AD3" s="3"/>
      <c r="AE3" s="3"/>
      <c r="AF3" s="3"/>
      <c r="AG3" s="3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3"/>
      <c r="AX3" s="3"/>
      <c r="AY3" s="3"/>
    </row>
    <row x14ac:dyDescent="0.25" r="4" customHeight="1" ht="18.75">
      <c r="A4" s="1" t="s">
        <v>4</v>
      </c>
      <c r="B4" s="7" t="s">
        <v>715</v>
      </c>
      <c r="C4" s="7"/>
      <c r="D4" s="7"/>
      <c r="E4" s="149"/>
      <c r="F4" s="124" t="s">
        <v>716</v>
      </c>
      <c r="G4" s="92"/>
      <c r="H4" s="92"/>
      <c r="I4" s="92"/>
      <c r="J4" s="92"/>
      <c r="K4" s="92"/>
      <c r="L4" s="92"/>
      <c r="M4" s="92"/>
      <c r="N4" s="92"/>
      <c r="O4" s="125"/>
      <c r="P4" s="149"/>
      <c r="Q4" s="149"/>
      <c r="R4" s="149"/>
      <c r="S4" s="149"/>
      <c r="T4" s="2"/>
      <c r="U4" s="3"/>
      <c r="V4" s="3"/>
      <c r="W4" s="3"/>
      <c r="X4" s="3"/>
      <c r="Y4" s="3"/>
      <c r="Z4" s="3"/>
      <c r="AA4" s="149"/>
      <c r="AB4" s="3"/>
      <c r="AC4" s="3"/>
      <c r="AD4" s="3"/>
      <c r="AE4" s="3"/>
      <c r="AF4" s="3"/>
      <c r="AG4" s="3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3"/>
      <c r="AX4" s="3"/>
      <c r="AY4" s="3"/>
    </row>
    <row x14ac:dyDescent="0.25" r="5" customHeight="1" ht="18.75">
      <c r="A5" s="1" t="s">
        <v>7</v>
      </c>
      <c r="B5" s="7" t="s">
        <v>561</v>
      </c>
      <c r="C5" s="7"/>
      <c r="D5" s="7"/>
      <c r="E5" s="149"/>
      <c r="F5" s="126"/>
      <c r="G5" s="96"/>
      <c r="H5" s="96"/>
      <c r="I5" s="96"/>
      <c r="J5" s="96"/>
      <c r="K5" s="96"/>
      <c r="L5" s="96"/>
      <c r="M5" s="96"/>
      <c r="N5" s="96"/>
      <c r="O5" s="127"/>
      <c r="P5" s="149"/>
      <c r="Q5" s="149"/>
      <c r="R5" s="149"/>
      <c r="S5" s="149"/>
      <c r="T5" s="2"/>
      <c r="U5" s="3"/>
      <c r="V5" s="3"/>
      <c r="W5" s="3"/>
      <c r="X5" s="3"/>
      <c r="Y5" s="3"/>
      <c r="Z5" s="3"/>
      <c r="AA5" s="149"/>
      <c r="AB5" s="3"/>
      <c r="AC5" s="3"/>
      <c r="AD5" s="3"/>
      <c r="AE5" s="3"/>
      <c r="AF5" s="3"/>
      <c r="AG5" s="3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3"/>
      <c r="AX5" s="3"/>
      <c r="AY5" s="3"/>
    </row>
    <row x14ac:dyDescent="0.25" r="6" customHeight="1" ht="18.75">
      <c r="A6" s="46"/>
      <c r="B6" s="2"/>
      <c r="C6" s="149"/>
      <c r="D6" s="2"/>
      <c r="E6" s="149"/>
      <c r="F6" s="2"/>
      <c r="G6" s="149"/>
      <c r="H6" s="2"/>
      <c r="I6" s="2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2"/>
      <c r="U6" s="3"/>
      <c r="V6" s="3"/>
      <c r="W6" s="3"/>
      <c r="X6" s="3"/>
      <c r="Y6" s="3"/>
      <c r="Z6" s="3"/>
      <c r="AA6" s="149"/>
      <c r="AB6" s="3"/>
      <c r="AC6" s="3"/>
      <c r="AD6" s="3"/>
      <c r="AE6" s="3"/>
      <c r="AF6" s="3"/>
      <c r="AG6" s="3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3"/>
      <c r="AX6" s="3"/>
      <c r="AY6" s="3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53" t="s">
        <v>19</v>
      </c>
      <c r="L7" s="53" t="s">
        <v>20</v>
      </c>
      <c r="M7" s="53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189" t="s">
        <v>28</v>
      </c>
      <c r="U7" s="22" t="s">
        <v>29</v>
      </c>
      <c r="V7" s="23" t="s">
        <v>30</v>
      </c>
      <c r="W7" s="23" t="s">
        <v>31</v>
      </c>
      <c r="X7" s="24" t="s">
        <v>32</v>
      </c>
      <c r="Y7" s="24" t="s">
        <v>33</v>
      </c>
      <c r="Z7" s="25" t="s">
        <v>34</v>
      </c>
      <c r="AA7" s="55" t="s">
        <v>35</v>
      </c>
      <c r="AB7" s="26" t="s">
        <v>36</v>
      </c>
      <c r="AC7" s="26" t="s">
        <v>37</v>
      </c>
      <c r="AD7" s="26" t="s">
        <v>38</v>
      </c>
      <c r="AE7" s="27" t="s">
        <v>39</v>
      </c>
      <c r="AF7" s="28" t="s">
        <v>40</v>
      </c>
      <c r="AG7" s="29" t="s">
        <v>41</v>
      </c>
      <c r="AH7" s="56" t="s">
        <v>42</v>
      </c>
      <c r="AI7" s="3"/>
      <c r="AJ7" s="49" t="s">
        <v>11</v>
      </c>
      <c r="AK7" s="49" t="s">
        <v>12</v>
      </c>
      <c r="AL7" s="50" t="s">
        <v>13</v>
      </c>
      <c r="AM7" s="51" t="s">
        <v>14</v>
      </c>
      <c r="AN7" s="52" t="s">
        <v>15</v>
      </c>
      <c r="AO7" s="52" t="s">
        <v>16</v>
      </c>
      <c r="AP7" s="52" t="s">
        <v>17</v>
      </c>
      <c r="AQ7" s="166" t="s">
        <v>18</v>
      </c>
      <c r="AR7" s="53" t="s">
        <v>19</v>
      </c>
      <c r="AS7" s="53" t="s">
        <v>20</v>
      </c>
      <c r="AT7" s="53" t="s">
        <v>21</v>
      </c>
      <c r="AU7" s="136" t="s">
        <v>22</v>
      </c>
      <c r="AV7" s="136" t="s">
        <v>23</v>
      </c>
      <c r="AW7" s="21" t="s">
        <v>27</v>
      </c>
      <c r="AX7" s="22" t="s">
        <v>28</v>
      </c>
      <c r="AY7" s="22" t="s">
        <v>29</v>
      </c>
    </row>
    <row x14ac:dyDescent="0.25" r="8" customHeight="1" ht="18.75">
      <c r="A8" s="30" t="s">
        <v>43</v>
      </c>
      <c r="B8" s="31" t="s">
        <v>44</v>
      </c>
      <c r="C8" s="31" t="s">
        <v>367</v>
      </c>
      <c r="D8" s="31" t="s">
        <v>367</v>
      </c>
      <c r="E8" s="31" t="s">
        <v>367</v>
      </c>
      <c r="F8" s="143" t="s">
        <v>358</v>
      </c>
      <c r="G8" s="143" t="s">
        <v>358</v>
      </c>
      <c r="H8" s="143" t="s">
        <v>358</v>
      </c>
      <c r="I8" s="143" t="s">
        <v>358</v>
      </c>
      <c r="J8" s="31" t="s">
        <v>367</v>
      </c>
      <c r="K8" s="31" t="s">
        <v>367</v>
      </c>
      <c r="L8" s="31" t="s">
        <v>367</v>
      </c>
      <c r="M8" s="31" t="s">
        <v>367</v>
      </c>
      <c r="N8" s="31" t="s">
        <v>68</v>
      </c>
      <c r="O8" s="31" t="s">
        <v>68</v>
      </c>
      <c r="P8" s="31" t="s">
        <v>367</v>
      </c>
      <c r="Q8" s="31" t="s">
        <v>367</v>
      </c>
      <c r="R8" s="31" t="s">
        <v>367</v>
      </c>
      <c r="S8" s="31" t="s">
        <v>367</v>
      </c>
      <c r="T8" s="31" t="s">
        <v>367</v>
      </c>
      <c r="U8" s="32"/>
      <c r="V8" s="32"/>
      <c r="W8" s="32"/>
      <c r="X8" s="32"/>
      <c r="Y8" s="32"/>
      <c r="Z8" s="32"/>
      <c r="AA8" s="31" t="s">
        <v>517</v>
      </c>
      <c r="AB8" s="32"/>
      <c r="AC8" s="32"/>
      <c r="AD8" s="32"/>
      <c r="AE8" s="32"/>
      <c r="AF8" s="32"/>
      <c r="AG8" s="32"/>
      <c r="AH8" s="31" t="s">
        <v>68</v>
      </c>
      <c r="AI8" s="3"/>
      <c r="AJ8" s="31" t="s">
        <v>132</v>
      </c>
      <c r="AK8" s="31" t="s">
        <v>132</v>
      </c>
      <c r="AL8" s="31" t="s">
        <v>220</v>
      </c>
      <c r="AM8" s="31" t="s">
        <v>514</v>
      </c>
      <c r="AN8" s="31" t="s">
        <v>515</v>
      </c>
      <c r="AO8" s="31" t="s">
        <v>515</v>
      </c>
      <c r="AP8" s="31" t="s">
        <v>515</v>
      </c>
      <c r="AQ8" s="31" t="s">
        <v>515</v>
      </c>
      <c r="AR8" s="31" t="s">
        <v>132</v>
      </c>
      <c r="AS8" s="31" t="s">
        <v>132</v>
      </c>
      <c r="AT8" s="31" t="s">
        <v>132</v>
      </c>
      <c r="AU8" s="31" t="s">
        <v>516</v>
      </c>
      <c r="AV8" s="31" t="s">
        <v>516</v>
      </c>
      <c r="AW8" s="32"/>
      <c r="AX8" s="32"/>
      <c r="AY8" s="32"/>
    </row>
    <row x14ac:dyDescent="0.25" r="9" customHeight="1" ht="15.75">
      <c r="A9" s="30" t="s">
        <v>45</v>
      </c>
      <c r="B9" s="31" t="s">
        <v>717</v>
      </c>
      <c r="C9" s="31" t="s">
        <v>368</v>
      </c>
      <c r="D9" s="31" t="s">
        <v>368</v>
      </c>
      <c r="E9" s="31" t="s">
        <v>368</v>
      </c>
      <c r="F9" s="143" t="s">
        <v>358</v>
      </c>
      <c r="G9" s="143" t="s">
        <v>358</v>
      </c>
      <c r="H9" s="143" t="s">
        <v>358</v>
      </c>
      <c r="I9" s="143" t="s">
        <v>358</v>
      </c>
      <c r="J9" s="31" t="s">
        <v>368</v>
      </c>
      <c r="K9" s="31" t="s">
        <v>368</v>
      </c>
      <c r="L9" s="31" t="s">
        <v>368</v>
      </c>
      <c r="M9" s="31" t="s">
        <v>368</v>
      </c>
      <c r="N9" s="31" t="s">
        <v>132</v>
      </c>
      <c r="O9" s="31" t="s">
        <v>132</v>
      </c>
      <c r="P9" s="31" t="s">
        <v>368</v>
      </c>
      <c r="Q9" s="31" t="s">
        <v>368</v>
      </c>
      <c r="R9" s="31" t="s">
        <v>368</v>
      </c>
      <c r="S9" s="31" t="s">
        <v>368</v>
      </c>
      <c r="T9" s="31" t="s">
        <v>368</v>
      </c>
      <c r="U9" s="32"/>
      <c r="V9" s="32"/>
      <c r="W9" s="32"/>
      <c r="X9" s="32"/>
      <c r="Y9" s="32"/>
      <c r="Z9" s="32"/>
      <c r="AA9" s="31" t="s">
        <v>273</v>
      </c>
      <c r="AB9" s="32"/>
      <c r="AC9" s="32"/>
      <c r="AD9" s="32"/>
      <c r="AE9" s="32"/>
      <c r="AF9" s="32"/>
      <c r="AG9" s="32"/>
      <c r="AH9" s="31" t="s">
        <v>132</v>
      </c>
      <c r="AI9" s="3"/>
      <c r="AJ9" s="31" t="s">
        <v>271</v>
      </c>
      <c r="AK9" s="31" t="s">
        <v>271</v>
      </c>
      <c r="AL9" s="31" t="s">
        <v>227</v>
      </c>
      <c r="AM9" s="31" t="s">
        <v>518</v>
      </c>
      <c r="AN9" s="31" t="s">
        <v>158</v>
      </c>
      <c r="AO9" s="31" t="s">
        <v>158</v>
      </c>
      <c r="AP9" s="31" t="s">
        <v>158</v>
      </c>
      <c r="AQ9" s="31" t="s">
        <v>158</v>
      </c>
      <c r="AR9" s="31" t="s">
        <v>271</v>
      </c>
      <c r="AS9" s="31" t="s">
        <v>272</v>
      </c>
      <c r="AT9" s="31" t="s">
        <v>271</v>
      </c>
      <c r="AU9" s="119" t="s">
        <v>519</v>
      </c>
      <c r="AV9" s="31" t="s">
        <v>271</v>
      </c>
      <c r="AW9" s="32"/>
      <c r="AX9" s="32"/>
      <c r="AY9" s="32"/>
    </row>
    <row x14ac:dyDescent="0.25" r="10" customHeight="1" ht="15.75">
      <c r="A10" s="35" t="s">
        <v>47</v>
      </c>
      <c r="B10" s="117">
        <v>251</v>
      </c>
      <c r="C10" s="117">
        <v>151</v>
      </c>
      <c r="D10" s="117">
        <v>151</v>
      </c>
      <c r="E10" s="117">
        <v>151</v>
      </c>
      <c r="F10" s="144"/>
      <c r="G10" s="144"/>
      <c r="H10" s="144"/>
      <c r="I10" s="144"/>
      <c r="J10" s="117">
        <v>151</v>
      </c>
      <c r="K10" s="117">
        <v>151</v>
      </c>
      <c r="L10" s="117">
        <v>151</v>
      </c>
      <c r="M10" s="117">
        <v>151</v>
      </c>
      <c r="N10" s="117">
        <v>98</v>
      </c>
      <c r="O10" s="117">
        <v>98</v>
      </c>
      <c r="P10" s="117">
        <v>151</v>
      </c>
      <c r="Q10" s="117">
        <v>151</v>
      </c>
      <c r="R10" s="117">
        <v>151</v>
      </c>
      <c r="S10" s="117">
        <v>151</v>
      </c>
      <c r="T10" s="117">
        <v>151</v>
      </c>
      <c r="U10" s="37"/>
      <c r="V10" s="37"/>
      <c r="W10" s="37"/>
      <c r="X10" s="37"/>
      <c r="Y10" s="37"/>
      <c r="Z10" s="37"/>
      <c r="AA10" s="117">
        <v>187</v>
      </c>
      <c r="AB10" s="37"/>
      <c r="AC10" s="37"/>
      <c r="AD10" s="37"/>
      <c r="AE10" s="37"/>
      <c r="AF10" s="37"/>
      <c r="AG10" s="37"/>
      <c r="AH10" s="117">
        <v>98</v>
      </c>
      <c r="AI10" s="3"/>
      <c r="AJ10" s="117">
        <v>57</v>
      </c>
      <c r="AK10" s="117">
        <v>57</v>
      </c>
      <c r="AL10" s="117">
        <v>56</v>
      </c>
      <c r="AM10" s="117">
        <v>193</v>
      </c>
      <c r="AN10" s="117">
        <v>61</v>
      </c>
      <c r="AO10" s="117">
        <v>61</v>
      </c>
      <c r="AP10" s="117">
        <v>61</v>
      </c>
      <c r="AQ10" s="117">
        <v>61</v>
      </c>
      <c r="AR10" s="117">
        <v>57</v>
      </c>
      <c r="AS10" s="117">
        <v>35</v>
      </c>
      <c r="AT10" s="117">
        <v>57</v>
      </c>
      <c r="AU10" s="117">
        <v>194</v>
      </c>
      <c r="AV10" s="117">
        <v>57</v>
      </c>
      <c r="AW10" s="37"/>
      <c r="AX10" s="37"/>
      <c r="AY10" s="37"/>
    </row>
    <row x14ac:dyDescent="0.25" r="11" customHeight="1" ht="18.75">
      <c r="A11" s="30" t="s">
        <v>123</v>
      </c>
      <c r="B11" s="31" t="s">
        <v>52</v>
      </c>
      <c r="C11" s="31" t="s">
        <v>162</v>
      </c>
      <c r="D11" s="31" t="s">
        <v>162</v>
      </c>
      <c r="E11" s="31" t="s">
        <v>162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31" t="s">
        <v>162</v>
      </c>
      <c r="K11" s="31" t="s">
        <v>162</v>
      </c>
      <c r="L11" s="31" t="s">
        <v>162</v>
      </c>
      <c r="M11" s="31" t="s">
        <v>162</v>
      </c>
      <c r="N11" s="31" t="s">
        <v>52</v>
      </c>
      <c r="O11" s="31" t="s">
        <v>52</v>
      </c>
      <c r="P11" s="31" t="s">
        <v>162</v>
      </c>
      <c r="Q11" s="31" t="s">
        <v>162</v>
      </c>
      <c r="R11" s="31" t="s">
        <v>162</v>
      </c>
      <c r="S11" s="31" t="s">
        <v>162</v>
      </c>
      <c r="T11" s="31" t="s">
        <v>162</v>
      </c>
      <c r="U11" s="32"/>
      <c r="V11" s="32"/>
      <c r="W11" s="32"/>
      <c r="X11" s="32"/>
      <c r="Y11" s="32"/>
      <c r="Z11" s="32"/>
      <c r="AA11" s="31" t="s">
        <v>52</v>
      </c>
      <c r="AB11" s="32"/>
      <c r="AC11" s="32"/>
      <c r="AD11" s="32"/>
      <c r="AE11" s="32"/>
      <c r="AF11" s="32"/>
      <c r="AG11" s="32"/>
      <c r="AH11" s="31" t="s">
        <v>52</v>
      </c>
      <c r="AI11" s="3"/>
      <c r="AJ11" s="31" t="s">
        <v>52</v>
      </c>
      <c r="AK11" s="31" t="s">
        <v>52</v>
      </c>
      <c r="AL11" s="31" t="s">
        <v>52</v>
      </c>
      <c r="AM11" s="31" t="s">
        <v>52</v>
      </c>
      <c r="AN11" s="31" t="s">
        <v>52</v>
      </c>
      <c r="AO11" s="31" t="s">
        <v>52</v>
      </c>
      <c r="AP11" s="31" t="s">
        <v>52</v>
      </c>
      <c r="AQ11" s="31" t="s">
        <v>52</v>
      </c>
      <c r="AR11" s="31" t="s">
        <v>52</v>
      </c>
      <c r="AS11" s="31" t="s">
        <v>52</v>
      </c>
      <c r="AT11" s="31" t="s">
        <v>52</v>
      </c>
      <c r="AU11" s="31" t="s">
        <v>52</v>
      </c>
      <c r="AV11" s="31" t="s">
        <v>52</v>
      </c>
      <c r="AW11" s="32"/>
      <c r="AX11" s="32"/>
      <c r="AY11" s="32"/>
    </row>
    <row x14ac:dyDescent="0.25" r="12" customHeight="1" ht="18.75">
      <c r="A12" s="30" t="s">
        <v>124</v>
      </c>
      <c r="B12" s="33" t="s">
        <v>52</v>
      </c>
      <c r="C12" s="33" t="s">
        <v>162</v>
      </c>
      <c r="D12" s="33" t="s">
        <v>162</v>
      </c>
      <c r="E12" s="33" t="s">
        <v>162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33" t="s">
        <v>162</v>
      </c>
      <c r="K12" s="33" t="s">
        <v>162</v>
      </c>
      <c r="L12" s="33" t="s">
        <v>162</v>
      </c>
      <c r="M12" s="33" t="s">
        <v>162</v>
      </c>
      <c r="N12" s="33" t="s">
        <v>52</v>
      </c>
      <c r="O12" s="33" t="s">
        <v>52</v>
      </c>
      <c r="P12" s="33" t="s">
        <v>162</v>
      </c>
      <c r="Q12" s="33" t="s">
        <v>162</v>
      </c>
      <c r="R12" s="33" t="s">
        <v>162</v>
      </c>
      <c r="S12" s="33" t="s">
        <v>162</v>
      </c>
      <c r="T12" s="33" t="s">
        <v>162</v>
      </c>
      <c r="U12" s="34"/>
      <c r="V12" s="34"/>
      <c r="W12" s="34"/>
      <c r="X12" s="34"/>
      <c r="Y12" s="34"/>
      <c r="Z12" s="34"/>
      <c r="AA12" s="33" t="s">
        <v>52</v>
      </c>
      <c r="AB12" s="34"/>
      <c r="AC12" s="34"/>
      <c r="AD12" s="34"/>
      <c r="AE12" s="34"/>
      <c r="AF12" s="34"/>
      <c r="AG12" s="34"/>
      <c r="AH12" s="33" t="s">
        <v>52</v>
      </c>
      <c r="AI12" s="3"/>
      <c r="AJ12" s="31" t="s">
        <v>52</v>
      </c>
      <c r="AK12" s="31" t="s">
        <v>52</v>
      </c>
      <c r="AL12" s="31" t="s">
        <v>49</v>
      </c>
      <c r="AM12" s="31" t="s">
        <v>162</v>
      </c>
      <c r="AN12" s="31" t="s">
        <v>52</v>
      </c>
      <c r="AO12" s="31" t="s">
        <v>52</v>
      </c>
      <c r="AP12" s="31" t="s">
        <v>52</v>
      </c>
      <c r="AQ12" s="31" t="s">
        <v>52</v>
      </c>
      <c r="AR12" s="31" t="s">
        <v>52</v>
      </c>
      <c r="AS12" s="31" t="s">
        <v>52</v>
      </c>
      <c r="AT12" s="31" t="s">
        <v>52</v>
      </c>
      <c r="AU12" s="31" t="s">
        <v>52</v>
      </c>
      <c r="AV12" s="31" t="s">
        <v>52</v>
      </c>
      <c r="AW12" s="32"/>
      <c r="AX12" s="32"/>
      <c r="AY12" s="32"/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1" t="s">
        <v>49</v>
      </c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33" t="s">
        <v>52</v>
      </c>
      <c r="AK13" s="33" t="s">
        <v>52</v>
      </c>
      <c r="AL13" s="33" t="s">
        <v>52</v>
      </c>
      <c r="AM13" s="33" t="s">
        <v>295</v>
      </c>
      <c r="AN13" s="33" t="s">
        <v>49</v>
      </c>
      <c r="AO13" s="33" t="s">
        <v>49</v>
      </c>
      <c r="AP13" s="33" t="s">
        <v>49</v>
      </c>
      <c r="AQ13" s="33" t="s">
        <v>49</v>
      </c>
      <c r="AR13" s="33" t="s">
        <v>52</v>
      </c>
      <c r="AS13" s="33" t="s">
        <v>52</v>
      </c>
      <c r="AT13" s="33" t="s">
        <v>52</v>
      </c>
      <c r="AU13" s="33" t="s">
        <v>52</v>
      </c>
      <c r="AV13" s="33" t="s">
        <v>52</v>
      </c>
      <c r="AW13" s="34"/>
      <c r="AX13" s="34"/>
      <c r="AY13" s="34"/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1" t="s">
        <v>49</v>
      </c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  <c r="AR14" s="31" t="s">
        <v>49</v>
      </c>
      <c r="AS14" s="31" t="s">
        <v>49</v>
      </c>
      <c r="AT14" s="31" t="s">
        <v>49</v>
      </c>
      <c r="AU14" s="31" t="s">
        <v>49</v>
      </c>
      <c r="AV14" s="31" t="s">
        <v>49</v>
      </c>
      <c r="AW14" s="32"/>
      <c r="AX14" s="32"/>
      <c r="AY14" s="32"/>
    </row>
    <row x14ac:dyDescent="0.25" r="15" customHeight="1" ht="18.75">
      <c r="A15" s="30" t="s">
        <v>127</v>
      </c>
      <c r="B15" s="31" t="s">
        <v>133</v>
      </c>
      <c r="C15" s="31" t="s">
        <v>133</v>
      </c>
      <c r="D15" s="31" t="s">
        <v>133</v>
      </c>
      <c r="E15" s="31" t="s">
        <v>133</v>
      </c>
      <c r="F15" s="146" t="s">
        <v>133</v>
      </c>
      <c r="G15" s="146" t="s">
        <v>133</v>
      </c>
      <c r="H15" s="146" t="s">
        <v>133</v>
      </c>
      <c r="I15" s="146" t="s">
        <v>133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133</v>
      </c>
      <c r="O15" s="31" t="s">
        <v>133</v>
      </c>
      <c r="P15" s="31" t="s">
        <v>133</v>
      </c>
      <c r="Q15" s="31" t="s">
        <v>133</v>
      </c>
      <c r="R15" s="31" t="s">
        <v>133</v>
      </c>
      <c r="S15" s="31" t="s">
        <v>133</v>
      </c>
      <c r="T15" s="31" t="s">
        <v>133</v>
      </c>
      <c r="U15" s="32"/>
      <c r="V15" s="32"/>
      <c r="W15" s="32"/>
      <c r="X15" s="32"/>
      <c r="Y15" s="32"/>
      <c r="Z15" s="32"/>
      <c r="AA15" s="31" t="s">
        <v>133</v>
      </c>
      <c r="AB15" s="32"/>
      <c r="AC15" s="32"/>
      <c r="AD15" s="32"/>
      <c r="AE15" s="32"/>
      <c r="AF15" s="32"/>
      <c r="AG15" s="32"/>
      <c r="AH15" s="31" t="s">
        <v>133</v>
      </c>
      <c r="AI15" s="3"/>
      <c r="AJ15" s="31" t="s">
        <v>133</v>
      </c>
      <c r="AK15" s="31" t="s">
        <v>133</v>
      </c>
      <c r="AL15" s="31" t="s">
        <v>133</v>
      </c>
      <c r="AM15" s="31" t="s">
        <v>133</v>
      </c>
      <c r="AN15" s="31" t="s">
        <v>133</v>
      </c>
      <c r="AO15" s="31" t="s">
        <v>133</v>
      </c>
      <c r="AP15" s="31" t="s">
        <v>133</v>
      </c>
      <c r="AQ15" s="31" t="s">
        <v>133</v>
      </c>
      <c r="AR15" s="31" t="s">
        <v>133</v>
      </c>
      <c r="AS15" s="31" t="s">
        <v>133</v>
      </c>
      <c r="AT15" s="31" t="s">
        <v>133</v>
      </c>
      <c r="AU15" s="31" t="s">
        <v>520</v>
      </c>
      <c r="AV15" s="31" t="s">
        <v>133</v>
      </c>
      <c r="AW15" s="32"/>
      <c r="AX15" s="32"/>
      <c r="AY15" s="32"/>
    </row>
    <row x14ac:dyDescent="0.25" r="16" customHeight="1" ht="18.75">
      <c r="A16" s="30" t="s">
        <v>128</v>
      </c>
      <c r="B16" s="31">
        <v>-2</v>
      </c>
      <c r="C16" s="31">
        <v>-2</v>
      </c>
      <c r="D16" s="31">
        <v>-2</v>
      </c>
      <c r="E16" s="31">
        <v>-2</v>
      </c>
      <c r="F16" s="143">
        <v>-2</v>
      </c>
      <c r="G16" s="143">
        <v>-2</v>
      </c>
      <c r="H16" s="143">
        <v>-2</v>
      </c>
      <c r="I16" s="143">
        <v>-2</v>
      </c>
      <c r="J16" s="31">
        <v>-2</v>
      </c>
      <c r="K16" s="31">
        <v>-2</v>
      </c>
      <c r="L16" s="31">
        <v>-2</v>
      </c>
      <c r="M16" s="31">
        <v>-2</v>
      </c>
      <c r="N16" s="31">
        <v>-2</v>
      </c>
      <c r="O16" s="31">
        <v>-2</v>
      </c>
      <c r="P16" s="31">
        <v>-2</v>
      </c>
      <c r="Q16" s="31">
        <v>-2</v>
      </c>
      <c r="R16" s="31">
        <v>-2</v>
      </c>
      <c r="S16" s="31">
        <v>-2</v>
      </c>
      <c r="T16" s="142">
        <v>-2</v>
      </c>
      <c r="U16" s="31"/>
      <c r="V16" s="31"/>
      <c r="W16" s="31"/>
      <c r="X16" s="31"/>
      <c r="Y16" s="31"/>
      <c r="Z16" s="31"/>
      <c r="AA16" s="31">
        <v>-0.5</v>
      </c>
      <c r="AB16" s="31"/>
      <c r="AC16" s="31"/>
      <c r="AD16" s="31"/>
      <c r="AE16" s="31"/>
      <c r="AF16" s="31"/>
      <c r="AG16" s="31"/>
      <c r="AH16" s="31">
        <v>-2</v>
      </c>
      <c r="AI16" s="3"/>
      <c r="AJ16" s="31">
        <v>-0.5</v>
      </c>
      <c r="AK16" s="31">
        <v>-0.5</v>
      </c>
      <c r="AL16" s="31">
        <v>-0.5</v>
      </c>
      <c r="AM16" s="31">
        <f>AVERAGE(-2,-0.5)</f>
      </c>
      <c r="AN16" s="31">
        <v>-2</v>
      </c>
      <c r="AO16" s="31">
        <v>-2</v>
      </c>
      <c r="AP16" s="31">
        <v>-2</v>
      </c>
      <c r="AQ16" s="31">
        <v>-2</v>
      </c>
      <c r="AR16" s="31">
        <v>-0.5</v>
      </c>
      <c r="AS16" s="31">
        <v>-0.5</v>
      </c>
      <c r="AT16" s="31">
        <v>-0.5</v>
      </c>
      <c r="AU16" s="31">
        <f>AVERAGE(-0.5,-0.5,0.5)</f>
      </c>
      <c r="AV16" s="31">
        <v>-0.5</v>
      </c>
      <c r="AW16" s="31"/>
      <c r="AX16" s="31"/>
      <c r="AY16" s="31"/>
    </row>
    <row x14ac:dyDescent="0.25" r="17" customHeight="1" ht="15.75">
      <c r="A17" s="30" t="s">
        <v>129</v>
      </c>
      <c r="B17" s="31" t="s">
        <v>718</v>
      </c>
      <c r="C17" s="33" t="s">
        <v>369</v>
      </c>
      <c r="D17" s="33" t="s">
        <v>369</v>
      </c>
      <c r="E17" s="33" t="s">
        <v>369</v>
      </c>
      <c r="F17" s="146" t="s">
        <v>358</v>
      </c>
      <c r="G17" s="146" t="s">
        <v>358</v>
      </c>
      <c r="H17" s="146" t="s">
        <v>358</v>
      </c>
      <c r="I17" s="146" t="s">
        <v>358</v>
      </c>
      <c r="J17" s="33" t="s">
        <v>369</v>
      </c>
      <c r="K17" s="33" t="s">
        <v>369</v>
      </c>
      <c r="L17" s="33" t="s">
        <v>369</v>
      </c>
      <c r="M17" s="33" t="s">
        <v>369</v>
      </c>
      <c r="N17" s="31" t="s">
        <v>134</v>
      </c>
      <c r="O17" s="31" t="s">
        <v>134</v>
      </c>
      <c r="P17" s="33" t="s">
        <v>369</v>
      </c>
      <c r="Q17" s="33" t="s">
        <v>369</v>
      </c>
      <c r="R17" s="33" t="s">
        <v>369</v>
      </c>
      <c r="S17" s="140" t="s">
        <v>369</v>
      </c>
      <c r="T17" s="31" t="s">
        <v>369</v>
      </c>
      <c r="U17" s="115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32"/>
      <c r="AF17" s="32"/>
      <c r="AG17" s="32"/>
      <c r="AH17" s="31" t="s">
        <v>134</v>
      </c>
      <c r="AI17" s="3"/>
      <c r="AJ17" s="31" t="s">
        <v>169</v>
      </c>
      <c r="AK17" s="31" t="s">
        <v>169</v>
      </c>
      <c r="AL17" s="31" t="s">
        <v>169</v>
      </c>
      <c r="AM17" s="31" t="s">
        <v>169</v>
      </c>
      <c r="AN17" s="31" t="s">
        <v>169</v>
      </c>
      <c r="AO17" s="31" t="s">
        <v>169</v>
      </c>
      <c r="AP17" s="31" t="s">
        <v>169</v>
      </c>
      <c r="AQ17" s="31" t="s">
        <v>169</v>
      </c>
      <c r="AR17" s="31" t="s">
        <v>169</v>
      </c>
      <c r="AS17" s="31" t="s">
        <v>274</v>
      </c>
      <c r="AT17" s="31" t="s">
        <v>169</v>
      </c>
      <c r="AU17" s="31" t="s">
        <v>274</v>
      </c>
      <c r="AV17" s="31" t="s">
        <v>169</v>
      </c>
      <c r="AW17" s="32"/>
      <c r="AX17" s="32"/>
      <c r="AY17" s="32"/>
    </row>
    <row x14ac:dyDescent="0.25" r="18" customHeight="1" ht="18.75">
      <c r="A18" s="30" t="s">
        <v>130</v>
      </c>
      <c r="B18" s="31">
        <f>1/3*1.25</f>
      </c>
      <c r="C18" s="31">
        <f>AVERAGE(1/3,0)</f>
      </c>
      <c r="D18" s="31">
        <f>AVERAGE(1/3,0)</f>
      </c>
      <c r="E18" s="31">
        <f>AVERAGE(1/3,0)</f>
      </c>
      <c r="F18" s="143">
        <v>0</v>
      </c>
      <c r="G18" s="143">
        <v>0</v>
      </c>
      <c r="H18" s="143">
        <v>0</v>
      </c>
      <c r="I18" s="143">
        <v>0</v>
      </c>
      <c r="J18" s="31">
        <f>AVERAGE(1/3,0)</f>
      </c>
      <c r="K18" s="31">
        <f>AVERAGE(1/3,0)</f>
      </c>
      <c r="L18" s="31">
        <f>AVERAGE(1/3,0)</f>
      </c>
      <c r="M18" s="31">
        <f>AVERAGE(1/3,0)</f>
      </c>
      <c r="N18" s="31">
        <f>1/3</f>
      </c>
      <c r="O18" s="31">
        <f>1/3</f>
      </c>
      <c r="P18" s="31">
        <f>AVERAGE(1/3,0)</f>
      </c>
      <c r="Q18" s="31">
        <f>AVERAGE(1/3,0)</f>
      </c>
      <c r="R18" s="31">
        <f>AVERAGE(1/3,0)</f>
      </c>
      <c r="S18" s="31">
        <f>AVERAGE(1/3,0)</f>
      </c>
      <c r="T18" s="33">
        <f>AVERAGE(1/3,0)</f>
      </c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31"/>
      <c r="AF18" s="31"/>
      <c r="AG18" s="31"/>
      <c r="AH18" s="31">
        <f>1/3</f>
      </c>
      <c r="AI18" s="3"/>
      <c r="AJ18" s="33">
        <v>2</v>
      </c>
      <c r="AK18" s="33">
        <v>2</v>
      </c>
      <c r="AL18" s="33">
        <v>2</v>
      </c>
      <c r="AM18" s="33">
        <v>2</v>
      </c>
      <c r="AN18" s="33">
        <v>2</v>
      </c>
      <c r="AO18" s="33">
        <v>2</v>
      </c>
      <c r="AP18" s="33">
        <v>2</v>
      </c>
      <c r="AQ18" s="33">
        <v>2</v>
      </c>
      <c r="AR18" s="33">
        <v>2</v>
      </c>
      <c r="AS18" s="33">
        <v>3</v>
      </c>
      <c r="AT18" s="33">
        <v>2</v>
      </c>
      <c r="AU18" s="33">
        <v>3</v>
      </c>
      <c r="AV18" s="33">
        <v>2</v>
      </c>
      <c r="AW18" s="33"/>
      <c r="AX18" s="33"/>
      <c r="AY18" s="33"/>
    </row>
    <row x14ac:dyDescent="0.25" r="19" customHeight="1" ht="15.75">
      <c r="A19" s="46"/>
      <c r="B19" s="2"/>
      <c r="C19" s="121" t="s">
        <v>719</v>
      </c>
      <c r="D19" s="121"/>
      <c r="E19" s="121"/>
      <c r="F19" s="2"/>
      <c r="G19" s="121"/>
      <c r="H19" s="121"/>
      <c r="I19" s="121"/>
      <c r="J19" s="149"/>
      <c r="K19" s="121"/>
      <c r="L19" s="121"/>
      <c r="M19" s="121"/>
      <c r="N19" s="149"/>
      <c r="O19" s="149"/>
      <c r="P19" s="149"/>
      <c r="Q19" s="149"/>
      <c r="R19" s="149"/>
      <c r="S19" s="149"/>
      <c r="T19" s="2"/>
      <c r="U19" s="3"/>
      <c r="V19" s="3"/>
      <c r="W19" s="3"/>
      <c r="X19" s="3"/>
      <c r="Y19" s="3"/>
      <c r="Z19" s="3"/>
      <c r="AA19" s="138"/>
      <c r="AB19" s="3"/>
      <c r="AC19" s="3"/>
      <c r="AD19" s="3"/>
      <c r="AE19" s="3"/>
      <c r="AF19" s="3"/>
      <c r="AG19" s="3"/>
      <c r="AH19" s="2"/>
      <c r="AI19" s="3"/>
      <c r="AJ19" s="190" t="s">
        <v>720</v>
      </c>
      <c r="AK19" s="2"/>
      <c r="AL19" s="2"/>
      <c r="AM19" s="2"/>
      <c r="AN19" s="190"/>
      <c r="AO19" s="191"/>
      <c r="AP19" s="191"/>
      <c r="AQ19" s="2"/>
      <c r="AR19" s="2"/>
      <c r="AS19" s="2"/>
      <c r="AT19" s="2"/>
      <c r="AU19" s="2"/>
      <c r="AV19" s="2"/>
      <c r="AW19" s="3"/>
      <c r="AX19" s="3"/>
      <c r="AY19" s="3"/>
    </row>
    <row x14ac:dyDescent="0.25" r="20" customHeight="1" ht="18.75">
      <c r="A20" s="38" t="s">
        <v>64</v>
      </c>
      <c r="B20" s="2"/>
      <c r="C20" s="149"/>
      <c r="D20" s="2"/>
      <c r="E20" s="149"/>
      <c r="F20" s="2"/>
      <c r="G20" s="149"/>
      <c r="H20" s="2"/>
      <c r="I20" s="2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2"/>
      <c r="U20" s="3"/>
      <c r="V20" s="3"/>
      <c r="W20" s="3"/>
      <c r="X20" s="3"/>
      <c r="Y20" s="3"/>
      <c r="Z20" s="3"/>
      <c r="AA20" s="149"/>
      <c r="AB20" s="3"/>
      <c r="AC20" s="3"/>
      <c r="AD20" s="3"/>
      <c r="AE20" s="3"/>
      <c r="AF20" s="3"/>
      <c r="AG20" s="3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3"/>
      <c r="AX20" s="3"/>
      <c r="AY20" s="3"/>
    </row>
    <row x14ac:dyDescent="0.25" r="21" customHeight="1" ht="35.25">
      <c r="A21" s="192" t="s">
        <v>721</v>
      </c>
      <c r="B21" s="40"/>
      <c r="C21" s="149"/>
      <c r="D21" s="2"/>
      <c r="E21" s="149"/>
      <c r="F21" s="2"/>
      <c r="G21" s="149"/>
      <c r="H21" s="2"/>
      <c r="I21" s="2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2"/>
      <c r="U21" s="3"/>
      <c r="V21" s="3"/>
      <c r="W21" s="3"/>
      <c r="X21" s="3"/>
      <c r="Y21" s="3"/>
      <c r="Z21" s="3"/>
      <c r="AA21" s="149"/>
      <c r="AB21" s="3"/>
      <c r="AC21" s="3"/>
      <c r="AD21" s="3"/>
      <c r="AE21" s="3"/>
      <c r="AF21" s="3"/>
      <c r="AG21" s="3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3"/>
      <c r="AX21" s="3"/>
      <c r="AY21" s="3"/>
    </row>
    <row x14ac:dyDescent="0.25" r="22" customHeight="1" ht="35.25">
      <c r="A22" s="192" t="s">
        <v>722</v>
      </c>
      <c r="B22" s="40"/>
      <c r="C22" s="149"/>
      <c r="D22" s="2"/>
      <c r="E22" s="149"/>
      <c r="F22" s="2"/>
      <c r="G22" s="149"/>
      <c r="H22" s="2"/>
      <c r="I22" s="2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2"/>
      <c r="U22" s="3"/>
      <c r="V22" s="3"/>
      <c r="W22" s="3"/>
      <c r="X22" s="3"/>
      <c r="Y22" s="3"/>
      <c r="Z22" s="3"/>
      <c r="AA22" s="149"/>
      <c r="AB22" s="3"/>
      <c r="AC22" s="3"/>
      <c r="AD22" s="3"/>
      <c r="AE22" s="3"/>
      <c r="AF22" s="3"/>
      <c r="AG22" s="3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3"/>
      <c r="AX22" s="3"/>
      <c r="AY22" s="3"/>
    </row>
    <row x14ac:dyDescent="0.25" r="23" customHeight="1" ht="18.75">
      <c r="A23" s="46"/>
      <c r="B23" s="2"/>
      <c r="C23" s="149"/>
      <c r="D23" s="2"/>
      <c r="E23" s="149"/>
      <c r="F23" s="2"/>
      <c r="G23" s="149"/>
      <c r="H23" s="2"/>
      <c r="I23" s="2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2"/>
      <c r="U23" s="3"/>
      <c r="V23" s="3"/>
      <c r="W23" s="3"/>
      <c r="X23" s="3"/>
      <c r="Y23" s="3"/>
      <c r="Z23" s="3"/>
      <c r="AA23" s="149"/>
      <c r="AB23" s="3"/>
      <c r="AC23" s="3"/>
      <c r="AD23" s="3"/>
      <c r="AE23" s="3"/>
      <c r="AF23" s="3"/>
      <c r="AG23" s="3"/>
      <c r="AH23" s="2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3"/>
      <c r="AX23" s="3"/>
      <c r="AY23" s="3"/>
    </row>
    <row x14ac:dyDescent="0.25" r="24" customHeight="1" ht="18.75">
      <c r="A24" s="30" t="s">
        <v>416</v>
      </c>
      <c r="B24" s="2"/>
      <c r="C24" s="149"/>
      <c r="D24" s="2"/>
      <c r="E24" s="149"/>
      <c r="F24" s="2"/>
      <c r="G24" s="149"/>
      <c r="H24" s="2"/>
      <c r="I24" s="2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2"/>
      <c r="U24" s="3"/>
      <c r="V24" s="3"/>
      <c r="W24" s="3"/>
      <c r="X24" s="3"/>
      <c r="Y24" s="3"/>
      <c r="Z24" s="3"/>
      <c r="AA24" s="149"/>
      <c r="AB24" s="3"/>
      <c r="AC24" s="3"/>
      <c r="AD24" s="3"/>
      <c r="AE24" s="3"/>
      <c r="AF24" s="3"/>
      <c r="AG24" s="3"/>
      <c r="AH24" s="2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3"/>
      <c r="AX24" s="3"/>
      <c r="AY24" s="3"/>
    </row>
    <row x14ac:dyDescent="0.25" r="25" customHeight="1" ht="18.75">
      <c r="A25" s="30" t="s">
        <v>723</v>
      </c>
      <c r="B25" s="2"/>
      <c r="C25" s="193" t="s">
        <v>368</v>
      </c>
      <c r="D25" s="193"/>
      <c r="E25" s="149"/>
      <c r="F25" s="2"/>
      <c r="G25" s="150" t="s">
        <v>431</v>
      </c>
      <c r="H25" s="2"/>
      <c r="I25" s="2"/>
      <c r="J25" s="149"/>
      <c r="K25" s="193"/>
      <c r="L25" s="193"/>
      <c r="M25" s="193"/>
      <c r="N25" s="149"/>
      <c r="O25" s="149"/>
      <c r="P25" s="193" t="s">
        <v>368</v>
      </c>
      <c r="Q25" s="193"/>
      <c r="R25" s="193"/>
      <c r="S25" s="149"/>
      <c r="T25" s="158"/>
      <c r="U25" s="39"/>
      <c r="V25" s="3"/>
      <c r="W25" s="3"/>
      <c r="X25" s="194" t="s">
        <v>132</v>
      </c>
      <c r="Y25" s="194"/>
      <c r="Z25" s="3"/>
      <c r="AA25" s="158" t="s">
        <v>273</v>
      </c>
      <c r="AB25" s="3"/>
      <c r="AC25" s="3"/>
      <c r="AD25" s="3"/>
      <c r="AE25" s="194" t="s">
        <v>132</v>
      </c>
      <c r="AF25" s="39"/>
      <c r="AG25" s="3"/>
      <c r="AH25" s="2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3"/>
      <c r="AX25" s="3"/>
      <c r="AY25" s="3"/>
    </row>
    <row x14ac:dyDescent="0.25" r="26" customHeight="1" ht="18.75">
      <c r="A26" s="195" t="s">
        <v>724</v>
      </c>
      <c r="B26" s="2"/>
      <c r="C26" s="193"/>
      <c r="D26" s="193"/>
      <c r="E26" s="149"/>
      <c r="F26" s="2"/>
      <c r="G26" s="150" t="s">
        <v>431</v>
      </c>
      <c r="H26" s="2"/>
      <c r="I26" s="2"/>
      <c r="J26" s="149"/>
      <c r="K26" s="149"/>
      <c r="L26" s="149"/>
      <c r="M26" s="149"/>
      <c r="N26" s="158" t="s">
        <v>272</v>
      </c>
      <c r="O26" s="158"/>
      <c r="P26" s="193" t="s">
        <v>368</v>
      </c>
      <c r="Q26" s="193"/>
      <c r="R26" s="193"/>
      <c r="S26" s="193"/>
      <c r="T26" s="158"/>
      <c r="U26" s="3"/>
      <c r="V26" s="3"/>
      <c r="W26" s="3"/>
      <c r="X26" s="194"/>
      <c r="Y26" s="194"/>
      <c r="Z26" s="3"/>
      <c r="AA26" s="158"/>
      <c r="AB26" s="3"/>
      <c r="AC26" s="3"/>
      <c r="AD26" s="3"/>
      <c r="AE26" s="194"/>
      <c r="AF26" s="39"/>
      <c r="AG26" s="3"/>
      <c r="AH26" s="2"/>
      <c r="AI26" s="3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3"/>
      <c r="AX26" s="3"/>
      <c r="AY26" s="3"/>
    </row>
    <row x14ac:dyDescent="0.25" r="27" customHeight="1" ht="18.75">
      <c r="A27" s="164" t="s">
        <v>725</v>
      </c>
      <c r="B27" s="2"/>
      <c r="C27" s="193" t="s">
        <v>132</v>
      </c>
      <c r="D27" s="193"/>
      <c r="E27" s="193"/>
      <c r="F27" s="158" t="s">
        <v>158</v>
      </c>
      <c r="G27" s="158" t="s">
        <v>158</v>
      </c>
      <c r="H27" s="158"/>
      <c r="I27" s="158"/>
      <c r="J27" s="158" t="s">
        <v>158</v>
      </c>
      <c r="K27" s="150" t="s">
        <v>726</v>
      </c>
      <c r="L27" s="150" t="s">
        <v>726</v>
      </c>
      <c r="M27" s="150" t="s">
        <v>726</v>
      </c>
      <c r="N27" s="193" t="s">
        <v>132</v>
      </c>
      <c r="O27" s="193"/>
      <c r="P27" s="193" t="s">
        <v>368</v>
      </c>
      <c r="Q27" s="193"/>
      <c r="R27" s="193"/>
      <c r="S27" s="193"/>
      <c r="T27" s="158"/>
      <c r="U27" s="39"/>
      <c r="V27" s="39"/>
      <c r="W27" s="194"/>
      <c r="X27" s="3"/>
      <c r="Y27" s="3"/>
      <c r="Z27" s="39"/>
      <c r="AA27" s="158" t="s">
        <v>273</v>
      </c>
      <c r="AB27" s="3"/>
      <c r="AC27" s="194" t="s">
        <v>132</v>
      </c>
      <c r="AD27" s="3"/>
      <c r="AE27" s="194" t="s">
        <v>132</v>
      </c>
      <c r="AF27" s="3"/>
      <c r="AG27" s="194" t="s">
        <v>132</v>
      </c>
      <c r="AH27" s="2"/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3"/>
      <c r="AX27" s="3"/>
      <c r="AY27" s="3"/>
    </row>
    <row x14ac:dyDescent="0.25" r="28" customHeight="1" ht="18.75">
      <c r="A28" s="30" t="s">
        <v>727</v>
      </c>
      <c r="B28" s="2"/>
      <c r="C28" s="150" t="s">
        <v>430</v>
      </c>
      <c r="D28" s="2"/>
      <c r="E28" s="149"/>
      <c r="F28" s="2"/>
      <c r="G28" s="150" t="s">
        <v>430</v>
      </c>
      <c r="H28" s="2"/>
      <c r="I28" s="2"/>
      <c r="J28" s="150" t="s">
        <v>430</v>
      </c>
      <c r="K28" s="158" t="s">
        <v>271</v>
      </c>
      <c r="L28" s="158"/>
      <c r="M28" s="158"/>
      <c r="N28" s="158" t="s">
        <v>272</v>
      </c>
      <c r="O28" s="158"/>
      <c r="P28" s="193" t="s">
        <v>368</v>
      </c>
      <c r="Q28" s="193"/>
      <c r="R28" s="150" t="s">
        <v>431</v>
      </c>
      <c r="S28" s="158"/>
      <c r="T28" s="2"/>
      <c r="U28" s="30" t="s">
        <v>431</v>
      </c>
      <c r="V28" s="3"/>
      <c r="W28" s="194" t="s">
        <v>132</v>
      </c>
      <c r="X28" s="3"/>
      <c r="Y28" s="3"/>
      <c r="Z28" s="39"/>
      <c r="AA28" s="158" t="s">
        <v>273</v>
      </c>
      <c r="AB28" s="3"/>
      <c r="AC28" s="39" t="s">
        <v>273</v>
      </c>
      <c r="AD28" s="3"/>
      <c r="AE28" s="39" t="s">
        <v>273</v>
      </c>
      <c r="AF28" s="3"/>
      <c r="AG28" s="194" t="s">
        <v>132</v>
      </c>
      <c r="AH28" s="193" t="s">
        <v>132</v>
      </c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3"/>
      <c r="AX28" s="3"/>
      <c r="AY28" s="3"/>
    </row>
    <row x14ac:dyDescent="0.25" r="29" customHeight="1" ht="18.75">
      <c r="A29" s="30" t="s">
        <v>728</v>
      </c>
      <c r="B29" s="2"/>
      <c r="C29" s="193" t="s">
        <v>132</v>
      </c>
      <c r="D29" s="193"/>
      <c r="E29" s="193"/>
      <c r="F29" s="158" t="s">
        <v>158</v>
      </c>
      <c r="G29" s="158" t="s">
        <v>158</v>
      </c>
      <c r="H29" s="158"/>
      <c r="I29" s="158"/>
      <c r="J29" s="158" t="s">
        <v>158</v>
      </c>
      <c r="K29" s="158" t="s">
        <v>271</v>
      </c>
      <c r="L29" s="158"/>
      <c r="M29" s="158"/>
      <c r="N29" s="149"/>
      <c r="O29" s="193" t="s">
        <v>132</v>
      </c>
      <c r="P29" s="193" t="s">
        <v>368</v>
      </c>
      <c r="Q29" s="193"/>
      <c r="R29" s="193" t="s">
        <v>132</v>
      </c>
      <c r="S29" s="149"/>
      <c r="T29" s="158"/>
      <c r="U29" s="3"/>
      <c r="V29" s="3"/>
      <c r="W29" s="3"/>
      <c r="X29" s="3"/>
      <c r="Y29" s="3"/>
      <c r="Z29" s="3"/>
      <c r="AA29" s="158" t="s">
        <v>512</v>
      </c>
      <c r="AB29" s="3"/>
      <c r="AC29" s="3"/>
      <c r="AD29" s="3"/>
      <c r="AE29" s="3"/>
      <c r="AF29" s="3"/>
      <c r="AG29" s="3"/>
      <c r="AH29" s="2"/>
      <c r="AI29" s="3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3"/>
      <c r="AX29" s="3"/>
      <c r="AY29" s="3"/>
    </row>
    <row x14ac:dyDescent="0.25" r="30" customHeight="1" ht="18.75">
      <c r="A30" s="30" t="s">
        <v>729</v>
      </c>
      <c r="B30" s="2"/>
      <c r="C30" s="150" t="s">
        <v>430</v>
      </c>
      <c r="D30" s="2"/>
      <c r="E30" s="149"/>
      <c r="F30" s="2"/>
      <c r="G30" s="150" t="s">
        <v>430</v>
      </c>
      <c r="H30" s="2"/>
      <c r="I30" s="2"/>
      <c r="J30" s="150" t="s">
        <v>430</v>
      </c>
      <c r="K30" s="158" t="s">
        <v>271</v>
      </c>
      <c r="L30" s="158"/>
      <c r="M30" s="158"/>
      <c r="N30" s="158" t="s">
        <v>272</v>
      </c>
      <c r="O30" s="158"/>
      <c r="P30" s="193" t="s">
        <v>368</v>
      </c>
      <c r="Q30" s="193"/>
      <c r="R30" s="193" t="s">
        <v>132</v>
      </c>
      <c r="S30" s="193" t="s">
        <v>132</v>
      </c>
      <c r="T30" s="193"/>
      <c r="U30" s="194" t="s">
        <v>132</v>
      </c>
      <c r="V30" s="3"/>
      <c r="W30" s="3"/>
      <c r="X30" s="3"/>
      <c r="Y30" s="3"/>
      <c r="Z30" s="3"/>
      <c r="AA30" s="149"/>
      <c r="AB30" s="3"/>
      <c r="AC30" s="3"/>
      <c r="AD30" s="3"/>
      <c r="AE30" s="3"/>
      <c r="AF30" s="3"/>
      <c r="AG30" s="3"/>
      <c r="AH30" s="2"/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3"/>
      <c r="AX30" s="3"/>
      <c r="AY30" s="3"/>
    </row>
    <row x14ac:dyDescent="0.25" r="31" customHeight="1" ht="18.75">
      <c r="A31" s="30" t="s">
        <v>730</v>
      </c>
      <c r="B31" s="2"/>
      <c r="C31" s="158" t="s">
        <v>271</v>
      </c>
      <c r="D31" s="158"/>
      <c r="E31" s="158" t="s">
        <v>227</v>
      </c>
      <c r="F31" s="158" t="s">
        <v>227</v>
      </c>
      <c r="G31" s="193" t="s">
        <v>358</v>
      </c>
      <c r="H31" s="193"/>
      <c r="I31" s="193"/>
      <c r="J31" s="150" t="s">
        <v>430</v>
      </c>
      <c r="K31" s="150" t="s">
        <v>430</v>
      </c>
      <c r="L31" s="149"/>
      <c r="M31" s="149"/>
      <c r="N31" s="150" t="s">
        <v>430</v>
      </c>
      <c r="O31" s="149"/>
      <c r="P31" s="150" t="s">
        <v>430</v>
      </c>
      <c r="Q31" s="149"/>
      <c r="R31" s="149"/>
      <c r="S31" s="149"/>
      <c r="T31" s="2"/>
      <c r="U31" s="3"/>
      <c r="V31" s="3"/>
      <c r="W31" s="3"/>
      <c r="X31" s="3"/>
      <c r="Y31" s="3"/>
      <c r="Z31" s="3"/>
      <c r="AA31" s="149"/>
      <c r="AB31" s="3"/>
      <c r="AC31" s="3"/>
      <c r="AD31" s="3"/>
      <c r="AE31" s="3"/>
      <c r="AF31" s="3"/>
      <c r="AG31" s="3"/>
      <c r="AH31" s="2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3"/>
      <c r="AX31" s="3"/>
      <c r="AY31" s="3"/>
    </row>
    <row x14ac:dyDescent="0.25" r="32" customHeight="1" ht="18.75">
      <c r="A32" s="30" t="s">
        <v>731</v>
      </c>
      <c r="B32" s="2"/>
      <c r="C32" s="150" t="s">
        <v>732</v>
      </c>
      <c r="D32" s="2"/>
      <c r="E32" s="150" t="s">
        <v>732</v>
      </c>
      <c r="F32" s="2"/>
      <c r="G32" s="150" t="s">
        <v>733</v>
      </c>
      <c r="H32" s="2"/>
      <c r="I32" s="2"/>
      <c r="J32" s="193" t="s">
        <v>358</v>
      </c>
      <c r="K32" s="158" t="s">
        <v>271</v>
      </c>
      <c r="L32" s="158"/>
      <c r="M32" s="158"/>
      <c r="N32" s="193" t="s">
        <v>132</v>
      </c>
      <c r="O32" s="193"/>
      <c r="P32" s="193"/>
      <c r="Q32" s="193"/>
      <c r="R32" s="193"/>
      <c r="S32" s="193"/>
      <c r="T32" s="2"/>
      <c r="U32" s="3"/>
      <c r="V32" s="3"/>
      <c r="W32" s="3"/>
      <c r="X32" s="3"/>
      <c r="Y32" s="3"/>
      <c r="Z32" s="3"/>
      <c r="AA32" s="158" t="s">
        <v>273</v>
      </c>
      <c r="AB32" s="3"/>
      <c r="AC32" s="3"/>
      <c r="AD32" s="3"/>
      <c r="AE32" s="3"/>
      <c r="AF32" s="3"/>
      <c r="AG32" s="3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3"/>
      <c r="AX32" s="3"/>
      <c r="AY32" s="3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2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151" width="13.576428571428572" customWidth="1" bestFit="1"/>
    <col min="4" max="4" style="151" width="13.576428571428572" customWidth="1" bestFit="1"/>
    <col min="5" max="5" style="151" width="13.576428571428572" customWidth="1" bestFit="1"/>
    <col min="6" max="6" style="151" width="13.576428571428572" customWidth="1" bestFit="1"/>
    <col min="7" max="7" style="151" width="13.576428571428572" customWidth="1" bestFit="1"/>
    <col min="8" max="8" style="151" width="13.576428571428572" customWidth="1" bestFit="1"/>
    <col min="9" max="9" style="151" width="13.576428571428572" customWidth="1" bestFit="1"/>
    <col min="10" max="10" style="43" width="13.576428571428572" customWidth="1" bestFit="1"/>
    <col min="11" max="11" style="151" width="13.576428571428572" customWidth="1" bestFit="1"/>
    <col min="12" max="12" style="151" width="13.576428571428572" customWidth="1" bestFit="1"/>
    <col min="13" max="13" style="151" width="13.576428571428572" customWidth="1" bestFit="1"/>
    <col min="14" max="14" style="151" width="13.576428571428572" customWidth="1" bestFit="1"/>
    <col min="15" max="15" style="151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149"/>
      <c r="D1" s="45" t="s">
        <v>71</v>
      </c>
      <c r="E1" s="149"/>
      <c r="F1" s="149"/>
      <c r="G1" s="149"/>
      <c r="H1" s="149"/>
      <c r="I1" s="45" t="s">
        <v>136</v>
      </c>
      <c r="J1" s="2"/>
      <c r="K1" s="149"/>
      <c r="L1" s="149"/>
      <c r="M1" s="149"/>
      <c r="N1" s="149"/>
      <c r="O1" s="149"/>
      <c r="P1" s="149"/>
      <c r="Q1" s="149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  <c r="AI1" s="3"/>
      <c r="AJ1" s="2"/>
      <c r="AK1" s="2"/>
    </row>
    <row x14ac:dyDescent="0.25" r="2" customHeight="1" ht="18.75">
      <c r="A2" s="3"/>
      <c r="B2" s="2"/>
      <c r="C2" s="149"/>
      <c r="D2" s="149"/>
      <c r="E2" s="149"/>
      <c r="F2" s="149"/>
      <c r="G2" s="149"/>
      <c r="H2" s="149"/>
      <c r="I2" s="149"/>
      <c r="J2" s="2"/>
      <c r="K2" s="149"/>
      <c r="L2" s="149"/>
      <c r="M2" s="149"/>
      <c r="N2" s="149"/>
      <c r="O2" s="149"/>
      <c r="P2" s="149"/>
      <c r="Q2" s="149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  <c r="AI2" s="3"/>
      <c r="AJ2" s="2"/>
      <c r="AK2" s="2"/>
    </row>
    <row x14ac:dyDescent="0.25" r="3" customHeight="1" ht="18.75">
      <c r="A3" s="1" t="s">
        <v>2</v>
      </c>
      <c r="B3" s="5">
        <v>75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149"/>
      <c r="Q3" s="149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  <c r="AI3" s="3"/>
      <c r="AJ3" s="2"/>
      <c r="AK3" s="2"/>
    </row>
    <row x14ac:dyDescent="0.25" r="4" customHeight="1" ht="18.75">
      <c r="A4" s="1" t="s">
        <v>4</v>
      </c>
      <c r="B4" s="7" t="s">
        <v>694</v>
      </c>
      <c r="C4" s="7"/>
      <c r="D4" s="7"/>
      <c r="E4" s="149"/>
      <c r="F4" s="124" t="s">
        <v>695</v>
      </c>
      <c r="G4" s="92"/>
      <c r="H4" s="92"/>
      <c r="I4" s="92"/>
      <c r="J4" s="92"/>
      <c r="K4" s="92"/>
      <c r="L4" s="92"/>
      <c r="M4" s="92"/>
      <c r="N4" s="92"/>
      <c r="O4" s="125"/>
      <c r="P4" s="149"/>
      <c r="Q4" s="149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  <c r="AI4" s="3"/>
      <c r="AJ4" s="2"/>
      <c r="AK4" s="2"/>
    </row>
    <row x14ac:dyDescent="0.25" r="5" customHeight="1" ht="18.75">
      <c r="A5" s="1" t="s">
        <v>7</v>
      </c>
      <c r="B5" s="7" t="s">
        <v>75</v>
      </c>
      <c r="C5" s="7"/>
      <c r="D5" s="7"/>
      <c r="E5" s="149"/>
      <c r="F5" s="126"/>
      <c r="G5" s="96"/>
      <c r="H5" s="96"/>
      <c r="I5" s="96"/>
      <c r="J5" s="96"/>
      <c r="K5" s="96"/>
      <c r="L5" s="96"/>
      <c r="M5" s="96"/>
      <c r="N5" s="96"/>
      <c r="O5" s="127"/>
      <c r="P5" s="149"/>
      <c r="Q5" s="149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  <c r="AI5" s="3"/>
      <c r="AJ5" s="2"/>
      <c r="AK5" s="2"/>
    </row>
    <row x14ac:dyDescent="0.25" r="6" customHeight="1" ht="18.75">
      <c r="A6" s="3"/>
      <c r="B6" s="2"/>
      <c r="C6" s="149"/>
      <c r="D6" s="149"/>
      <c r="E6" s="149"/>
      <c r="F6" s="149"/>
      <c r="G6" s="149"/>
      <c r="H6" s="149"/>
      <c r="I6" s="149"/>
      <c r="J6" s="2"/>
      <c r="K6" s="149"/>
      <c r="L6" s="149"/>
      <c r="M6" s="149"/>
      <c r="N6" s="149"/>
      <c r="O6" s="149"/>
      <c r="P6" s="149"/>
      <c r="Q6" s="149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56" t="s">
        <v>41</v>
      </c>
      <c r="AH7" s="56" t="s">
        <v>42</v>
      </c>
      <c r="AI7" s="3"/>
      <c r="AJ7" s="55" t="s">
        <v>35</v>
      </c>
      <c r="AK7" s="56" t="s">
        <v>42</v>
      </c>
    </row>
    <row x14ac:dyDescent="0.25" r="8" customHeight="1" ht="18.75">
      <c r="A8" s="30" t="s">
        <v>43</v>
      </c>
      <c r="B8" s="31" t="s">
        <v>138</v>
      </c>
      <c r="C8" s="31" t="s">
        <v>68</v>
      </c>
      <c r="D8" s="31" t="s">
        <v>68</v>
      </c>
      <c r="E8" s="31" t="s">
        <v>68</v>
      </c>
      <c r="F8" s="31" t="s">
        <v>139</v>
      </c>
      <c r="G8" s="31" t="s">
        <v>139</v>
      </c>
      <c r="H8" s="31" t="s">
        <v>139</v>
      </c>
      <c r="I8" s="31" t="s">
        <v>139</v>
      </c>
      <c r="J8" s="31" t="s">
        <v>139</v>
      </c>
      <c r="K8" s="31" t="s">
        <v>139</v>
      </c>
      <c r="L8" s="31" t="s">
        <v>139</v>
      </c>
      <c r="M8" s="31" t="s">
        <v>139</v>
      </c>
      <c r="N8" s="31" t="s">
        <v>139</v>
      </c>
      <c r="O8" s="31" t="s">
        <v>139</v>
      </c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352</v>
      </c>
      <c r="AB8" s="32"/>
      <c r="AC8" s="32"/>
      <c r="AD8" s="32"/>
      <c r="AE8" s="32"/>
      <c r="AF8" s="32"/>
      <c r="AG8" s="31" t="s">
        <v>301</v>
      </c>
      <c r="AH8" s="31" t="s">
        <v>68</v>
      </c>
      <c r="AI8" s="3"/>
      <c r="AJ8" s="31" t="s">
        <v>139</v>
      </c>
      <c r="AK8" s="31" t="s">
        <v>139</v>
      </c>
    </row>
    <row x14ac:dyDescent="0.25" r="9" customHeight="1" ht="18.75">
      <c r="A9" s="30" t="s">
        <v>45</v>
      </c>
      <c r="B9" s="33" t="s">
        <v>139</v>
      </c>
      <c r="C9" s="31" t="s">
        <v>132</v>
      </c>
      <c r="D9" s="31" t="s">
        <v>132</v>
      </c>
      <c r="E9" s="31" t="s">
        <v>132</v>
      </c>
      <c r="F9" s="33" t="s">
        <v>139</v>
      </c>
      <c r="G9" s="33" t="s">
        <v>139</v>
      </c>
      <c r="H9" s="33" t="s">
        <v>139</v>
      </c>
      <c r="I9" s="33" t="s">
        <v>139</v>
      </c>
      <c r="J9" s="33" t="s">
        <v>139</v>
      </c>
      <c r="K9" s="33" t="s">
        <v>139</v>
      </c>
      <c r="L9" s="33" t="s">
        <v>139</v>
      </c>
      <c r="M9" s="33" t="s">
        <v>139</v>
      </c>
      <c r="N9" s="33" t="s">
        <v>139</v>
      </c>
      <c r="O9" s="33" t="s">
        <v>139</v>
      </c>
      <c r="P9" s="143" t="s">
        <v>358</v>
      </c>
      <c r="Q9" s="143" t="s">
        <v>358</v>
      </c>
      <c r="R9" s="32" t="s">
        <v>696</v>
      </c>
      <c r="S9" s="34"/>
      <c r="T9" s="34"/>
      <c r="U9" s="34"/>
      <c r="V9" s="34"/>
      <c r="W9" s="34"/>
      <c r="X9" s="34"/>
      <c r="Y9" s="34"/>
      <c r="Z9" s="34"/>
      <c r="AA9" s="33" t="s">
        <v>352</v>
      </c>
      <c r="AB9" s="34"/>
      <c r="AC9" s="34"/>
      <c r="AD9" s="34"/>
      <c r="AE9" s="34"/>
      <c r="AF9" s="34"/>
      <c r="AG9" s="33" t="s">
        <v>302</v>
      </c>
      <c r="AH9" s="31" t="s">
        <v>132</v>
      </c>
      <c r="AI9" s="3"/>
      <c r="AJ9" s="33" t="s">
        <v>139</v>
      </c>
      <c r="AK9" s="33" t="s">
        <v>139</v>
      </c>
    </row>
    <row x14ac:dyDescent="0.25" r="10" customHeight="1" ht="18.75">
      <c r="A10" s="35" t="s">
        <v>47</v>
      </c>
      <c r="B10" s="117">
        <v>1</v>
      </c>
      <c r="C10" s="117">
        <v>98</v>
      </c>
      <c r="D10" s="117">
        <v>98</v>
      </c>
      <c r="E10" s="117">
        <v>98</v>
      </c>
      <c r="F10" s="117">
        <v>1</v>
      </c>
      <c r="G10" s="117">
        <v>1</v>
      </c>
      <c r="H10" s="117">
        <v>1</v>
      </c>
      <c r="I10" s="117">
        <v>1</v>
      </c>
      <c r="J10" s="117">
        <v>1</v>
      </c>
      <c r="K10" s="117">
        <v>1</v>
      </c>
      <c r="L10" s="117">
        <v>1</v>
      </c>
      <c r="M10" s="117">
        <v>1</v>
      </c>
      <c r="N10" s="117">
        <v>1</v>
      </c>
      <c r="O10" s="117">
        <v>1</v>
      </c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195</v>
      </c>
      <c r="AB10" s="37"/>
      <c r="AC10" s="37"/>
      <c r="AD10" s="37"/>
      <c r="AE10" s="37"/>
      <c r="AF10" s="37"/>
      <c r="AG10" s="117">
        <v>19</v>
      </c>
      <c r="AH10" s="117">
        <v>98</v>
      </c>
      <c r="AI10" s="3"/>
      <c r="AJ10" s="117">
        <v>1</v>
      </c>
      <c r="AK10" s="117">
        <v>1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3" t="s">
        <v>52</v>
      </c>
      <c r="AH11" s="31" t="s">
        <v>52</v>
      </c>
      <c r="AI11" s="3"/>
      <c r="AJ11" s="31" t="s">
        <v>52</v>
      </c>
      <c r="AK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1" t="s">
        <v>52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1" t="s">
        <v>49</v>
      </c>
      <c r="AH12" s="31" t="s">
        <v>52</v>
      </c>
      <c r="AI12" s="3"/>
      <c r="AJ12" s="31" t="s">
        <v>49</v>
      </c>
      <c r="AK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1" t="s">
        <v>49</v>
      </c>
      <c r="AH13" s="31" t="s">
        <v>49</v>
      </c>
      <c r="AI13" s="3"/>
      <c r="AJ13" s="31" t="s">
        <v>49</v>
      </c>
      <c r="AK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  <c r="AI14" s="3"/>
      <c r="AJ14" s="31" t="s">
        <v>49</v>
      </c>
      <c r="AK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133</v>
      </c>
      <c r="D15" s="31" t="s">
        <v>133</v>
      </c>
      <c r="E15" s="31" t="s">
        <v>133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143" t="s">
        <v>140</v>
      </c>
      <c r="Q15" s="143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1" t="s">
        <v>234</v>
      </c>
      <c r="AH15" s="31" t="s">
        <v>133</v>
      </c>
      <c r="AI15" s="3"/>
      <c r="AJ15" s="31" t="s">
        <v>140</v>
      </c>
      <c r="AK15" s="31" t="s">
        <v>140</v>
      </c>
    </row>
    <row x14ac:dyDescent="0.25" r="16" customHeight="1" ht="18.75">
      <c r="A16" s="30" t="s">
        <v>128</v>
      </c>
      <c r="B16" s="31">
        <v>3</v>
      </c>
      <c r="C16" s="31">
        <v>-2</v>
      </c>
      <c r="D16" s="31">
        <v>-2</v>
      </c>
      <c r="E16" s="31">
        <v>-2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143">
        <v>3</v>
      </c>
      <c r="Q16" s="143">
        <v>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>
        <v>-3</v>
      </c>
      <c r="AH16" s="31">
        <v>-2</v>
      </c>
      <c r="AI16" s="3"/>
      <c r="AJ16" s="31">
        <v>3</v>
      </c>
      <c r="AK16" s="31">
        <v>3</v>
      </c>
    </row>
    <row x14ac:dyDescent="0.25" r="17" customHeight="1" ht="18.75">
      <c r="A17" s="30" t="s">
        <v>129</v>
      </c>
      <c r="B17" s="31" t="s">
        <v>138</v>
      </c>
      <c r="C17" s="31" t="s">
        <v>134</v>
      </c>
      <c r="D17" s="31" t="s">
        <v>134</v>
      </c>
      <c r="E17" s="31" t="s">
        <v>134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143" t="s">
        <v>358</v>
      </c>
      <c r="Q17" s="143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1" t="s">
        <v>138</v>
      </c>
      <c r="AH17" s="31" t="s">
        <v>134</v>
      </c>
      <c r="AI17" s="3"/>
      <c r="AJ17" s="31" t="s">
        <v>138</v>
      </c>
      <c r="AK17" s="31" t="s">
        <v>138</v>
      </c>
    </row>
    <row x14ac:dyDescent="0.25" r="18" customHeight="1" ht="18.75">
      <c r="A18" s="30" t="s">
        <v>130</v>
      </c>
      <c r="B18" s="31">
        <v>4</v>
      </c>
      <c r="C18" s="31">
        <f>1/3</f>
      </c>
      <c r="D18" s="31">
        <f>1/3</f>
      </c>
      <c r="E18" s="31">
        <f>1/3</f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>
        <v>4</v>
      </c>
      <c r="AH18" s="31">
        <f>1/3</f>
      </c>
      <c r="AI18" s="3"/>
      <c r="AJ18" s="31">
        <v>4</v>
      </c>
      <c r="AK18" s="31">
        <v>4</v>
      </c>
    </row>
    <row x14ac:dyDescent="0.25" r="19" customHeight="1" ht="18.75">
      <c r="A19" s="3"/>
      <c r="B19" s="2"/>
      <c r="C19" s="149"/>
      <c r="D19" s="149"/>
      <c r="E19" s="149"/>
      <c r="F19" s="149"/>
      <c r="G19" s="149"/>
      <c r="H19" s="149"/>
      <c r="I19" s="149"/>
      <c r="J19" s="2"/>
      <c r="K19" s="149"/>
      <c r="L19" s="149"/>
      <c r="M19" s="149"/>
      <c r="N19" s="149"/>
      <c r="O19" s="149"/>
      <c r="P19" s="149"/>
      <c r="Q19" s="149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  <c r="AI19" s="3"/>
      <c r="AJ19" s="2"/>
      <c r="AK19" s="2"/>
    </row>
    <row x14ac:dyDescent="0.25" r="20" customHeight="1" ht="18.75">
      <c r="A20" s="30" t="s">
        <v>43</v>
      </c>
      <c r="B20" s="31" t="s">
        <v>131</v>
      </c>
      <c r="C20" s="31" t="s">
        <v>339</v>
      </c>
      <c r="D20" s="31" t="s">
        <v>339</v>
      </c>
      <c r="E20" s="31" t="s">
        <v>339</v>
      </c>
      <c r="F20" s="31" t="s">
        <v>68</v>
      </c>
      <c r="G20" s="31" t="s">
        <v>68</v>
      </c>
      <c r="H20" s="31" t="s">
        <v>68</v>
      </c>
      <c r="I20" s="31" t="s">
        <v>68</v>
      </c>
      <c r="J20" s="31" t="s">
        <v>68</v>
      </c>
      <c r="K20" s="31" t="s">
        <v>68</v>
      </c>
      <c r="L20" s="31" t="s">
        <v>68</v>
      </c>
      <c r="M20" s="31" t="s">
        <v>68</v>
      </c>
      <c r="N20" s="31" t="s">
        <v>68</v>
      </c>
      <c r="O20" s="31" t="s">
        <v>68</v>
      </c>
      <c r="P20" s="31" t="s">
        <v>301</v>
      </c>
      <c r="Q20" s="31" t="s">
        <v>301</v>
      </c>
      <c r="R20" s="32"/>
      <c r="S20" s="32"/>
      <c r="T20" s="32"/>
      <c r="U20" s="32"/>
      <c r="V20" s="32"/>
      <c r="W20" s="32"/>
      <c r="X20" s="32"/>
      <c r="Y20" s="32"/>
      <c r="Z20" s="32"/>
      <c r="AA20" s="31" t="s">
        <v>68</v>
      </c>
      <c r="AB20" s="32"/>
      <c r="AC20" s="32"/>
      <c r="AD20" s="32"/>
      <c r="AE20" s="32"/>
      <c r="AF20" s="32"/>
      <c r="AG20" s="31" t="s">
        <v>68</v>
      </c>
      <c r="AH20" s="31" t="s">
        <v>139</v>
      </c>
      <c r="AI20" s="3"/>
      <c r="AJ20" s="31" t="s">
        <v>68</v>
      </c>
      <c r="AK20" s="31" t="s">
        <v>68</v>
      </c>
    </row>
    <row x14ac:dyDescent="0.25" r="21" customHeight="1" ht="18.75">
      <c r="A21" s="30" t="s">
        <v>45</v>
      </c>
      <c r="B21" s="31" t="s">
        <v>132</v>
      </c>
      <c r="C21" s="31" t="s">
        <v>342</v>
      </c>
      <c r="D21" s="31" t="s">
        <v>339</v>
      </c>
      <c r="E21" s="31" t="s">
        <v>343</v>
      </c>
      <c r="F21" s="31" t="s">
        <v>132</v>
      </c>
      <c r="G21" s="31" t="s">
        <v>132</v>
      </c>
      <c r="H21" s="31" t="s">
        <v>132</v>
      </c>
      <c r="I21" s="31" t="s">
        <v>132</v>
      </c>
      <c r="J21" s="31" t="s">
        <v>132</v>
      </c>
      <c r="K21" s="33" t="s">
        <v>368</v>
      </c>
      <c r="L21" s="33" t="s">
        <v>368</v>
      </c>
      <c r="M21" s="33" t="s">
        <v>368</v>
      </c>
      <c r="N21" s="31" t="s">
        <v>132</v>
      </c>
      <c r="O21" s="31" t="s">
        <v>132</v>
      </c>
      <c r="P21" s="31" t="s">
        <v>227</v>
      </c>
      <c r="Q21" s="31" t="s">
        <v>227</v>
      </c>
      <c r="R21" s="34"/>
      <c r="S21" s="34"/>
      <c r="T21" s="34"/>
      <c r="U21" s="34"/>
      <c r="V21" s="34"/>
      <c r="W21" s="34"/>
      <c r="X21" s="34"/>
      <c r="Y21" s="34"/>
      <c r="Z21" s="34"/>
      <c r="AA21" s="31" t="s">
        <v>132</v>
      </c>
      <c r="AB21" s="34"/>
      <c r="AC21" s="34"/>
      <c r="AD21" s="34"/>
      <c r="AE21" s="34"/>
      <c r="AF21" s="34"/>
      <c r="AG21" s="33" t="s">
        <v>132</v>
      </c>
      <c r="AH21" s="33" t="s">
        <v>139</v>
      </c>
      <c r="AI21" s="3"/>
      <c r="AJ21" s="31" t="s">
        <v>132</v>
      </c>
      <c r="AK21" s="31" t="s">
        <v>368</v>
      </c>
    </row>
    <row x14ac:dyDescent="0.25" r="22" customHeight="1" ht="18.75">
      <c r="A22" s="35" t="s">
        <v>47</v>
      </c>
      <c r="B22" s="117">
        <v>98</v>
      </c>
      <c r="C22" s="117">
        <v>41</v>
      </c>
      <c r="D22" s="117">
        <v>2</v>
      </c>
      <c r="E22" s="117">
        <v>91</v>
      </c>
      <c r="F22" s="117">
        <v>98</v>
      </c>
      <c r="G22" s="117">
        <v>98</v>
      </c>
      <c r="H22" s="117">
        <v>98</v>
      </c>
      <c r="I22" s="117">
        <v>98</v>
      </c>
      <c r="J22" s="117">
        <v>98</v>
      </c>
      <c r="K22" s="117">
        <v>151</v>
      </c>
      <c r="L22" s="117">
        <v>151</v>
      </c>
      <c r="M22" s="117">
        <v>151</v>
      </c>
      <c r="N22" s="117">
        <v>98</v>
      </c>
      <c r="O22" s="117">
        <v>98</v>
      </c>
      <c r="P22" s="117">
        <v>56</v>
      </c>
      <c r="Q22" s="117">
        <v>56</v>
      </c>
      <c r="R22" s="37"/>
      <c r="S22" s="37"/>
      <c r="T22" s="37"/>
      <c r="U22" s="37"/>
      <c r="V22" s="37"/>
      <c r="W22" s="37"/>
      <c r="X22" s="37"/>
      <c r="Y22" s="37"/>
      <c r="Z22" s="37"/>
      <c r="AA22" s="117">
        <v>98</v>
      </c>
      <c r="AB22" s="37"/>
      <c r="AC22" s="37"/>
      <c r="AD22" s="37"/>
      <c r="AE22" s="37"/>
      <c r="AF22" s="37"/>
      <c r="AG22" s="117">
        <v>98</v>
      </c>
      <c r="AH22" s="117">
        <v>1</v>
      </c>
      <c r="AI22" s="3"/>
      <c r="AJ22" s="117">
        <v>98</v>
      </c>
      <c r="AK22" s="117">
        <v>151</v>
      </c>
    </row>
    <row x14ac:dyDescent="0.25" r="23" customHeight="1" ht="18.75">
      <c r="A23" s="30" t="s">
        <v>123</v>
      </c>
      <c r="B23" s="31" t="s">
        <v>52</v>
      </c>
      <c r="C23" s="33" t="s">
        <v>52</v>
      </c>
      <c r="D23" s="33" t="s">
        <v>52</v>
      </c>
      <c r="E23" s="33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3" t="s">
        <v>162</v>
      </c>
      <c r="L23" s="33" t="s">
        <v>162</v>
      </c>
      <c r="M23" s="33" t="s">
        <v>162</v>
      </c>
      <c r="N23" s="31" t="s">
        <v>52</v>
      </c>
      <c r="O23" s="31" t="s">
        <v>52</v>
      </c>
      <c r="P23" s="31" t="s">
        <v>52</v>
      </c>
      <c r="Q23" s="31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31" t="s">
        <v>52</v>
      </c>
      <c r="AB23" s="32"/>
      <c r="AC23" s="34"/>
      <c r="AD23" s="32"/>
      <c r="AE23" s="34"/>
      <c r="AF23" s="32"/>
      <c r="AG23" s="31" t="s">
        <v>52</v>
      </c>
      <c r="AH23" s="31" t="s">
        <v>52</v>
      </c>
      <c r="AI23" s="3"/>
      <c r="AJ23" s="31" t="s">
        <v>52</v>
      </c>
      <c r="AK23" s="31" t="s">
        <v>162</v>
      </c>
    </row>
    <row x14ac:dyDescent="0.25" r="24" customHeight="1" ht="18.75">
      <c r="A24" s="30" t="s">
        <v>124</v>
      </c>
      <c r="B24" s="31" t="s">
        <v>52</v>
      </c>
      <c r="C24" s="33" t="s">
        <v>52</v>
      </c>
      <c r="D24" s="33" t="s">
        <v>52</v>
      </c>
      <c r="E24" s="33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162</v>
      </c>
      <c r="L24" s="31" t="s">
        <v>162</v>
      </c>
      <c r="M24" s="31" t="s">
        <v>162</v>
      </c>
      <c r="N24" s="31" t="s">
        <v>52</v>
      </c>
      <c r="O24" s="31" t="s">
        <v>52</v>
      </c>
      <c r="P24" s="31" t="s">
        <v>49</v>
      </c>
      <c r="Q24" s="31" t="s">
        <v>49</v>
      </c>
      <c r="R24" s="32"/>
      <c r="S24" s="32"/>
      <c r="T24" s="32"/>
      <c r="U24" s="32"/>
      <c r="V24" s="32"/>
      <c r="W24" s="32"/>
      <c r="X24" s="32"/>
      <c r="Y24" s="32"/>
      <c r="Z24" s="32"/>
      <c r="AA24" s="31" t="s">
        <v>52</v>
      </c>
      <c r="AB24" s="32"/>
      <c r="AC24" s="32"/>
      <c r="AD24" s="32"/>
      <c r="AE24" s="32"/>
      <c r="AF24" s="32"/>
      <c r="AG24" s="31" t="s">
        <v>52</v>
      </c>
      <c r="AH24" s="31" t="s">
        <v>49</v>
      </c>
      <c r="AI24" s="3"/>
      <c r="AJ24" s="31" t="s">
        <v>52</v>
      </c>
      <c r="AK24" s="31" t="s">
        <v>162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52</v>
      </c>
      <c r="Q25" s="31" t="s">
        <v>52</v>
      </c>
      <c r="R25" s="32"/>
      <c r="S25" s="32"/>
      <c r="T25" s="32"/>
      <c r="U25" s="32"/>
      <c r="V25" s="32"/>
      <c r="W25" s="32"/>
      <c r="X25" s="32"/>
      <c r="Y25" s="32"/>
      <c r="Z25" s="32"/>
      <c r="AA25" s="31" t="s">
        <v>49</v>
      </c>
      <c r="AB25" s="32"/>
      <c r="AC25" s="32"/>
      <c r="AD25" s="32"/>
      <c r="AE25" s="32"/>
      <c r="AF25" s="32"/>
      <c r="AG25" s="31" t="s">
        <v>49</v>
      </c>
      <c r="AH25" s="31" t="s">
        <v>49</v>
      </c>
      <c r="AI25" s="3"/>
      <c r="AJ25" s="31" t="s">
        <v>49</v>
      </c>
      <c r="AK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31" t="s">
        <v>49</v>
      </c>
      <c r="AB26" s="32"/>
      <c r="AC26" s="32"/>
      <c r="AD26" s="32"/>
      <c r="AE26" s="32"/>
      <c r="AF26" s="32"/>
      <c r="AG26" s="31" t="s">
        <v>49</v>
      </c>
      <c r="AH26" s="31" t="s">
        <v>49</v>
      </c>
      <c r="AI26" s="3"/>
      <c r="AJ26" s="31" t="s">
        <v>49</v>
      </c>
      <c r="AK26" s="31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140</v>
      </c>
      <c r="D27" s="31" t="s">
        <v>140</v>
      </c>
      <c r="E27" s="31" t="s">
        <v>140</v>
      </c>
      <c r="F27" s="31" t="s">
        <v>133</v>
      </c>
      <c r="G27" s="31" t="s">
        <v>133</v>
      </c>
      <c r="H27" s="31" t="s">
        <v>133</v>
      </c>
      <c r="I27" s="31" t="s">
        <v>133</v>
      </c>
      <c r="J27" s="31" t="s">
        <v>133</v>
      </c>
      <c r="K27" s="31" t="s">
        <v>133</v>
      </c>
      <c r="L27" s="31" t="s">
        <v>133</v>
      </c>
      <c r="M27" s="31" t="s">
        <v>133</v>
      </c>
      <c r="N27" s="31" t="s">
        <v>133</v>
      </c>
      <c r="O27" s="31" t="s">
        <v>133</v>
      </c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31" t="s">
        <v>133</v>
      </c>
      <c r="AB27" s="32"/>
      <c r="AC27" s="32"/>
      <c r="AD27" s="32"/>
      <c r="AE27" s="32"/>
      <c r="AF27" s="32"/>
      <c r="AG27" s="31" t="s">
        <v>133</v>
      </c>
      <c r="AH27" s="31" t="s">
        <v>140</v>
      </c>
      <c r="AI27" s="3"/>
      <c r="AJ27" s="31" t="s">
        <v>133</v>
      </c>
      <c r="AK27" s="31" t="s">
        <v>133</v>
      </c>
    </row>
    <row x14ac:dyDescent="0.25" r="28" customHeight="1" ht="18.75">
      <c r="A28" s="30" t="s">
        <v>128</v>
      </c>
      <c r="B28" s="31">
        <v>-2</v>
      </c>
      <c r="C28" s="31">
        <v>3</v>
      </c>
      <c r="D28" s="31">
        <v>3</v>
      </c>
      <c r="E28" s="31">
        <v>3</v>
      </c>
      <c r="F28" s="31">
        <v>-2</v>
      </c>
      <c r="G28" s="31">
        <v>-2</v>
      </c>
      <c r="H28" s="31">
        <v>-2</v>
      </c>
      <c r="I28" s="31">
        <v>-2</v>
      </c>
      <c r="J28" s="31">
        <v>-2</v>
      </c>
      <c r="K28" s="31">
        <v>-2</v>
      </c>
      <c r="L28" s="31">
        <v>-2</v>
      </c>
      <c r="M28" s="31">
        <v>-2</v>
      </c>
      <c r="N28" s="31">
        <v>-2</v>
      </c>
      <c r="O28" s="31">
        <v>-2</v>
      </c>
      <c r="P28" s="31">
        <v>-0.5</v>
      </c>
      <c r="Q28" s="31">
        <v>-0.5</v>
      </c>
      <c r="R28" s="31"/>
      <c r="S28" s="31"/>
      <c r="T28" s="31"/>
      <c r="U28" s="31"/>
      <c r="V28" s="31"/>
      <c r="W28" s="31"/>
      <c r="X28" s="31"/>
      <c r="Y28" s="31"/>
      <c r="Z28" s="31"/>
      <c r="AA28" s="31">
        <v>-2</v>
      </c>
      <c r="AB28" s="31"/>
      <c r="AC28" s="31"/>
      <c r="AD28" s="31"/>
      <c r="AE28" s="31"/>
      <c r="AF28" s="31"/>
      <c r="AG28" s="31">
        <v>-2</v>
      </c>
      <c r="AH28" s="31">
        <v>3</v>
      </c>
      <c r="AI28" s="3"/>
      <c r="AJ28" s="31">
        <v>-2</v>
      </c>
      <c r="AK28" s="31">
        <v>-2</v>
      </c>
    </row>
    <row x14ac:dyDescent="0.25" r="29" customHeight="1" ht="18.75">
      <c r="A29" s="30" t="s">
        <v>129</v>
      </c>
      <c r="B29" s="31" t="s">
        <v>134</v>
      </c>
      <c r="C29" s="31" t="s">
        <v>169</v>
      </c>
      <c r="D29" s="31" t="s">
        <v>138</v>
      </c>
      <c r="E29" s="31" t="s">
        <v>134</v>
      </c>
      <c r="F29" s="31" t="s">
        <v>134</v>
      </c>
      <c r="G29" s="31" t="s">
        <v>134</v>
      </c>
      <c r="H29" s="31" t="s">
        <v>134</v>
      </c>
      <c r="I29" s="31" t="s">
        <v>134</v>
      </c>
      <c r="J29" s="31" t="s">
        <v>134</v>
      </c>
      <c r="K29" s="33" t="s">
        <v>369</v>
      </c>
      <c r="L29" s="33" t="s">
        <v>369</v>
      </c>
      <c r="M29" s="33" t="s">
        <v>369</v>
      </c>
      <c r="N29" s="31" t="s">
        <v>134</v>
      </c>
      <c r="O29" s="31" t="s">
        <v>134</v>
      </c>
      <c r="P29" s="31" t="s">
        <v>169</v>
      </c>
      <c r="Q29" s="31" t="s">
        <v>169</v>
      </c>
      <c r="R29" s="32"/>
      <c r="S29" s="32"/>
      <c r="T29" s="32"/>
      <c r="U29" s="32"/>
      <c r="V29" s="32"/>
      <c r="W29" s="32"/>
      <c r="X29" s="32"/>
      <c r="Y29" s="32"/>
      <c r="Z29" s="32"/>
      <c r="AA29" s="31" t="s">
        <v>134</v>
      </c>
      <c r="AB29" s="32"/>
      <c r="AC29" s="32"/>
      <c r="AD29" s="32"/>
      <c r="AE29" s="32"/>
      <c r="AF29" s="32"/>
      <c r="AG29" s="31" t="s">
        <v>134</v>
      </c>
      <c r="AH29" s="31" t="s">
        <v>138</v>
      </c>
      <c r="AI29" s="3"/>
      <c r="AJ29" s="31" t="s">
        <v>134</v>
      </c>
      <c r="AK29" s="119" t="s">
        <v>369</v>
      </c>
    </row>
    <row x14ac:dyDescent="0.25" r="30" customHeight="1" ht="18.75">
      <c r="A30" s="30" t="s">
        <v>130</v>
      </c>
      <c r="B30" s="31">
        <f>1/3</f>
      </c>
      <c r="C30" s="31">
        <v>2</v>
      </c>
      <c r="D30" s="31">
        <v>4</v>
      </c>
      <c r="E30" s="31">
        <v>0.5</v>
      </c>
      <c r="F30" s="31">
        <f>1/3</f>
      </c>
      <c r="G30" s="31">
        <f>1/3</f>
      </c>
      <c r="H30" s="31">
        <f>1/3</f>
      </c>
      <c r="I30" s="31">
        <f>1/3</f>
      </c>
      <c r="J30" s="31">
        <f>1/3</f>
      </c>
      <c r="K30" s="31">
        <f>AVERAGE(1/3,0)</f>
      </c>
      <c r="L30" s="31">
        <f>AVERAGE(1/3,0)</f>
      </c>
      <c r="M30" s="31">
        <f>AVERAGE(1/3,0)</f>
      </c>
      <c r="N30" s="31">
        <f>1/3</f>
      </c>
      <c r="O30" s="31">
        <f>1/3</f>
      </c>
      <c r="P30" s="31">
        <v>2</v>
      </c>
      <c r="Q30" s="31">
        <v>2</v>
      </c>
      <c r="R30" s="31"/>
      <c r="S30" s="31"/>
      <c r="T30" s="31"/>
      <c r="U30" s="31"/>
      <c r="V30" s="31"/>
      <c r="W30" s="31"/>
      <c r="X30" s="31"/>
      <c r="Y30" s="31"/>
      <c r="Z30" s="31"/>
      <c r="AA30" s="31">
        <f>1/3</f>
      </c>
      <c r="AB30" s="31"/>
      <c r="AC30" s="31"/>
      <c r="AD30" s="31"/>
      <c r="AE30" s="31"/>
      <c r="AF30" s="31"/>
      <c r="AG30" s="31">
        <f>1/3</f>
      </c>
      <c r="AH30" s="31">
        <v>4</v>
      </c>
      <c r="AI30" s="3"/>
      <c r="AJ30" s="31">
        <f>1/3</f>
      </c>
      <c r="AK30" s="31">
        <f>AVERAGE(1/3,0)</f>
      </c>
    </row>
    <row x14ac:dyDescent="0.25" r="31" customHeight="1" ht="18.75">
      <c r="A31" s="3"/>
      <c r="B31" s="2"/>
      <c r="C31" s="149"/>
      <c r="D31" s="149"/>
      <c r="E31" s="149"/>
      <c r="F31" s="149"/>
      <c r="G31" s="149"/>
      <c r="H31" s="149"/>
      <c r="I31" s="149"/>
      <c r="J31" s="2"/>
      <c r="K31" s="149"/>
      <c r="L31" s="149"/>
      <c r="M31" s="149"/>
      <c r="N31" s="149"/>
      <c r="O31" s="149"/>
      <c r="P31" s="149"/>
      <c r="Q31" s="149"/>
      <c r="R31" s="3"/>
      <c r="S31" s="3"/>
      <c r="T31" s="3"/>
      <c r="U31" s="3"/>
      <c r="V31" s="3"/>
      <c r="W31" s="3"/>
      <c r="X31" s="3"/>
      <c r="Y31" s="3"/>
      <c r="Z31" s="3"/>
      <c r="AA31" s="150" t="s">
        <v>697</v>
      </c>
      <c r="AB31" s="3"/>
      <c r="AC31" s="3"/>
      <c r="AD31" s="3"/>
      <c r="AE31" s="3"/>
      <c r="AF31" s="3"/>
      <c r="AG31" s="2"/>
      <c r="AH31" s="150" t="s">
        <v>697</v>
      </c>
      <c r="AI31" s="3"/>
      <c r="AJ31" s="152" t="s">
        <v>698</v>
      </c>
      <c r="AK31" s="152"/>
    </row>
    <row x14ac:dyDescent="0.25" r="32" customHeight="1" ht="18.75">
      <c r="A32" s="38" t="s">
        <v>64</v>
      </c>
      <c r="B32" s="2"/>
      <c r="C32" s="149"/>
      <c r="D32" s="149"/>
      <c r="E32" s="149"/>
      <c r="F32" s="149"/>
      <c r="G32" s="149"/>
      <c r="H32" s="149"/>
      <c r="I32" s="149"/>
      <c r="J32" s="2"/>
      <c r="K32" s="149"/>
      <c r="L32" s="149"/>
      <c r="M32" s="149"/>
      <c r="N32" s="149"/>
      <c r="O32" s="149"/>
      <c r="P32" s="149"/>
      <c r="Q32" s="149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2"/>
      <c r="AH32" s="2"/>
      <c r="AI32" s="3"/>
      <c r="AJ32" s="2"/>
      <c r="AK32" s="2"/>
    </row>
    <row x14ac:dyDescent="0.25" r="33" customHeight="1" ht="18.75">
      <c r="A33" s="123" t="s">
        <v>699</v>
      </c>
      <c r="B33" s="40"/>
      <c r="C33" s="149"/>
      <c r="D33" s="149"/>
      <c r="E33" s="149"/>
      <c r="F33" s="149"/>
      <c r="G33" s="149"/>
      <c r="H33" s="149"/>
      <c r="I33" s="149"/>
      <c r="J33" s="2"/>
      <c r="K33" s="149"/>
      <c r="L33" s="149"/>
      <c r="M33" s="149"/>
      <c r="N33" s="149"/>
      <c r="O33" s="149"/>
      <c r="P33" s="149"/>
      <c r="Q33" s="149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2"/>
      <c r="AH33" s="2"/>
      <c r="AI33" s="3"/>
      <c r="AJ33" s="2"/>
      <c r="AK33" s="2"/>
    </row>
    <row x14ac:dyDescent="0.25" r="34" customHeight="1" ht="18.75">
      <c r="A34" s="123" t="s">
        <v>700</v>
      </c>
      <c r="B34" s="40"/>
      <c r="C34" s="149"/>
      <c r="D34" s="149"/>
      <c r="E34" s="149"/>
      <c r="F34" s="149"/>
      <c r="G34" s="149"/>
      <c r="H34" s="149"/>
      <c r="I34" s="149"/>
      <c r="J34" s="2"/>
      <c r="K34" s="149"/>
      <c r="L34" s="149"/>
      <c r="M34" s="149"/>
      <c r="N34" s="149"/>
      <c r="O34" s="149"/>
      <c r="P34" s="149"/>
      <c r="Q34" s="149"/>
      <c r="R34" s="3"/>
      <c r="S34" s="3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2"/>
      <c r="AH34" s="2"/>
      <c r="AI34" s="3"/>
      <c r="AJ34" s="2"/>
      <c r="AK34" s="2"/>
    </row>
    <row x14ac:dyDescent="0.25" r="35" customHeight="1" ht="18.75">
      <c r="A35" s="3"/>
      <c r="B35" s="2"/>
      <c r="C35" s="149"/>
      <c r="D35" s="149"/>
      <c r="E35" s="149"/>
      <c r="F35" s="149"/>
      <c r="G35" s="149"/>
      <c r="H35" s="149"/>
      <c r="I35" s="149"/>
      <c r="J35" s="2"/>
      <c r="K35" s="149"/>
      <c r="L35" s="149"/>
      <c r="M35" s="149"/>
      <c r="N35" s="149"/>
      <c r="O35" s="149"/>
      <c r="P35" s="149"/>
      <c r="Q35" s="149"/>
      <c r="R35" s="3"/>
      <c r="S35" s="3"/>
      <c r="T35" s="3"/>
      <c r="U35" s="3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2"/>
      <c r="AH35" s="2"/>
      <c r="AI35" s="3"/>
      <c r="AJ35" s="2"/>
      <c r="AK35" s="2"/>
    </row>
    <row x14ac:dyDescent="0.25" r="36" customHeight="1" ht="18.75">
      <c r="A36" s="3"/>
      <c r="B36" s="2"/>
      <c r="C36" s="150" t="s">
        <v>701</v>
      </c>
      <c r="D36" s="150" t="s">
        <v>687</v>
      </c>
      <c r="E36" s="150" t="s">
        <v>499</v>
      </c>
      <c r="F36" s="154" t="s">
        <v>702</v>
      </c>
      <c r="G36" s="154" t="s">
        <v>702</v>
      </c>
      <c r="H36" s="154" t="s">
        <v>702</v>
      </c>
      <c r="I36" s="154" t="s">
        <v>702</v>
      </c>
      <c r="J36" s="150" t="s">
        <v>702</v>
      </c>
      <c r="K36" s="150" t="s">
        <v>703</v>
      </c>
      <c r="L36" s="150" t="s">
        <v>703</v>
      </c>
      <c r="M36" s="150" t="s">
        <v>703</v>
      </c>
      <c r="N36" s="150" t="s">
        <v>704</v>
      </c>
      <c r="O36" s="150" t="s">
        <v>704</v>
      </c>
      <c r="P36" s="150" t="s">
        <v>227</v>
      </c>
      <c r="Q36" s="150" t="s">
        <v>227</v>
      </c>
      <c r="R36" s="3"/>
      <c r="S36" s="30" t="s">
        <v>705</v>
      </c>
      <c r="T36" s="3"/>
      <c r="U36" s="3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2"/>
      <c r="AH36" s="2"/>
      <c r="AI36" s="3"/>
      <c r="AJ36" s="2"/>
      <c r="AK36" s="2"/>
    </row>
    <row x14ac:dyDescent="0.25" r="37" customHeight="1" ht="18.75">
      <c r="A37" s="3"/>
      <c r="B37" s="2"/>
      <c r="C37" s="154" t="s">
        <v>706</v>
      </c>
      <c r="D37" s="154" t="s">
        <v>706</v>
      </c>
      <c r="E37" s="154" t="s">
        <v>707</v>
      </c>
      <c r="F37" s="150" t="s">
        <v>707</v>
      </c>
      <c r="G37" s="150" t="s">
        <v>707</v>
      </c>
      <c r="H37" s="150" t="s">
        <v>707</v>
      </c>
      <c r="I37" s="150" t="s">
        <v>707</v>
      </c>
      <c r="J37" s="150" t="s">
        <v>707</v>
      </c>
      <c r="K37" s="150" t="s">
        <v>708</v>
      </c>
      <c r="L37" s="150" t="s">
        <v>708</v>
      </c>
      <c r="M37" s="150" t="s">
        <v>708</v>
      </c>
      <c r="N37" s="150" t="s">
        <v>708</v>
      </c>
      <c r="O37" s="150" t="s">
        <v>708</v>
      </c>
      <c r="P37" s="150" t="s">
        <v>227</v>
      </c>
      <c r="Q37" s="150" t="s">
        <v>227</v>
      </c>
      <c r="R37" s="3"/>
      <c r="S37" s="30" t="s">
        <v>707</v>
      </c>
      <c r="T37" s="30" t="s">
        <v>430</v>
      </c>
      <c r="U37" s="30" t="s">
        <v>430</v>
      </c>
      <c r="V37" s="3"/>
      <c r="W37" s="3"/>
      <c r="X37" s="3"/>
      <c r="Y37" s="3"/>
      <c r="Z37" s="3"/>
      <c r="AA37" s="2"/>
      <c r="AB37" s="3"/>
      <c r="AC37" s="3"/>
      <c r="AD37" s="3"/>
      <c r="AE37" s="3"/>
      <c r="AF37" s="3"/>
      <c r="AG37" s="2"/>
      <c r="AH37" s="2"/>
      <c r="AI37" s="3"/>
      <c r="AJ37" s="2"/>
      <c r="AK37" s="2"/>
    </row>
    <row x14ac:dyDescent="0.25" r="38" customHeight="1" ht="18.75">
      <c r="A38" s="3"/>
      <c r="B38" s="2"/>
      <c r="C38" s="150" t="s">
        <v>431</v>
      </c>
      <c r="D38" s="150" t="s">
        <v>431</v>
      </c>
      <c r="E38" s="150" t="s">
        <v>431</v>
      </c>
      <c r="F38" s="150" t="s">
        <v>431</v>
      </c>
      <c r="G38" s="149"/>
      <c r="H38" s="149"/>
      <c r="I38" s="149"/>
      <c r="J38" s="2"/>
      <c r="K38" s="150" t="s">
        <v>708</v>
      </c>
      <c r="L38" s="150" t="s">
        <v>708</v>
      </c>
      <c r="M38" s="150" t="s">
        <v>708</v>
      </c>
      <c r="N38" s="154" t="s">
        <v>294</v>
      </c>
      <c r="O38" s="154" t="s">
        <v>294</v>
      </c>
      <c r="P38" s="150" t="s">
        <v>227</v>
      </c>
      <c r="Q38" s="150" t="s">
        <v>227</v>
      </c>
      <c r="R38" s="3"/>
      <c r="S38" s="30" t="s">
        <v>709</v>
      </c>
      <c r="T38" s="3"/>
      <c r="U38" s="3"/>
      <c r="V38" s="3"/>
      <c r="W38" s="3"/>
      <c r="X38" s="3"/>
      <c r="Y38" s="3"/>
      <c r="Z38" s="3"/>
      <c r="AA38" s="2"/>
      <c r="AB38" s="3"/>
      <c r="AC38" s="3"/>
      <c r="AD38" s="3"/>
      <c r="AE38" s="3"/>
      <c r="AF38" s="3"/>
      <c r="AG38" s="2"/>
      <c r="AH38" s="2"/>
      <c r="AI38" s="3"/>
      <c r="AJ38" s="2"/>
      <c r="AK38" s="2"/>
    </row>
    <row x14ac:dyDescent="0.25" r="39" customHeight="1" ht="18.75">
      <c r="A39" s="3"/>
      <c r="B39" s="2"/>
      <c r="C39" s="154" t="s">
        <v>710</v>
      </c>
      <c r="D39" s="154" t="s">
        <v>711</v>
      </c>
      <c r="E39" s="154" t="s">
        <v>712</v>
      </c>
      <c r="F39" s="154" t="s">
        <v>497</v>
      </c>
      <c r="G39" s="154" t="s">
        <v>497</v>
      </c>
      <c r="H39" s="154" t="s">
        <v>497</v>
      </c>
      <c r="I39" s="154" t="s">
        <v>497</v>
      </c>
      <c r="J39" s="150" t="s">
        <v>707</v>
      </c>
      <c r="K39" s="150" t="s">
        <v>708</v>
      </c>
      <c r="L39" s="150" t="s">
        <v>708</v>
      </c>
      <c r="M39" s="150" t="s">
        <v>708</v>
      </c>
      <c r="N39" s="150" t="s">
        <v>707</v>
      </c>
      <c r="O39" s="150" t="s">
        <v>713</v>
      </c>
      <c r="P39" s="150" t="s">
        <v>227</v>
      </c>
      <c r="Q39" s="150" t="s">
        <v>227</v>
      </c>
      <c r="R39" s="3"/>
      <c r="S39" s="3"/>
      <c r="T39" s="30" t="s">
        <v>707</v>
      </c>
      <c r="U39" s="30" t="s">
        <v>708</v>
      </c>
      <c r="V39" s="3"/>
      <c r="W39" s="3"/>
      <c r="X39" s="3"/>
      <c r="Y39" s="3"/>
      <c r="Z39" s="3"/>
      <c r="AA39" s="2"/>
      <c r="AB39" s="3"/>
      <c r="AC39" s="3"/>
      <c r="AD39" s="3"/>
      <c r="AE39" s="3"/>
      <c r="AF39" s="3"/>
      <c r="AG39" s="2"/>
      <c r="AH39" s="2"/>
      <c r="AI39" s="3"/>
      <c r="AJ39" s="2"/>
      <c r="AK39" s="2"/>
    </row>
    <row x14ac:dyDescent="0.25" r="40" customHeight="1" ht="18.75">
      <c r="A40" s="3"/>
      <c r="B40" s="2"/>
      <c r="C40" s="150" t="s">
        <v>430</v>
      </c>
      <c r="D40" s="150" t="s">
        <v>430</v>
      </c>
      <c r="E40" s="150" t="s">
        <v>430</v>
      </c>
      <c r="F40" s="150" t="s">
        <v>430</v>
      </c>
      <c r="G40" s="150" t="s">
        <v>430</v>
      </c>
      <c r="H40" s="150" t="s">
        <v>430</v>
      </c>
      <c r="I40" s="150" t="s">
        <v>430</v>
      </c>
      <c r="J40" s="150" t="s">
        <v>430</v>
      </c>
      <c r="K40" s="150" t="s">
        <v>430</v>
      </c>
      <c r="L40" s="150" t="s">
        <v>430</v>
      </c>
      <c r="M40" s="150" t="s">
        <v>430</v>
      </c>
      <c r="N40" s="150" t="s">
        <v>430</v>
      </c>
      <c r="O40" s="150" t="s">
        <v>430</v>
      </c>
      <c r="P40" s="150" t="s">
        <v>430</v>
      </c>
      <c r="Q40" s="150" t="s">
        <v>430</v>
      </c>
      <c r="R40" s="3"/>
      <c r="S40" s="3"/>
      <c r="T40" s="3"/>
      <c r="U40" s="3"/>
      <c r="V40" s="3"/>
      <c r="W40" s="3"/>
      <c r="X40" s="3"/>
      <c r="Y40" s="3"/>
      <c r="Z40" s="3"/>
      <c r="AA40" s="2"/>
      <c r="AB40" s="3"/>
      <c r="AC40" s="3"/>
      <c r="AD40" s="3"/>
      <c r="AE40" s="3"/>
      <c r="AF40" s="3"/>
      <c r="AG40" s="2"/>
      <c r="AH40" s="2"/>
      <c r="AI40" s="3"/>
      <c r="AJ40" s="2"/>
      <c r="AK40" s="2"/>
    </row>
    <row x14ac:dyDescent="0.25" r="41" customHeight="1" ht="18.75">
      <c r="A41" s="3"/>
      <c r="B41" s="2"/>
      <c r="C41" s="149"/>
      <c r="D41" s="149"/>
      <c r="E41" s="149"/>
      <c r="F41" s="149"/>
      <c r="G41" s="149"/>
      <c r="H41" s="149"/>
      <c r="I41" s="149"/>
      <c r="J41" s="2"/>
      <c r="K41" s="149"/>
      <c r="L41" s="149"/>
      <c r="M41" s="149"/>
      <c r="N41" s="149"/>
      <c r="O41" s="149"/>
      <c r="P41" s="149"/>
      <c r="Q41" s="149"/>
      <c r="R41" s="3"/>
      <c r="S41" s="3"/>
      <c r="T41" s="3"/>
      <c r="U41" s="3"/>
      <c r="V41" s="3"/>
      <c r="W41" s="3"/>
      <c r="X41" s="3"/>
      <c r="Y41" s="3"/>
      <c r="Z41" s="3"/>
      <c r="AA41" s="2"/>
      <c r="AB41" s="3"/>
      <c r="AC41" s="3"/>
      <c r="AD41" s="3"/>
      <c r="AE41" s="3"/>
      <c r="AF41" s="3"/>
      <c r="AG41" s="2"/>
      <c r="AH41" s="2"/>
      <c r="AI41" s="3"/>
      <c r="AJ41" s="2"/>
      <c r="AK41" s="2"/>
    </row>
    <row x14ac:dyDescent="0.25" r="42" customHeight="1" ht="18.75">
      <c r="A42" s="3"/>
      <c r="B42" s="2"/>
      <c r="C42" s="150" t="s">
        <v>431</v>
      </c>
      <c r="D42" s="150" t="s">
        <v>431</v>
      </c>
      <c r="E42" s="150" t="s">
        <v>431</v>
      </c>
      <c r="F42" s="150" t="s">
        <v>431</v>
      </c>
      <c r="G42" s="150" t="s">
        <v>431</v>
      </c>
      <c r="H42" s="150" t="s">
        <v>431</v>
      </c>
      <c r="I42" s="150" t="s">
        <v>431</v>
      </c>
      <c r="J42" s="2"/>
      <c r="K42" s="150" t="s">
        <v>431</v>
      </c>
      <c r="L42" s="150" t="s">
        <v>431</v>
      </c>
      <c r="M42" s="150" t="s">
        <v>431</v>
      </c>
      <c r="N42" s="150" t="s">
        <v>431</v>
      </c>
      <c r="O42" s="150" t="s">
        <v>431</v>
      </c>
      <c r="P42" s="150" t="s">
        <v>227</v>
      </c>
      <c r="Q42" s="150" t="s">
        <v>227</v>
      </c>
      <c r="R42" s="3"/>
      <c r="S42" s="3"/>
      <c r="T42" s="3"/>
      <c r="U42" s="3"/>
      <c r="V42" s="3"/>
      <c r="W42" s="3"/>
      <c r="X42" s="3"/>
      <c r="Y42" s="3"/>
      <c r="Z42" s="3"/>
      <c r="AA42" s="2"/>
      <c r="AB42" s="3"/>
      <c r="AC42" s="3"/>
      <c r="AD42" s="3"/>
      <c r="AE42" s="3"/>
      <c r="AF42" s="3"/>
      <c r="AG42" s="2"/>
      <c r="AH42" s="2"/>
      <c r="AI42" s="3"/>
      <c r="AJ42" s="2"/>
      <c r="AK42" s="2"/>
    </row>
  </sheetData>
  <mergeCells count="6">
    <mergeCell ref="B3:D3"/>
    <mergeCell ref="F3:O3"/>
    <mergeCell ref="B4:D4"/>
    <mergeCell ref="F4:O5"/>
    <mergeCell ref="B5:D5"/>
    <mergeCell ref="AJ31:AK3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V49"/>
  <sheetViews>
    <sheetView workbookViewId="0"/>
  </sheetViews>
  <sheetFormatPr defaultRowHeight="15" x14ac:dyDescent="0.25"/>
  <cols>
    <col min="1" max="1" style="57" width="23.290714285714284" customWidth="1" bestFit="1"/>
    <col min="2" max="2" style="151" width="5.719285714285714" customWidth="1" bestFit="1"/>
    <col min="3" max="3" style="151" width="5.719285714285714" customWidth="1" bestFit="1"/>
    <col min="4" max="4" style="151" width="5.719285714285714" customWidth="1" bestFit="1"/>
    <col min="5" max="5" style="151" width="5.719285714285714" customWidth="1" bestFit="1"/>
    <col min="6" max="6" style="151" width="5.719285714285714" customWidth="1" bestFit="1"/>
    <col min="7" max="7" style="151" width="5.719285714285714" customWidth="1" bestFit="1"/>
    <col min="8" max="8" style="151" width="5.719285714285714" customWidth="1" bestFit="1"/>
    <col min="9" max="9" style="151" width="5.719285714285714" customWidth="1" bestFit="1"/>
    <col min="10" max="10" style="151" width="5.719285714285714" customWidth="1" bestFit="1"/>
    <col min="11" max="11" style="151" width="5.719285714285714" customWidth="1" bestFit="1"/>
    <col min="12" max="12" style="151" width="5.719285714285714" customWidth="1" bestFit="1"/>
    <col min="13" max="13" style="151" width="5.719285714285714" customWidth="1" bestFit="1"/>
    <col min="14" max="14" style="57" width="5.719285714285714" customWidth="1" bestFit="1"/>
    <col min="15" max="15" style="57" width="5.719285714285714" customWidth="1" bestFit="1"/>
    <col min="16" max="16" style="151" width="5.719285714285714" customWidth="1" bestFit="1"/>
    <col min="17" max="17" style="151" width="5.719285714285714" customWidth="1" bestFit="1"/>
    <col min="18" max="18" style="57" width="5.719285714285714" customWidth="1" bestFit="1"/>
    <col min="19" max="19" style="44" width="5.719285714285714" customWidth="1" bestFit="1"/>
    <col min="20" max="20" style="57" width="5.719285714285714" customWidth="1" bestFit="1"/>
    <col min="21" max="21" style="57" width="5.719285714285714" customWidth="1" bestFit="1"/>
    <col min="22" max="22" style="44" width="5.719285714285714" customWidth="1" bestFit="1"/>
    <col min="23" max="23" style="44" width="5.719285714285714" customWidth="1" bestFit="1"/>
    <col min="24" max="24" style="44" width="5.719285714285714" customWidth="1" bestFit="1"/>
    <col min="25" max="25" style="44" width="5.719285714285714" customWidth="1" bestFit="1"/>
    <col min="26" max="26" style="44" width="5.719285714285714" customWidth="1" bestFit="1"/>
    <col min="27" max="27" style="43" width="5.719285714285714" customWidth="1" bestFit="1"/>
    <col min="28" max="28" style="44" width="5.719285714285714" customWidth="1" bestFit="1"/>
    <col min="29" max="29" style="44" width="5.719285714285714" customWidth="1" bestFit="1"/>
    <col min="30" max="30" style="44" width="5.719285714285714" customWidth="1" bestFit="1"/>
    <col min="31" max="31" style="57" width="5.719285714285714" customWidth="1" bestFit="1"/>
    <col min="32" max="32" style="57" width="5.719285714285714" customWidth="1" bestFit="1"/>
    <col min="33" max="33" style="44" width="5.719285714285714" customWidth="1" bestFit="1"/>
    <col min="34" max="34" style="43" width="5.719285714285714" customWidth="1" bestFit="1"/>
    <col min="35" max="35" style="44" width="5.719285714285714" customWidth="1" bestFit="1"/>
    <col min="36" max="36" style="43" width="5.719285714285714" customWidth="1" bestFit="1"/>
    <col min="37" max="37" style="43" width="5.719285714285714" customWidth="1" bestFit="1"/>
    <col min="38" max="38" style="44" width="5.719285714285714" customWidth="1" bestFit="1"/>
    <col min="39" max="39" style="44" width="5.719285714285714" customWidth="1" bestFit="1"/>
    <col min="40" max="40" style="43" width="5.719285714285714" customWidth="1" bestFit="1"/>
    <col min="41" max="41" style="43" width="5.719285714285714" customWidth="1" bestFit="1"/>
    <col min="42" max="42" style="43" width="5.719285714285714" customWidth="1" bestFit="1"/>
    <col min="43" max="43" style="44" width="5.719285714285714" customWidth="1" bestFit="1"/>
    <col min="44" max="44" style="43" width="5.719285714285714" customWidth="1" bestFit="1"/>
    <col min="45" max="45" style="43" width="5.719285714285714" customWidth="1" bestFit="1"/>
    <col min="46" max="46" style="43" width="5.719285714285714" customWidth="1" bestFit="1"/>
    <col min="47" max="47" style="44" width="5.719285714285714" customWidth="1" bestFit="1"/>
    <col min="48" max="48" style="44" width="5.719285714285714" customWidth="1" bestFit="1"/>
    <col min="49" max="49" style="43" width="5.719285714285714" customWidth="1" bestFit="1"/>
    <col min="50" max="50" style="43" width="5.719285714285714" customWidth="1" bestFit="1"/>
    <col min="51" max="51" style="44" width="5.719285714285714" customWidth="1" bestFit="1"/>
    <col min="52" max="52" style="44" width="5.719285714285714" customWidth="1" bestFit="1"/>
    <col min="53" max="53" style="44" width="5.719285714285714" customWidth="1" bestFit="1"/>
    <col min="54" max="54" style="44" width="5.719285714285714" customWidth="1" bestFit="1"/>
    <col min="55" max="55" style="44" width="5.719285714285714" customWidth="1" bestFit="1"/>
    <col min="56" max="56" style="44" width="5.719285714285714" customWidth="1" bestFit="1"/>
    <col min="57" max="57" style="44" width="5.719285714285714" customWidth="1" bestFit="1"/>
    <col min="58" max="58" style="44" width="5.719285714285714" customWidth="1" bestFit="1"/>
    <col min="59" max="59" style="44" width="5.719285714285714" customWidth="1" bestFit="1"/>
    <col min="60" max="60" style="43" width="5.719285714285714" customWidth="1" bestFit="1"/>
    <col min="61" max="61" style="44" width="5.719285714285714" customWidth="1" bestFit="1"/>
    <col min="62" max="62" style="44" width="5.719285714285714" customWidth="1" bestFit="1"/>
    <col min="63" max="63" style="44" width="5.719285714285714" customWidth="1" bestFit="1"/>
    <col min="64" max="64" style="44" width="5.719285714285714" customWidth="1" bestFit="1"/>
    <col min="65" max="65" style="44" width="5.719285714285714" customWidth="1" bestFit="1"/>
    <col min="66" max="66" style="44" width="5.719285714285714" customWidth="1" bestFit="1"/>
    <col min="67" max="67" style="43" width="5.719285714285714" customWidth="1" bestFit="1"/>
    <col min="68" max="68" style="44" width="5.719285714285714" customWidth="1" bestFit="1"/>
    <col min="69" max="69" style="43" width="5.719285714285714" customWidth="1" bestFit="1"/>
    <col min="70" max="70" style="43" width="5.719285714285714" customWidth="1" bestFit="1"/>
    <col min="71" max="71" style="43" width="5.719285714285714" customWidth="1" bestFit="1"/>
    <col min="72" max="72" style="43" width="5.719285714285714" customWidth="1" bestFit="1"/>
    <col min="73" max="73" style="43" width="5.719285714285714" customWidth="1" bestFit="1"/>
    <col min="74" max="74" style="43" width="5.719285714285714" customWidth="1" bestFit="1"/>
    <col min="75" max="75" style="43" width="5.719285714285714" customWidth="1" bestFit="1"/>
    <col min="76" max="76" style="43" width="5.719285714285714" customWidth="1" bestFit="1"/>
    <col min="77" max="77" style="43" width="5.719285714285714" customWidth="1" bestFit="1"/>
    <col min="78" max="78" style="43" width="5.719285714285714" customWidth="1" bestFit="1"/>
    <col min="79" max="79" style="43" width="5.719285714285714" customWidth="1" bestFit="1"/>
    <col min="80" max="80" style="44" width="5.719285714285714" customWidth="1" bestFit="1"/>
    <col min="81" max="81" style="44" width="5.719285714285714" customWidth="1" bestFit="1"/>
    <col min="82" max="82" style="43" width="5.719285714285714" customWidth="1" bestFit="1"/>
    <col min="83" max="83" style="43" width="5.719285714285714" customWidth="1" bestFit="1"/>
    <col min="84" max="84" style="44" width="5.719285714285714" customWidth="1" bestFit="1"/>
    <col min="85" max="85" style="44" width="5.719285714285714" customWidth="1" bestFit="1"/>
    <col min="86" max="86" style="44" width="5.719285714285714" customWidth="1" bestFit="1"/>
    <col min="87" max="87" style="44" width="5.719285714285714" customWidth="1" bestFit="1"/>
    <col min="88" max="88" style="44" width="5.719285714285714" customWidth="1" bestFit="1"/>
    <col min="89" max="89" style="44" width="5.719285714285714" customWidth="1" bestFit="1"/>
    <col min="90" max="90" style="44" width="5.719285714285714" customWidth="1" bestFit="1"/>
    <col min="91" max="91" style="44" width="5.719285714285714" customWidth="1" bestFit="1"/>
    <col min="92" max="92" style="44" width="5.719285714285714" customWidth="1" bestFit="1"/>
    <col min="93" max="93" style="43" width="5.719285714285714" customWidth="1" bestFit="1"/>
    <col min="94" max="94" style="44" width="5.719285714285714" customWidth="1" bestFit="1"/>
    <col min="95" max="95" style="44" width="5.719285714285714" customWidth="1" bestFit="1"/>
    <col min="96" max="96" style="44" width="5.719285714285714" customWidth="1" bestFit="1"/>
    <col min="97" max="97" style="44" width="5.719285714285714" customWidth="1" bestFit="1"/>
    <col min="98" max="98" style="44" width="5.719285714285714" customWidth="1" bestFit="1"/>
    <col min="99" max="99" style="44" width="5.719285714285714" customWidth="1" bestFit="1"/>
    <col min="100" max="100" style="43" width="5.719285714285714" customWidth="1" bestFit="1"/>
  </cols>
  <sheetData>
    <row x14ac:dyDescent="0.25" r="1" customHeight="1" ht="18.75">
      <c r="A1" s="1" t="s">
        <v>70</v>
      </c>
      <c r="B1" s="149"/>
      <c r="C1" s="149"/>
      <c r="D1" s="45" t="s">
        <v>71</v>
      </c>
      <c r="E1" s="149"/>
      <c r="F1" s="149"/>
      <c r="G1" s="149"/>
      <c r="H1" s="149"/>
      <c r="I1" s="45" t="s">
        <v>136</v>
      </c>
      <c r="J1" s="149"/>
      <c r="K1" s="149"/>
      <c r="L1" s="149"/>
      <c r="M1" s="149"/>
      <c r="N1" s="46"/>
      <c r="O1" s="46"/>
      <c r="P1" s="149"/>
      <c r="Q1" s="149"/>
      <c r="R1" s="46"/>
      <c r="S1" s="3"/>
      <c r="T1" s="46"/>
      <c r="U1" s="46"/>
      <c r="V1" s="3"/>
      <c r="W1" s="3"/>
      <c r="X1" s="3"/>
      <c r="Y1" s="3"/>
      <c r="Z1" s="3"/>
      <c r="AA1" s="2"/>
      <c r="AB1" s="3"/>
      <c r="AC1" s="3"/>
      <c r="AD1" s="3"/>
      <c r="AE1" s="46"/>
      <c r="AF1" s="46"/>
      <c r="AG1" s="3"/>
      <c r="AH1" s="2"/>
      <c r="AI1" s="3"/>
      <c r="AJ1" s="2"/>
      <c r="AK1" s="2"/>
      <c r="AL1" s="3"/>
      <c r="AM1" s="3"/>
      <c r="AN1" s="2"/>
      <c r="AO1" s="2"/>
      <c r="AP1" s="2"/>
      <c r="AQ1" s="3"/>
      <c r="AR1" s="2"/>
      <c r="AS1" s="2"/>
      <c r="AT1" s="2"/>
      <c r="AU1" s="3"/>
      <c r="AV1" s="3"/>
      <c r="AW1" s="2"/>
      <c r="AX1" s="2"/>
      <c r="AY1" s="3"/>
      <c r="AZ1" s="3"/>
      <c r="BA1" s="3"/>
      <c r="BB1" s="3"/>
      <c r="BC1" s="3"/>
      <c r="BD1" s="3"/>
      <c r="BE1" s="3"/>
      <c r="BF1" s="3"/>
      <c r="BG1" s="3"/>
      <c r="BH1" s="2"/>
      <c r="BI1" s="3"/>
      <c r="BJ1" s="3"/>
      <c r="BK1" s="3"/>
      <c r="BL1" s="3"/>
      <c r="BM1" s="3"/>
      <c r="BN1" s="3"/>
      <c r="BO1" s="2"/>
      <c r="BP1" s="3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3"/>
      <c r="CC1" s="3"/>
      <c r="CD1" s="2"/>
      <c r="CE1" s="2"/>
      <c r="CF1" s="3"/>
      <c r="CG1" s="3"/>
      <c r="CH1" s="3"/>
      <c r="CI1" s="3"/>
      <c r="CJ1" s="3"/>
      <c r="CK1" s="3"/>
      <c r="CL1" s="3"/>
      <c r="CM1" s="3"/>
      <c r="CN1" s="3"/>
      <c r="CO1" s="2"/>
      <c r="CP1" s="3"/>
      <c r="CQ1" s="3"/>
      <c r="CR1" s="3"/>
      <c r="CS1" s="3"/>
      <c r="CT1" s="3"/>
      <c r="CU1" s="3"/>
      <c r="CV1" s="2"/>
    </row>
    <row x14ac:dyDescent="0.25" r="2" customHeight="1" ht="18.75">
      <c r="A2" s="46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46"/>
      <c r="O2" s="46"/>
      <c r="P2" s="149"/>
      <c r="Q2" s="149"/>
      <c r="R2" s="46"/>
      <c r="S2" s="3"/>
      <c r="T2" s="46"/>
      <c r="U2" s="46"/>
      <c r="V2" s="3"/>
      <c r="W2" s="3"/>
      <c r="X2" s="3"/>
      <c r="Y2" s="3"/>
      <c r="Z2" s="3"/>
      <c r="AA2" s="2"/>
      <c r="AB2" s="3"/>
      <c r="AC2" s="3"/>
      <c r="AD2" s="3"/>
      <c r="AE2" s="46"/>
      <c r="AF2" s="46"/>
      <c r="AG2" s="3"/>
      <c r="AH2" s="2"/>
      <c r="AI2" s="3"/>
      <c r="AJ2" s="2"/>
      <c r="AK2" s="2"/>
      <c r="AL2" s="3"/>
      <c r="AM2" s="3"/>
      <c r="AN2" s="2"/>
      <c r="AO2" s="2"/>
      <c r="AP2" s="2"/>
      <c r="AQ2" s="3"/>
      <c r="AR2" s="2"/>
      <c r="AS2" s="2"/>
      <c r="AT2" s="2"/>
      <c r="AU2" s="3"/>
      <c r="AV2" s="3"/>
      <c r="AW2" s="2"/>
      <c r="AX2" s="2"/>
      <c r="AY2" s="3"/>
      <c r="AZ2" s="3"/>
      <c r="BA2" s="3"/>
      <c r="BB2" s="3"/>
      <c r="BC2" s="3"/>
      <c r="BD2" s="3"/>
      <c r="BE2" s="3"/>
      <c r="BF2" s="3"/>
      <c r="BG2" s="3"/>
      <c r="BH2" s="2"/>
      <c r="BI2" s="3"/>
      <c r="BJ2" s="3"/>
      <c r="BK2" s="3"/>
      <c r="BL2" s="3"/>
      <c r="BM2" s="3"/>
      <c r="BN2" s="3"/>
      <c r="BO2" s="2"/>
      <c r="BP2" s="3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3"/>
      <c r="CC2" s="3"/>
      <c r="CD2" s="2"/>
      <c r="CE2" s="2"/>
      <c r="CF2" s="3"/>
      <c r="CG2" s="3"/>
      <c r="CH2" s="3"/>
      <c r="CI2" s="3"/>
      <c r="CJ2" s="3"/>
      <c r="CK2" s="3"/>
      <c r="CL2" s="3"/>
      <c r="CM2" s="3"/>
      <c r="CN2" s="3"/>
      <c r="CO2" s="2"/>
      <c r="CP2" s="3"/>
      <c r="CQ2" s="3"/>
      <c r="CR2" s="3"/>
      <c r="CS2" s="3"/>
      <c r="CT2" s="3"/>
      <c r="CU2" s="3"/>
      <c r="CV2" s="2"/>
    </row>
    <row x14ac:dyDescent="0.25" r="3" customHeight="1" ht="18.75">
      <c r="A3" s="1" t="s">
        <v>2</v>
      </c>
      <c r="B3" s="5">
        <v>76</v>
      </c>
      <c r="C3" s="7"/>
      <c r="D3" s="7"/>
      <c r="E3" s="45"/>
      <c r="F3" s="45" t="s">
        <v>3</v>
      </c>
      <c r="G3" s="45"/>
      <c r="H3" s="45"/>
      <c r="I3" s="45"/>
      <c r="J3" s="45"/>
      <c r="K3" s="45"/>
      <c r="L3" s="45"/>
      <c r="M3" s="45"/>
      <c r="N3" s="1"/>
      <c r="O3" s="1"/>
      <c r="P3" s="149"/>
      <c r="Q3" s="149"/>
      <c r="R3" s="46"/>
      <c r="S3" s="3"/>
      <c r="T3" s="46"/>
      <c r="U3" s="46"/>
      <c r="V3" s="3"/>
      <c r="W3" s="3"/>
      <c r="X3" s="3"/>
      <c r="Y3" s="3"/>
      <c r="Z3" s="3"/>
      <c r="AA3" s="2"/>
      <c r="AB3" s="3"/>
      <c r="AC3" s="3"/>
      <c r="AD3" s="3"/>
      <c r="AE3" s="46"/>
      <c r="AF3" s="46"/>
      <c r="AG3" s="3"/>
      <c r="AH3" s="2"/>
      <c r="AI3" s="3"/>
      <c r="AJ3" s="2"/>
      <c r="AK3" s="2"/>
      <c r="AL3" s="3"/>
      <c r="AM3" s="3"/>
      <c r="AN3" s="2"/>
      <c r="AO3" s="2"/>
      <c r="AP3" s="2"/>
      <c r="AQ3" s="3"/>
      <c r="AR3" s="2"/>
      <c r="AS3" s="2"/>
      <c r="AT3" s="2"/>
      <c r="AU3" s="3"/>
      <c r="AV3" s="3"/>
      <c r="AW3" s="2"/>
      <c r="AX3" s="2"/>
      <c r="AY3" s="3"/>
      <c r="AZ3" s="3"/>
      <c r="BA3" s="3"/>
      <c r="BB3" s="3"/>
      <c r="BC3" s="3"/>
      <c r="BD3" s="3"/>
      <c r="BE3" s="3"/>
      <c r="BF3" s="3"/>
      <c r="BG3" s="3"/>
      <c r="BH3" s="2"/>
      <c r="BI3" s="3"/>
      <c r="BJ3" s="3"/>
      <c r="BK3" s="3"/>
      <c r="BL3" s="3"/>
      <c r="BM3" s="3"/>
      <c r="BN3" s="3"/>
      <c r="BO3" s="2"/>
      <c r="BP3" s="3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3"/>
      <c r="CC3" s="3"/>
      <c r="CD3" s="2"/>
      <c r="CE3" s="2"/>
      <c r="CF3" s="3"/>
      <c r="CG3" s="3"/>
      <c r="CH3" s="3"/>
      <c r="CI3" s="3"/>
      <c r="CJ3" s="3"/>
      <c r="CK3" s="3"/>
      <c r="CL3" s="3"/>
      <c r="CM3" s="3"/>
      <c r="CN3" s="3"/>
      <c r="CO3" s="2"/>
      <c r="CP3" s="3"/>
      <c r="CQ3" s="3"/>
      <c r="CR3" s="3"/>
      <c r="CS3" s="3"/>
      <c r="CT3" s="3"/>
      <c r="CU3" s="3"/>
      <c r="CV3" s="2"/>
    </row>
    <row x14ac:dyDescent="0.25" r="4" customHeight="1" ht="18.75">
      <c r="A4" s="1" t="s">
        <v>4</v>
      </c>
      <c r="B4" s="7" t="s">
        <v>657</v>
      </c>
      <c r="C4" s="7"/>
      <c r="D4" s="7"/>
      <c r="E4" s="149"/>
      <c r="F4" s="124" t="s">
        <v>658</v>
      </c>
      <c r="G4" s="92"/>
      <c r="H4" s="92"/>
      <c r="I4" s="92"/>
      <c r="J4" s="92"/>
      <c r="K4" s="92"/>
      <c r="L4" s="92"/>
      <c r="M4" s="92"/>
      <c r="N4" s="93"/>
      <c r="O4" s="93"/>
      <c r="P4" s="125"/>
      <c r="Q4" s="149"/>
      <c r="R4" s="46"/>
      <c r="S4" s="3"/>
      <c r="T4" s="46"/>
      <c r="U4" s="46"/>
      <c r="V4" s="3"/>
      <c r="W4" s="3"/>
      <c r="X4" s="3"/>
      <c r="Y4" s="3"/>
      <c r="Z4" s="3"/>
      <c r="AA4" s="2"/>
      <c r="AB4" s="3"/>
      <c r="AC4" s="3"/>
      <c r="AD4" s="3"/>
      <c r="AE4" s="46"/>
      <c r="AF4" s="46"/>
      <c r="AG4" s="3"/>
      <c r="AH4" s="2"/>
      <c r="AI4" s="3"/>
      <c r="AJ4" s="2"/>
      <c r="AK4" s="2"/>
      <c r="AL4" s="3"/>
      <c r="AM4" s="3"/>
      <c r="AN4" s="2"/>
      <c r="AO4" s="2"/>
      <c r="AP4" s="2"/>
      <c r="AQ4" s="3"/>
      <c r="AR4" s="2"/>
      <c r="AS4" s="2"/>
      <c r="AT4" s="2"/>
      <c r="AU4" s="3"/>
      <c r="AV4" s="3"/>
      <c r="AW4" s="2"/>
      <c r="AX4" s="2"/>
      <c r="AY4" s="3"/>
      <c r="AZ4" s="3"/>
      <c r="BA4" s="3"/>
      <c r="BB4" s="3"/>
      <c r="BC4" s="3"/>
      <c r="BD4" s="3"/>
      <c r="BE4" s="3"/>
      <c r="BF4" s="3"/>
      <c r="BG4" s="3"/>
      <c r="BH4" s="2"/>
      <c r="BI4" s="3"/>
      <c r="BJ4" s="3"/>
      <c r="BK4" s="3"/>
      <c r="BL4" s="3"/>
      <c r="BM4" s="3"/>
      <c r="BN4" s="3"/>
      <c r="BO4" s="2"/>
      <c r="BP4" s="3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3"/>
      <c r="CC4" s="3"/>
      <c r="CD4" s="2"/>
      <c r="CE4" s="2"/>
      <c r="CF4" s="3"/>
      <c r="CG4" s="3"/>
      <c r="CH4" s="3"/>
      <c r="CI4" s="3"/>
      <c r="CJ4" s="3"/>
      <c r="CK4" s="3"/>
      <c r="CL4" s="3"/>
      <c r="CM4" s="3"/>
      <c r="CN4" s="3"/>
      <c r="CO4" s="2"/>
      <c r="CP4" s="3"/>
      <c r="CQ4" s="3"/>
      <c r="CR4" s="3"/>
      <c r="CS4" s="3"/>
      <c r="CT4" s="3"/>
      <c r="CU4" s="3"/>
      <c r="CV4" s="2"/>
    </row>
    <row x14ac:dyDescent="0.25" r="5" customHeight="1" ht="18.75">
      <c r="A5" s="1" t="s">
        <v>7</v>
      </c>
      <c r="B5" s="7" t="s">
        <v>75</v>
      </c>
      <c r="C5" s="7"/>
      <c r="D5" s="7"/>
      <c r="E5" s="149"/>
      <c r="F5" s="126"/>
      <c r="G5" s="96"/>
      <c r="H5" s="96"/>
      <c r="I5" s="96"/>
      <c r="J5" s="96"/>
      <c r="K5" s="96"/>
      <c r="L5" s="96"/>
      <c r="M5" s="96"/>
      <c r="N5" s="97"/>
      <c r="O5" s="97"/>
      <c r="P5" s="127"/>
      <c r="Q5" s="149"/>
      <c r="R5" s="46"/>
      <c r="S5" s="3"/>
      <c r="T5" s="46"/>
      <c r="U5" s="46"/>
      <c r="V5" s="3"/>
      <c r="W5" s="3"/>
      <c r="X5" s="3"/>
      <c r="Y5" s="3"/>
      <c r="Z5" s="3"/>
      <c r="AA5" s="2"/>
      <c r="AB5" s="3"/>
      <c r="AC5" s="3"/>
      <c r="AD5" s="3"/>
      <c r="AE5" s="46"/>
      <c r="AF5" s="46"/>
      <c r="AG5" s="3"/>
      <c r="AH5" s="2"/>
      <c r="AI5" s="3"/>
      <c r="AJ5" s="2"/>
      <c r="AK5" s="2"/>
      <c r="AL5" s="3"/>
      <c r="AM5" s="3"/>
      <c r="AN5" s="2"/>
      <c r="AO5" s="2"/>
      <c r="AP5" s="2"/>
      <c r="AQ5" s="3"/>
      <c r="AR5" s="2"/>
      <c r="AS5" s="2"/>
      <c r="AT5" s="2"/>
      <c r="AU5" s="3"/>
      <c r="AV5" s="3"/>
      <c r="AW5" s="2"/>
      <c r="AX5" s="2"/>
      <c r="AY5" s="3"/>
      <c r="AZ5" s="3"/>
      <c r="BA5" s="3"/>
      <c r="BB5" s="3"/>
      <c r="BC5" s="3"/>
      <c r="BD5" s="3"/>
      <c r="BE5" s="3"/>
      <c r="BF5" s="3"/>
      <c r="BG5" s="3"/>
      <c r="BH5" s="2"/>
      <c r="BI5" s="3"/>
      <c r="BJ5" s="3"/>
      <c r="BK5" s="3"/>
      <c r="BL5" s="3"/>
      <c r="BM5" s="3"/>
      <c r="BN5" s="3"/>
      <c r="BO5" s="2"/>
      <c r="BP5" s="3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3"/>
      <c r="CC5" s="3"/>
      <c r="CD5" s="2"/>
      <c r="CE5" s="2"/>
      <c r="CF5" s="3"/>
      <c r="CG5" s="3"/>
      <c r="CH5" s="3"/>
      <c r="CI5" s="3"/>
      <c r="CJ5" s="3"/>
      <c r="CK5" s="3"/>
      <c r="CL5" s="3"/>
      <c r="CM5" s="3"/>
      <c r="CN5" s="3"/>
      <c r="CO5" s="2"/>
      <c r="CP5" s="3"/>
      <c r="CQ5" s="3"/>
      <c r="CR5" s="3"/>
      <c r="CS5" s="3"/>
      <c r="CT5" s="3"/>
      <c r="CU5" s="3"/>
      <c r="CV5" s="2"/>
    </row>
    <row x14ac:dyDescent="0.25" r="6" customHeight="1" ht="18.75">
      <c r="A6" s="46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46"/>
      <c r="O6" s="46"/>
      <c r="P6" s="149"/>
      <c r="Q6" s="149"/>
      <c r="R6" s="46"/>
      <c r="S6" s="3"/>
      <c r="T6" s="46"/>
      <c r="U6" s="46"/>
      <c r="V6" s="3"/>
      <c r="W6" s="3"/>
      <c r="X6" s="3"/>
      <c r="Y6" s="3"/>
      <c r="Z6" s="3"/>
      <c r="AA6" s="2"/>
      <c r="AB6" s="3"/>
      <c r="AC6" s="3"/>
      <c r="AD6" s="3"/>
      <c r="AE6" s="46"/>
      <c r="AF6" s="46"/>
      <c r="AG6" s="3"/>
      <c r="AH6" s="2"/>
      <c r="AI6" s="3"/>
      <c r="AJ6" s="2"/>
      <c r="AK6" s="2"/>
      <c r="AL6" s="3"/>
      <c r="AM6" s="3"/>
      <c r="AN6" s="2"/>
      <c r="AO6" s="2"/>
      <c r="AP6" s="2"/>
      <c r="AQ6" s="3"/>
      <c r="AR6" s="2"/>
      <c r="AS6" s="2"/>
      <c r="AT6" s="2"/>
      <c r="AU6" s="3"/>
      <c r="AV6" s="3"/>
      <c r="AW6" s="2"/>
      <c r="AX6" s="2"/>
      <c r="AY6" s="3"/>
      <c r="AZ6" s="3"/>
      <c r="BA6" s="3"/>
      <c r="BB6" s="3"/>
      <c r="BC6" s="3"/>
      <c r="BD6" s="3"/>
      <c r="BE6" s="3"/>
      <c r="BF6" s="3"/>
      <c r="BG6" s="3"/>
      <c r="BH6" s="2"/>
      <c r="BI6" s="3"/>
      <c r="BJ6" s="3"/>
      <c r="BK6" s="3"/>
      <c r="BL6" s="3"/>
      <c r="BM6" s="3"/>
      <c r="BN6" s="3"/>
      <c r="BO6" s="2"/>
      <c r="BP6" s="3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3"/>
      <c r="CC6" s="3"/>
      <c r="CD6" s="2"/>
      <c r="CE6" s="2"/>
      <c r="CF6" s="3"/>
      <c r="CG6" s="3"/>
      <c r="CH6" s="3"/>
      <c r="CI6" s="3"/>
      <c r="CJ6" s="3"/>
      <c r="CK6" s="3"/>
      <c r="CL6" s="3"/>
      <c r="CM6" s="3"/>
      <c r="CN6" s="3"/>
      <c r="CO6" s="2"/>
      <c r="CP6" s="3"/>
      <c r="CQ6" s="3"/>
      <c r="CR6" s="3"/>
      <c r="CS6" s="3"/>
      <c r="CT6" s="3"/>
      <c r="CU6" s="3"/>
      <c r="CV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29" t="s">
        <v>41</v>
      </c>
      <c r="AH7" s="56" t="s">
        <v>42</v>
      </c>
      <c r="AI7" s="3"/>
      <c r="AJ7" s="99" t="s">
        <v>11</v>
      </c>
      <c r="AK7" s="99" t="s">
        <v>12</v>
      </c>
      <c r="AL7" s="66" t="s">
        <v>13</v>
      </c>
      <c r="AM7" s="67" t="s">
        <v>14</v>
      </c>
      <c r="AN7" s="100" t="s">
        <v>15</v>
      </c>
      <c r="AO7" s="100" t="s">
        <v>16</v>
      </c>
      <c r="AP7" s="100" t="s">
        <v>17</v>
      </c>
      <c r="AQ7" s="70" t="s">
        <v>18</v>
      </c>
      <c r="AR7" s="101" t="s">
        <v>19</v>
      </c>
      <c r="AS7" s="188" t="s">
        <v>20</v>
      </c>
      <c r="AT7" s="101" t="s">
        <v>21</v>
      </c>
      <c r="AU7" s="72" t="s">
        <v>22</v>
      </c>
      <c r="AV7" s="72" t="s">
        <v>23</v>
      </c>
      <c r="AW7" s="102" t="s">
        <v>24</v>
      </c>
      <c r="AX7" s="102" t="s">
        <v>25</v>
      </c>
      <c r="AY7" s="73" t="s">
        <v>26</v>
      </c>
      <c r="AZ7" s="75" t="s">
        <v>27</v>
      </c>
      <c r="BA7" s="76" t="s">
        <v>28</v>
      </c>
      <c r="BB7" s="76" t="s">
        <v>29</v>
      </c>
      <c r="BC7" s="77" t="s">
        <v>30</v>
      </c>
      <c r="BD7" s="77" t="s">
        <v>31</v>
      </c>
      <c r="BE7" s="78" t="s">
        <v>32</v>
      </c>
      <c r="BF7" s="78" t="s">
        <v>33</v>
      </c>
      <c r="BG7" s="105" t="s">
        <v>34</v>
      </c>
      <c r="BH7" s="106" t="s">
        <v>35</v>
      </c>
      <c r="BI7" s="108" t="s">
        <v>36</v>
      </c>
      <c r="BJ7" s="108" t="s">
        <v>37</v>
      </c>
      <c r="BK7" s="108" t="s">
        <v>38</v>
      </c>
      <c r="BL7" s="134" t="s">
        <v>39</v>
      </c>
      <c r="BM7" s="110" t="s">
        <v>40</v>
      </c>
      <c r="BN7" s="29" t="s">
        <v>41</v>
      </c>
      <c r="BO7" s="112" t="s">
        <v>42</v>
      </c>
      <c r="BP7" s="3"/>
      <c r="BQ7" s="99" t="s">
        <v>11</v>
      </c>
      <c r="BR7" s="99" t="s">
        <v>12</v>
      </c>
      <c r="BS7" s="128" t="s">
        <v>13</v>
      </c>
      <c r="BT7" s="129" t="s">
        <v>14</v>
      </c>
      <c r="BU7" s="100" t="s">
        <v>15</v>
      </c>
      <c r="BV7" s="100" t="s">
        <v>16</v>
      </c>
      <c r="BW7" s="100" t="s">
        <v>17</v>
      </c>
      <c r="BX7" s="130" t="s">
        <v>18</v>
      </c>
      <c r="BY7" s="101" t="s">
        <v>19</v>
      </c>
      <c r="BZ7" s="101" t="s">
        <v>20</v>
      </c>
      <c r="CA7" s="53" t="s">
        <v>21</v>
      </c>
      <c r="CB7" s="72" t="s">
        <v>22</v>
      </c>
      <c r="CC7" s="72" t="s">
        <v>23</v>
      </c>
      <c r="CD7" s="54" t="s">
        <v>24</v>
      </c>
      <c r="CE7" s="102" t="s">
        <v>25</v>
      </c>
      <c r="CF7" s="73" t="s">
        <v>26</v>
      </c>
      <c r="CG7" s="75" t="s">
        <v>27</v>
      </c>
      <c r="CH7" s="76" t="s">
        <v>28</v>
      </c>
      <c r="CI7" s="76" t="s">
        <v>29</v>
      </c>
      <c r="CJ7" s="77" t="s">
        <v>30</v>
      </c>
      <c r="CK7" s="77" t="s">
        <v>31</v>
      </c>
      <c r="CL7" s="78" t="s">
        <v>32</v>
      </c>
      <c r="CM7" s="78" t="s">
        <v>33</v>
      </c>
      <c r="CN7" s="105" t="s">
        <v>34</v>
      </c>
      <c r="CO7" s="55" t="s">
        <v>35</v>
      </c>
      <c r="CP7" s="108" t="s">
        <v>37</v>
      </c>
      <c r="CQ7" s="108" t="s">
        <v>38</v>
      </c>
      <c r="CR7" s="134" t="s">
        <v>39</v>
      </c>
      <c r="CS7" s="110" t="s">
        <v>40</v>
      </c>
      <c r="CT7" s="29" t="s">
        <v>41</v>
      </c>
      <c r="CU7" s="29" t="s">
        <v>41</v>
      </c>
      <c r="CV7" s="56" t="s">
        <v>42</v>
      </c>
    </row>
    <row x14ac:dyDescent="0.25" r="8" customHeight="1" ht="18.75">
      <c r="A8" s="30" t="s">
        <v>43</v>
      </c>
      <c r="B8" s="31" t="s">
        <v>140</v>
      </c>
      <c r="C8" s="31" t="s">
        <v>68</v>
      </c>
      <c r="D8" s="31" t="s">
        <v>68</v>
      </c>
      <c r="E8" s="31" t="s">
        <v>339</v>
      </c>
      <c r="F8" s="31"/>
      <c r="G8" s="31" t="s">
        <v>339</v>
      </c>
      <c r="H8" s="31" t="s">
        <v>339</v>
      </c>
      <c r="I8" s="31" t="s">
        <v>339</v>
      </c>
      <c r="J8" s="31"/>
      <c r="K8" s="31" t="s">
        <v>659</v>
      </c>
      <c r="L8" s="31" t="s">
        <v>659</v>
      </c>
      <c r="M8" s="31" t="s">
        <v>659</v>
      </c>
      <c r="N8" s="32"/>
      <c r="O8" s="32"/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341</v>
      </c>
      <c r="AB8" s="32"/>
      <c r="AC8" s="32"/>
      <c r="AD8" s="32"/>
      <c r="AE8" s="32"/>
      <c r="AF8" s="32"/>
      <c r="AG8" s="32"/>
      <c r="AH8" s="31" t="s">
        <v>68</v>
      </c>
      <c r="AI8" s="3"/>
      <c r="AJ8" s="143" t="s">
        <v>358</v>
      </c>
      <c r="AK8" s="143" t="s">
        <v>358</v>
      </c>
      <c r="AL8" s="32"/>
      <c r="AM8" s="32"/>
      <c r="AN8" s="143" t="s">
        <v>358</v>
      </c>
      <c r="AO8" s="143" t="s">
        <v>358</v>
      </c>
      <c r="AP8" s="143" t="s">
        <v>358</v>
      </c>
      <c r="AQ8" s="32"/>
      <c r="AR8" s="143" t="s">
        <v>358</v>
      </c>
      <c r="AS8" s="143" t="s">
        <v>358</v>
      </c>
      <c r="AT8" s="143" t="s">
        <v>358</v>
      </c>
      <c r="AU8" s="32"/>
      <c r="AV8" s="32"/>
      <c r="AW8" s="143" t="s">
        <v>358</v>
      </c>
      <c r="AX8" s="143" t="s">
        <v>358</v>
      </c>
      <c r="AY8" s="32"/>
      <c r="AZ8" s="32"/>
      <c r="BA8" s="32"/>
      <c r="BB8" s="32"/>
      <c r="BC8" s="32"/>
      <c r="BD8" s="32"/>
      <c r="BE8" s="32"/>
      <c r="BF8" s="32"/>
      <c r="BG8" s="32"/>
      <c r="BH8" s="31" t="s">
        <v>341</v>
      </c>
      <c r="BI8" s="32"/>
      <c r="BJ8" s="32"/>
      <c r="BK8" s="32"/>
      <c r="BL8" s="32"/>
      <c r="BM8" s="32"/>
      <c r="BN8" s="32"/>
      <c r="BO8" s="31" t="s">
        <v>68</v>
      </c>
      <c r="BP8" s="3"/>
      <c r="BQ8" s="143" t="s">
        <v>358</v>
      </c>
      <c r="BR8" s="143" t="s">
        <v>358</v>
      </c>
      <c r="BS8" s="143" t="s">
        <v>358</v>
      </c>
      <c r="BT8" s="143" t="s">
        <v>358</v>
      </c>
      <c r="BU8" s="143" t="s">
        <v>358</v>
      </c>
      <c r="BV8" s="143" t="s">
        <v>358</v>
      </c>
      <c r="BW8" s="143" t="s">
        <v>358</v>
      </c>
      <c r="BX8" s="143" t="s">
        <v>358</v>
      </c>
      <c r="BY8" s="143" t="s">
        <v>358</v>
      </c>
      <c r="BZ8" s="143" t="s">
        <v>358</v>
      </c>
      <c r="CA8" s="143" t="s">
        <v>358</v>
      </c>
      <c r="CB8" s="32"/>
      <c r="CC8" s="32"/>
      <c r="CD8" s="143" t="s">
        <v>358</v>
      </c>
      <c r="CE8" s="143" t="s">
        <v>358</v>
      </c>
      <c r="CF8" s="32"/>
      <c r="CG8" s="32"/>
      <c r="CH8" s="32"/>
      <c r="CI8" s="32"/>
      <c r="CJ8" s="32"/>
      <c r="CK8" s="32"/>
      <c r="CL8" s="32"/>
      <c r="CM8" s="32"/>
      <c r="CN8" s="32"/>
      <c r="CO8" s="143" t="s">
        <v>358</v>
      </c>
      <c r="CP8" s="32"/>
      <c r="CQ8" s="32"/>
      <c r="CR8" s="32"/>
      <c r="CS8" s="32"/>
      <c r="CT8" s="32"/>
      <c r="CU8" s="32"/>
      <c r="CV8" s="143" t="s">
        <v>358</v>
      </c>
    </row>
    <row x14ac:dyDescent="0.25" r="9" customHeight="1" ht="18.75">
      <c r="A9" s="30" t="s">
        <v>45</v>
      </c>
      <c r="B9" s="31" t="s">
        <v>339</v>
      </c>
      <c r="C9" s="31" t="s">
        <v>132</v>
      </c>
      <c r="D9" s="31" t="s">
        <v>132</v>
      </c>
      <c r="E9" s="31" t="s">
        <v>343</v>
      </c>
      <c r="F9" s="31"/>
      <c r="G9" s="31" t="s">
        <v>343</v>
      </c>
      <c r="H9" s="31" t="s">
        <v>343</v>
      </c>
      <c r="I9" s="31" t="s">
        <v>343</v>
      </c>
      <c r="J9" s="33"/>
      <c r="K9" s="31" t="s">
        <v>660</v>
      </c>
      <c r="L9" s="31" t="s">
        <v>661</v>
      </c>
      <c r="M9" s="31" t="s">
        <v>660</v>
      </c>
      <c r="N9" s="34"/>
      <c r="O9" s="34"/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341</v>
      </c>
      <c r="AB9" s="34"/>
      <c r="AC9" s="34"/>
      <c r="AD9" s="34"/>
      <c r="AE9" s="34"/>
      <c r="AF9" s="34"/>
      <c r="AG9" s="32" t="s">
        <v>302</v>
      </c>
      <c r="AH9" s="31" t="s">
        <v>132</v>
      </c>
      <c r="AI9" s="3"/>
      <c r="AJ9" s="143" t="s">
        <v>358</v>
      </c>
      <c r="AK9" s="143" t="s">
        <v>358</v>
      </c>
      <c r="AL9" s="34"/>
      <c r="AM9" s="34"/>
      <c r="AN9" s="143" t="s">
        <v>358</v>
      </c>
      <c r="AO9" s="143" t="s">
        <v>358</v>
      </c>
      <c r="AP9" s="143" t="s">
        <v>358</v>
      </c>
      <c r="AQ9" s="34"/>
      <c r="AR9" s="143" t="s">
        <v>358</v>
      </c>
      <c r="AS9" s="143" t="s">
        <v>358</v>
      </c>
      <c r="AT9" s="143" t="s">
        <v>358</v>
      </c>
      <c r="AU9" s="34"/>
      <c r="AV9" s="34"/>
      <c r="AW9" s="143" t="s">
        <v>358</v>
      </c>
      <c r="AX9" s="143" t="s">
        <v>358</v>
      </c>
      <c r="AY9" s="34"/>
      <c r="AZ9" s="34"/>
      <c r="BA9" s="34"/>
      <c r="BB9" s="34"/>
      <c r="BC9" s="34"/>
      <c r="BD9" s="34"/>
      <c r="BE9" s="34"/>
      <c r="BF9" s="34"/>
      <c r="BG9" s="34"/>
      <c r="BH9" s="31" t="s">
        <v>341</v>
      </c>
      <c r="BI9" s="34"/>
      <c r="BJ9" s="34"/>
      <c r="BK9" s="34"/>
      <c r="BL9" s="34"/>
      <c r="BM9" s="34"/>
      <c r="BN9" s="32"/>
      <c r="BO9" s="31" t="s">
        <v>132</v>
      </c>
      <c r="BP9" s="3"/>
      <c r="BQ9" s="143" t="s">
        <v>358</v>
      </c>
      <c r="BR9" s="143" t="s">
        <v>358</v>
      </c>
      <c r="BS9" s="143" t="s">
        <v>358</v>
      </c>
      <c r="BT9" s="143" t="s">
        <v>358</v>
      </c>
      <c r="BU9" s="143" t="s">
        <v>358</v>
      </c>
      <c r="BV9" s="143" t="s">
        <v>358</v>
      </c>
      <c r="BW9" s="143" t="s">
        <v>358</v>
      </c>
      <c r="BX9" s="143" t="s">
        <v>358</v>
      </c>
      <c r="BY9" s="143" t="s">
        <v>358</v>
      </c>
      <c r="BZ9" s="143" t="s">
        <v>358</v>
      </c>
      <c r="CA9" s="143" t="s">
        <v>358</v>
      </c>
      <c r="CB9" s="34"/>
      <c r="CC9" s="34"/>
      <c r="CD9" s="143" t="s">
        <v>358</v>
      </c>
      <c r="CE9" s="143" t="s">
        <v>358</v>
      </c>
      <c r="CF9" s="34"/>
      <c r="CG9" s="34"/>
      <c r="CH9" s="34"/>
      <c r="CI9" s="34"/>
      <c r="CJ9" s="34"/>
      <c r="CK9" s="34"/>
      <c r="CL9" s="34"/>
      <c r="CM9" s="34"/>
      <c r="CN9" s="34"/>
      <c r="CO9" s="143" t="s">
        <v>358</v>
      </c>
      <c r="CP9" s="34"/>
      <c r="CQ9" s="34"/>
      <c r="CR9" s="34"/>
      <c r="CS9" s="34"/>
      <c r="CT9" s="32"/>
      <c r="CU9" s="32"/>
      <c r="CV9" s="143" t="s">
        <v>358</v>
      </c>
    </row>
    <row x14ac:dyDescent="0.25" r="10" customHeight="1" ht="18.75">
      <c r="A10" s="35" t="s">
        <v>47</v>
      </c>
      <c r="B10" s="117">
        <v>2</v>
      </c>
      <c r="C10" s="117">
        <v>98</v>
      </c>
      <c r="D10" s="117">
        <v>98</v>
      </c>
      <c r="E10" s="117">
        <v>91</v>
      </c>
      <c r="F10" s="36"/>
      <c r="G10" s="117">
        <v>91</v>
      </c>
      <c r="H10" s="117">
        <v>91</v>
      </c>
      <c r="I10" s="117">
        <v>91</v>
      </c>
      <c r="J10" s="36"/>
      <c r="K10" s="117">
        <v>254</v>
      </c>
      <c r="L10" s="117">
        <v>255</v>
      </c>
      <c r="M10" s="117">
        <v>256</v>
      </c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196</v>
      </c>
      <c r="AB10" s="37"/>
      <c r="AC10" s="37"/>
      <c r="AD10" s="37"/>
      <c r="AE10" s="37"/>
      <c r="AF10" s="37"/>
      <c r="AG10" s="37"/>
      <c r="AH10" s="117">
        <v>98</v>
      </c>
      <c r="AI10" s="3"/>
      <c r="AJ10" s="144"/>
      <c r="AK10" s="144"/>
      <c r="AL10" s="37"/>
      <c r="AM10" s="37"/>
      <c r="AN10" s="144"/>
      <c r="AO10" s="144"/>
      <c r="AP10" s="144"/>
      <c r="AQ10" s="37"/>
      <c r="AR10" s="144"/>
      <c r="AS10" s="144"/>
      <c r="AT10" s="144"/>
      <c r="AU10" s="37"/>
      <c r="AV10" s="37"/>
      <c r="AW10" s="144"/>
      <c r="AX10" s="144"/>
      <c r="AY10" s="37"/>
      <c r="AZ10" s="37"/>
      <c r="BA10" s="37"/>
      <c r="BB10" s="37"/>
      <c r="BC10" s="37"/>
      <c r="BD10" s="37"/>
      <c r="BE10" s="37"/>
      <c r="BF10" s="37"/>
      <c r="BG10" s="37"/>
      <c r="BH10" s="117">
        <v>196</v>
      </c>
      <c r="BI10" s="37"/>
      <c r="BJ10" s="37"/>
      <c r="BK10" s="37"/>
      <c r="BL10" s="37"/>
      <c r="BM10" s="37"/>
      <c r="BN10" s="37"/>
      <c r="BO10" s="117">
        <v>98</v>
      </c>
      <c r="BP10" s="3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37"/>
      <c r="CC10" s="37"/>
      <c r="CD10" s="144"/>
      <c r="CE10" s="144"/>
      <c r="CF10" s="37"/>
      <c r="CG10" s="37"/>
      <c r="CH10" s="37"/>
      <c r="CI10" s="37"/>
      <c r="CJ10" s="37"/>
      <c r="CK10" s="37"/>
      <c r="CL10" s="37"/>
      <c r="CM10" s="37"/>
      <c r="CN10" s="37"/>
      <c r="CO10" s="144"/>
      <c r="CP10" s="37"/>
      <c r="CQ10" s="37"/>
      <c r="CR10" s="37"/>
      <c r="CS10" s="37"/>
      <c r="CT10" s="37"/>
      <c r="CU10" s="37"/>
      <c r="CV10" s="144"/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3" t="s">
        <v>52</v>
      </c>
      <c r="F11" s="33"/>
      <c r="G11" s="33" t="s">
        <v>52</v>
      </c>
      <c r="H11" s="33" t="s">
        <v>52</v>
      </c>
      <c r="I11" s="33" t="s">
        <v>52</v>
      </c>
      <c r="J11" s="31"/>
      <c r="K11" s="33" t="s">
        <v>52</v>
      </c>
      <c r="L11" s="33" t="s">
        <v>52</v>
      </c>
      <c r="M11" s="33" t="s">
        <v>52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4"/>
      <c r="AH11" s="33" t="s">
        <v>52</v>
      </c>
      <c r="AI11" s="3"/>
      <c r="AJ11" s="143" t="s">
        <v>49</v>
      </c>
      <c r="AK11" s="143" t="s">
        <v>49</v>
      </c>
      <c r="AL11" s="32"/>
      <c r="AM11" s="32"/>
      <c r="AN11" s="143" t="s">
        <v>49</v>
      </c>
      <c r="AO11" s="143" t="s">
        <v>49</v>
      </c>
      <c r="AP11" s="143" t="s">
        <v>49</v>
      </c>
      <c r="AQ11" s="32"/>
      <c r="AR11" s="143" t="s">
        <v>49</v>
      </c>
      <c r="AS11" s="143" t="s">
        <v>49</v>
      </c>
      <c r="AT11" s="143" t="s">
        <v>49</v>
      </c>
      <c r="AU11" s="32"/>
      <c r="AV11" s="32"/>
      <c r="AW11" s="143" t="s">
        <v>49</v>
      </c>
      <c r="AX11" s="143" t="s">
        <v>49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1" t="s">
        <v>52</v>
      </c>
      <c r="BI11" s="32"/>
      <c r="BJ11" s="34"/>
      <c r="BK11" s="32"/>
      <c r="BL11" s="34"/>
      <c r="BM11" s="32"/>
      <c r="BN11" s="34"/>
      <c r="BO11" s="31" t="s">
        <v>52</v>
      </c>
      <c r="BP11" s="3"/>
      <c r="BQ11" s="143" t="s">
        <v>49</v>
      </c>
      <c r="BR11" s="143" t="s">
        <v>49</v>
      </c>
      <c r="BS11" s="143" t="s">
        <v>49</v>
      </c>
      <c r="BT11" s="143" t="s">
        <v>49</v>
      </c>
      <c r="BU11" s="143" t="s">
        <v>49</v>
      </c>
      <c r="BV11" s="143" t="s">
        <v>49</v>
      </c>
      <c r="BW11" s="143" t="s">
        <v>49</v>
      </c>
      <c r="BX11" s="143" t="s">
        <v>49</v>
      </c>
      <c r="BY11" s="143" t="s">
        <v>49</v>
      </c>
      <c r="BZ11" s="143" t="s">
        <v>49</v>
      </c>
      <c r="CA11" s="143" t="s">
        <v>49</v>
      </c>
      <c r="CB11" s="32"/>
      <c r="CC11" s="32"/>
      <c r="CD11" s="143" t="s">
        <v>49</v>
      </c>
      <c r="CE11" s="143" t="s">
        <v>49</v>
      </c>
      <c r="CF11" s="32"/>
      <c r="CG11" s="32"/>
      <c r="CH11" s="32"/>
      <c r="CI11" s="32"/>
      <c r="CJ11" s="32"/>
      <c r="CK11" s="32"/>
      <c r="CL11" s="32"/>
      <c r="CM11" s="32"/>
      <c r="CN11" s="32"/>
      <c r="CO11" s="143" t="s">
        <v>49</v>
      </c>
      <c r="CP11" s="34"/>
      <c r="CQ11" s="32"/>
      <c r="CR11" s="34"/>
      <c r="CS11" s="32"/>
      <c r="CT11" s="34"/>
      <c r="CU11" s="34"/>
      <c r="CV11" s="143" t="s">
        <v>49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3" t="s">
        <v>52</v>
      </c>
      <c r="F12" s="31"/>
      <c r="G12" s="33" t="s">
        <v>52</v>
      </c>
      <c r="H12" s="33" t="s">
        <v>52</v>
      </c>
      <c r="I12" s="33" t="s">
        <v>52</v>
      </c>
      <c r="J12" s="31"/>
      <c r="K12" s="31" t="s">
        <v>52</v>
      </c>
      <c r="L12" s="31" t="s">
        <v>52</v>
      </c>
      <c r="M12" s="31" t="s">
        <v>52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  <c r="AI12" s="3"/>
      <c r="AJ12" s="143" t="s">
        <v>49</v>
      </c>
      <c r="AK12" s="143" t="s">
        <v>49</v>
      </c>
      <c r="AL12" s="32"/>
      <c r="AM12" s="32"/>
      <c r="AN12" s="143" t="s">
        <v>49</v>
      </c>
      <c r="AO12" s="143" t="s">
        <v>49</v>
      </c>
      <c r="AP12" s="143" t="s">
        <v>49</v>
      </c>
      <c r="AQ12" s="32"/>
      <c r="AR12" s="143" t="s">
        <v>49</v>
      </c>
      <c r="AS12" s="143" t="s">
        <v>49</v>
      </c>
      <c r="AT12" s="143" t="s">
        <v>49</v>
      </c>
      <c r="AU12" s="32"/>
      <c r="AV12" s="32"/>
      <c r="AW12" s="143" t="s">
        <v>49</v>
      </c>
      <c r="AX12" s="143" t="s">
        <v>49</v>
      </c>
      <c r="AY12" s="32"/>
      <c r="AZ12" s="32"/>
      <c r="BA12" s="32"/>
      <c r="BB12" s="32"/>
      <c r="BC12" s="32"/>
      <c r="BD12" s="32"/>
      <c r="BE12" s="32"/>
      <c r="BF12" s="32"/>
      <c r="BG12" s="32"/>
      <c r="BH12" s="31" t="s">
        <v>52</v>
      </c>
      <c r="BI12" s="32"/>
      <c r="BJ12" s="32"/>
      <c r="BK12" s="32"/>
      <c r="BL12" s="32"/>
      <c r="BM12" s="32"/>
      <c r="BN12" s="32"/>
      <c r="BO12" s="31" t="s">
        <v>52</v>
      </c>
      <c r="BP12" s="3"/>
      <c r="BQ12" s="143" t="s">
        <v>49</v>
      </c>
      <c r="BR12" s="143" t="s">
        <v>49</v>
      </c>
      <c r="BS12" s="143" t="s">
        <v>49</v>
      </c>
      <c r="BT12" s="143" t="s">
        <v>49</v>
      </c>
      <c r="BU12" s="143" t="s">
        <v>49</v>
      </c>
      <c r="BV12" s="143" t="s">
        <v>49</v>
      </c>
      <c r="BW12" s="143" t="s">
        <v>49</v>
      </c>
      <c r="BX12" s="143" t="s">
        <v>49</v>
      </c>
      <c r="BY12" s="143" t="s">
        <v>49</v>
      </c>
      <c r="BZ12" s="143" t="s">
        <v>49</v>
      </c>
      <c r="CA12" s="143" t="s">
        <v>49</v>
      </c>
      <c r="CB12" s="32"/>
      <c r="CC12" s="32"/>
      <c r="CD12" s="143" t="s">
        <v>49</v>
      </c>
      <c r="CE12" s="143" t="s">
        <v>49</v>
      </c>
      <c r="CF12" s="32"/>
      <c r="CG12" s="32"/>
      <c r="CH12" s="32"/>
      <c r="CI12" s="32"/>
      <c r="CJ12" s="32"/>
      <c r="CK12" s="32"/>
      <c r="CL12" s="32"/>
      <c r="CM12" s="32"/>
      <c r="CN12" s="32"/>
      <c r="CO12" s="143" t="s">
        <v>49</v>
      </c>
      <c r="CP12" s="32"/>
      <c r="CQ12" s="32"/>
      <c r="CR12" s="32"/>
      <c r="CS12" s="32"/>
      <c r="CT12" s="32"/>
      <c r="CU12" s="32"/>
      <c r="CV12" s="143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/>
      <c r="G13" s="31" t="s">
        <v>49</v>
      </c>
      <c r="H13" s="31" t="s">
        <v>49</v>
      </c>
      <c r="I13" s="31" t="s">
        <v>49</v>
      </c>
      <c r="J13" s="31"/>
      <c r="K13" s="31" t="s">
        <v>295</v>
      </c>
      <c r="L13" s="31" t="s">
        <v>295</v>
      </c>
      <c r="M13" s="31" t="s">
        <v>295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143" t="s">
        <v>49</v>
      </c>
      <c r="AK13" s="143" t="s">
        <v>49</v>
      </c>
      <c r="AL13" s="32"/>
      <c r="AM13" s="32"/>
      <c r="AN13" s="143" t="s">
        <v>49</v>
      </c>
      <c r="AO13" s="143" t="s">
        <v>49</v>
      </c>
      <c r="AP13" s="143" t="s">
        <v>49</v>
      </c>
      <c r="AQ13" s="32"/>
      <c r="AR13" s="143" t="s">
        <v>49</v>
      </c>
      <c r="AS13" s="143" t="s">
        <v>49</v>
      </c>
      <c r="AT13" s="143" t="s">
        <v>49</v>
      </c>
      <c r="AU13" s="32"/>
      <c r="AV13" s="32"/>
      <c r="AW13" s="143" t="s">
        <v>49</v>
      </c>
      <c r="AX13" s="143" t="s">
        <v>49</v>
      </c>
      <c r="AY13" s="32"/>
      <c r="AZ13" s="32"/>
      <c r="BA13" s="32"/>
      <c r="BB13" s="32"/>
      <c r="BC13" s="32"/>
      <c r="BD13" s="32"/>
      <c r="BE13" s="32"/>
      <c r="BF13" s="32"/>
      <c r="BG13" s="32"/>
      <c r="BH13" s="31" t="s">
        <v>49</v>
      </c>
      <c r="BI13" s="32"/>
      <c r="BJ13" s="32"/>
      <c r="BK13" s="32"/>
      <c r="BL13" s="32"/>
      <c r="BM13" s="32"/>
      <c r="BN13" s="32"/>
      <c r="BO13" s="31" t="s">
        <v>49</v>
      </c>
      <c r="BP13" s="3"/>
      <c r="BQ13" s="143" t="s">
        <v>49</v>
      </c>
      <c r="BR13" s="143" t="s">
        <v>49</v>
      </c>
      <c r="BS13" s="143" t="s">
        <v>49</v>
      </c>
      <c r="BT13" s="143" t="s">
        <v>49</v>
      </c>
      <c r="BU13" s="143" t="s">
        <v>49</v>
      </c>
      <c r="BV13" s="143" t="s">
        <v>49</v>
      </c>
      <c r="BW13" s="143" t="s">
        <v>49</v>
      </c>
      <c r="BX13" s="143" t="s">
        <v>49</v>
      </c>
      <c r="BY13" s="143" t="s">
        <v>49</v>
      </c>
      <c r="BZ13" s="143" t="s">
        <v>49</v>
      </c>
      <c r="CA13" s="143" t="s">
        <v>49</v>
      </c>
      <c r="CB13" s="32"/>
      <c r="CC13" s="32"/>
      <c r="CD13" s="143" t="s">
        <v>49</v>
      </c>
      <c r="CE13" s="143" t="s">
        <v>49</v>
      </c>
      <c r="CF13" s="32"/>
      <c r="CG13" s="32"/>
      <c r="CH13" s="32"/>
      <c r="CI13" s="32"/>
      <c r="CJ13" s="32"/>
      <c r="CK13" s="32"/>
      <c r="CL13" s="32"/>
      <c r="CM13" s="32"/>
      <c r="CN13" s="32"/>
      <c r="CO13" s="143" t="s">
        <v>49</v>
      </c>
      <c r="CP13" s="32"/>
      <c r="CQ13" s="32"/>
      <c r="CR13" s="32"/>
      <c r="CS13" s="32"/>
      <c r="CT13" s="32"/>
      <c r="CU13" s="32"/>
      <c r="CV13" s="143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/>
      <c r="G14" s="31" t="s">
        <v>49</v>
      </c>
      <c r="H14" s="31" t="s">
        <v>49</v>
      </c>
      <c r="I14" s="31" t="s">
        <v>49</v>
      </c>
      <c r="J14" s="31"/>
      <c r="K14" s="31" t="s">
        <v>49</v>
      </c>
      <c r="L14" s="31" t="s">
        <v>49</v>
      </c>
      <c r="M14" s="31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143" t="s">
        <v>49</v>
      </c>
      <c r="AK14" s="143" t="s">
        <v>49</v>
      </c>
      <c r="AL14" s="32"/>
      <c r="AM14" s="32"/>
      <c r="AN14" s="143" t="s">
        <v>49</v>
      </c>
      <c r="AO14" s="143" t="s">
        <v>49</v>
      </c>
      <c r="AP14" s="143" t="s">
        <v>49</v>
      </c>
      <c r="AQ14" s="32"/>
      <c r="AR14" s="143" t="s">
        <v>49</v>
      </c>
      <c r="AS14" s="143" t="s">
        <v>49</v>
      </c>
      <c r="AT14" s="143" t="s">
        <v>49</v>
      </c>
      <c r="AU14" s="32"/>
      <c r="AV14" s="32"/>
      <c r="AW14" s="143" t="s">
        <v>49</v>
      </c>
      <c r="AX14" s="143" t="s">
        <v>49</v>
      </c>
      <c r="AY14" s="32"/>
      <c r="AZ14" s="32"/>
      <c r="BA14" s="32"/>
      <c r="BB14" s="32"/>
      <c r="BC14" s="32"/>
      <c r="BD14" s="32"/>
      <c r="BE14" s="32"/>
      <c r="BF14" s="32"/>
      <c r="BG14" s="32"/>
      <c r="BH14" s="33" t="s">
        <v>49</v>
      </c>
      <c r="BI14" s="32"/>
      <c r="BJ14" s="32"/>
      <c r="BK14" s="32"/>
      <c r="BL14" s="32"/>
      <c r="BM14" s="32"/>
      <c r="BN14" s="32"/>
      <c r="BO14" s="33" t="s">
        <v>49</v>
      </c>
      <c r="BP14" s="3"/>
      <c r="BQ14" s="143" t="s">
        <v>49</v>
      </c>
      <c r="BR14" s="143" t="s">
        <v>49</v>
      </c>
      <c r="BS14" s="143" t="s">
        <v>49</v>
      </c>
      <c r="BT14" s="143" t="s">
        <v>49</v>
      </c>
      <c r="BU14" s="143" t="s">
        <v>49</v>
      </c>
      <c r="BV14" s="143" t="s">
        <v>49</v>
      </c>
      <c r="BW14" s="143" t="s">
        <v>49</v>
      </c>
      <c r="BX14" s="143" t="s">
        <v>49</v>
      </c>
      <c r="BY14" s="143" t="s">
        <v>49</v>
      </c>
      <c r="BZ14" s="143" t="s">
        <v>49</v>
      </c>
      <c r="CA14" s="143" t="s">
        <v>49</v>
      </c>
      <c r="CB14" s="32"/>
      <c r="CC14" s="32"/>
      <c r="CD14" s="143" t="s">
        <v>49</v>
      </c>
      <c r="CE14" s="143" t="s">
        <v>49</v>
      </c>
      <c r="CF14" s="32"/>
      <c r="CG14" s="32"/>
      <c r="CH14" s="32"/>
      <c r="CI14" s="32"/>
      <c r="CJ14" s="32"/>
      <c r="CK14" s="32"/>
      <c r="CL14" s="32"/>
      <c r="CM14" s="32"/>
      <c r="CN14" s="32"/>
      <c r="CO14" s="143" t="s">
        <v>49</v>
      </c>
      <c r="CP14" s="32"/>
      <c r="CQ14" s="32"/>
      <c r="CR14" s="32"/>
      <c r="CS14" s="32"/>
      <c r="CT14" s="32"/>
      <c r="CU14" s="32"/>
      <c r="CV14" s="143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133</v>
      </c>
      <c r="D15" s="31" t="s">
        <v>133</v>
      </c>
      <c r="E15" s="31" t="s">
        <v>140</v>
      </c>
      <c r="F15" s="31"/>
      <c r="G15" s="31" t="s">
        <v>140</v>
      </c>
      <c r="H15" s="31" t="s">
        <v>140</v>
      </c>
      <c r="I15" s="31" t="s">
        <v>140</v>
      </c>
      <c r="J15" s="31"/>
      <c r="K15" s="31" t="s">
        <v>662</v>
      </c>
      <c r="L15" s="31" t="s">
        <v>662</v>
      </c>
      <c r="M15" s="31" t="s">
        <v>662</v>
      </c>
      <c r="N15" s="32"/>
      <c r="O15" s="32"/>
      <c r="P15" s="143" t="s">
        <v>140</v>
      </c>
      <c r="Q15" s="143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133</v>
      </c>
      <c r="AI15" s="3"/>
      <c r="AJ15" s="143" t="s">
        <v>140</v>
      </c>
      <c r="AK15" s="143" t="s">
        <v>140</v>
      </c>
      <c r="AL15" s="32"/>
      <c r="AM15" s="32"/>
      <c r="AN15" s="143" t="s">
        <v>140</v>
      </c>
      <c r="AO15" s="143" t="s">
        <v>140</v>
      </c>
      <c r="AP15" s="143" t="s">
        <v>140</v>
      </c>
      <c r="AQ15" s="32"/>
      <c r="AR15" s="143" t="s">
        <v>133</v>
      </c>
      <c r="AS15" s="143" t="s">
        <v>133</v>
      </c>
      <c r="AT15" s="143" t="s">
        <v>133</v>
      </c>
      <c r="AU15" s="32"/>
      <c r="AV15" s="32"/>
      <c r="AW15" s="143" t="s">
        <v>140</v>
      </c>
      <c r="AX15" s="143" t="s">
        <v>140</v>
      </c>
      <c r="AY15" s="32"/>
      <c r="AZ15" s="32"/>
      <c r="BA15" s="32"/>
      <c r="BB15" s="32"/>
      <c r="BC15" s="32"/>
      <c r="BD15" s="32"/>
      <c r="BE15" s="32"/>
      <c r="BF15" s="32"/>
      <c r="BG15" s="32"/>
      <c r="BH15" s="31" t="s">
        <v>140</v>
      </c>
      <c r="BI15" s="32"/>
      <c r="BJ15" s="32"/>
      <c r="BK15" s="32"/>
      <c r="BL15" s="32"/>
      <c r="BM15" s="32"/>
      <c r="BN15" s="32"/>
      <c r="BO15" s="31" t="s">
        <v>133</v>
      </c>
      <c r="BP15" s="3"/>
      <c r="BQ15" s="143" t="s">
        <v>140</v>
      </c>
      <c r="BR15" s="143" t="s">
        <v>140</v>
      </c>
      <c r="BS15" s="143" t="s">
        <v>140</v>
      </c>
      <c r="BT15" s="143" t="s">
        <v>140</v>
      </c>
      <c r="BU15" s="143" t="s">
        <v>140</v>
      </c>
      <c r="BV15" s="143" t="s">
        <v>140</v>
      </c>
      <c r="BW15" s="143" t="s">
        <v>140</v>
      </c>
      <c r="BX15" s="143" t="s">
        <v>140</v>
      </c>
      <c r="BY15" s="143" t="s">
        <v>140</v>
      </c>
      <c r="BZ15" s="143" t="s">
        <v>140</v>
      </c>
      <c r="CA15" s="143" t="s">
        <v>140</v>
      </c>
      <c r="CB15" s="32"/>
      <c r="CC15" s="32"/>
      <c r="CD15" s="143" t="s">
        <v>140</v>
      </c>
      <c r="CE15" s="143" t="s">
        <v>140</v>
      </c>
      <c r="CF15" s="32"/>
      <c r="CG15" s="32"/>
      <c r="CH15" s="32"/>
      <c r="CI15" s="32"/>
      <c r="CJ15" s="32"/>
      <c r="CK15" s="32"/>
      <c r="CL15" s="32"/>
      <c r="CM15" s="32"/>
      <c r="CN15" s="32"/>
      <c r="CO15" s="143" t="s">
        <v>140</v>
      </c>
      <c r="CP15" s="32"/>
      <c r="CQ15" s="32"/>
      <c r="CR15" s="32"/>
      <c r="CS15" s="32"/>
      <c r="CT15" s="32"/>
      <c r="CU15" s="32"/>
      <c r="CV15" s="143" t="s">
        <v>140</v>
      </c>
    </row>
    <row x14ac:dyDescent="0.25" r="16" customHeight="1" ht="18.75">
      <c r="A16" s="30" t="s">
        <v>128</v>
      </c>
      <c r="B16" s="31">
        <v>3</v>
      </c>
      <c r="C16" s="31">
        <v>-2</v>
      </c>
      <c r="D16" s="31">
        <v>-2</v>
      </c>
      <c r="E16" s="31">
        <v>3</v>
      </c>
      <c r="F16" s="31"/>
      <c r="G16" s="31">
        <v>3</v>
      </c>
      <c r="H16" s="31">
        <v>3</v>
      </c>
      <c r="I16" s="31">
        <v>3</v>
      </c>
      <c r="J16" s="31"/>
      <c r="K16" s="31">
        <f>AVERAGE(3,-0.5)</f>
      </c>
      <c r="L16" s="31">
        <f>AVERAGE(3,-0.5)</f>
      </c>
      <c r="M16" s="31">
        <f>AVERAGE(3,-0.5)</f>
      </c>
      <c r="N16" s="31"/>
      <c r="O16" s="31"/>
      <c r="P16" s="143">
        <v>3</v>
      </c>
      <c r="Q16" s="143">
        <v>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/>
      <c r="AH16" s="31">
        <v>-2</v>
      </c>
      <c r="AI16" s="3"/>
      <c r="AJ16" s="143">
        <v>3</v>
      </c>
      <c r="AK16" s="143">
        <v>3</v>
      </c>
      <c r="AL16" s="31"/>
      <c r="AM16" s="31"/>
      <c r="AN16" s="143">
        <v>3</v>
      </c>
      <c r="AO16" s="143">
        <v>3</v>
      </c>
      <c r="AP16" s="143">
        <v>3</v>
      </c>
      <c r="AQ16" s="31"/>
      <c r="AR16" s="143">
        <v>-2</v>
      </c>
      <c r="AS16" s="143">
        <v>-2</v>
      </c>
      <c r="AT16" s="143">
        <v>-2</v>
      </c>
      <c r="AU16" s="31"/>
      <c r="AV16" s="31"/>
      <c r="AW16" s="143">
        <v>3</v>
      </c>
      <c r="AX16" s="143">
        <v>3</v>
      </c>
      <c r="AY16" s="31"/>
      <c r="AZ16" s="31"/>
      <c r="BA16" s="31"/>
      <c r="BB16" s="31"/>
      <c r="BC16" s="31"/>
      <c r="BD16" s="31"/>
      <c r="BE16" s="31"/>
      <c r="BF16" s="31"/>
      <c r="BG16" s="31"/>
      <c r="BH16" s="31">
        <v>3</v>
      </c>
      <c r="BI16" s="31"/>
      <c r="BJ16" s="31"/>
      <c r="BK16" s="31"/>
      <c r="BL16" s="31"/>
      <c r="BM16" s="31"/>
      <c r="BN16" s="31"/>
      <c r="BO16" s="31">
        <v>-2</v>
      </c>
      <c r="BP16" s="3"/>
      <c r="BQ16" s="143">
        <v>3</v>
      </c>
      <c r="BR16" s="143">
        <v>3</v>
      </c>
      <c r="BS16" s="143">
        <v>3</v>
      </c>
      <c r="BT16" s="143">
        <v>3</v>
      </c>
      <c r="BU16" s="143">
        <v>3</v>
      </c>
      <c r="BV16" s="143">
        <v>3</v>
      </c>
      <c r="BW16" s="143">
        <v>3</v>
      </c>
      <c r="BX16" s="143">
        <v>3</v>
      </c>
      <c r="BY16" s="143">
        <v>3</v>
      </c>
      <c r="BZ16" s="143">
        <v>3</v>
      </c>
      <c r="CA16" s="143">
        <v>3</v>
      </c>
      <c r="CB16" s="31"/>
      <c r="CC16" s="31"/>
      <c r="CD16" s="143">
        <v>3</v>
      </c>
      <c r="CE16" s="143">
        <v>3</v>
      </c>
      <c r="CF16" s="31"/>
      <c r="CG16" s="31"/>
      <c r="CH16" s="31"/>
      <c r="CI16" s="31"/>
      <c r="CJ16" s="31"/>
      <c r="CK16" s="31"/>
      <c r="CL16" s="31"/>
      <c r="CM16" s="31"/>
      <c r="CN16" s="31"/>
      <c r="CO16" s="143">
        <v>3</v>
      </c>
      <c r="CP16" s="31"/>
      <c r="CQ16" s="31"/>
      <c r="CR16" s="31"/>
      <c r="CS16" s="31"/>
      <c r="CT16" s="31"/>
      <c r="CU16" s="31"/>
      <c r="CV16" s="143">
        <v>3</v>
      </c>
    </row>
    <row x14ac:dyDescent="0.25" r="17" customHeight="1" ht="18.75">
      <c r="A17" s="30" t="s">
        <v>129</v>
      </c>
      <c r="B17" s="31" t="s">
        <v>138</v>
      </c>
      <c r="C17" s="31" t="s">
        <v>134</v>
      </c>
      <c r="D17" s="31" t="s">
        <v>134</v>
      </c>
      <c r="E17" s="31" t="s">
        <v>134</v>
      </c>
      <c r="F17" s="31"/>
      <c r="G17" s="31" t="s">
        <v>134</v>
      </c>
      <c r="H17" s="31" t="s">
        <v>134</v>
      </c>
      <c r="I17" s="31" t="s">
        <v>134</v>
      </c>
      <c r="J17" s="31"/>
      <c r="K17" s="31" t="s">
        <v>663</v>
      </c>
      <c r="L17" s="31" t="s">
        <v>405</v>
      </c>
      <c r="M17" s="31" t="s">
        <v>664</v>
      </c>
      <c r="N17" s="32"/>
      <c r="O17" s="32"/>
      <c r="P17" s="143" t="s">
        <v>358</v>
      </c>
      <c r="Q17" s="143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2"/>
      <c r="AH17" s="31" t="s">
        <v>134</v>
      </c>
      <c r="AI17" s="3"/>
      <c r="AJ17" s="143" t="s">
        <v>358</v>
      </c>
      <c r="AK17" s="143" t="s">
        <v>358</v>
      </c>
      <c r="AL17" s="32"/>
      <c r="AM17" s="32"/>
      <c r="AN17" s="143" t="s">
        <v>358</v>
      </c>
      <c r="AO17" s="143" t="s">
        <v>358</v>
      </c>
      <c r="AP17" s="143" t="s">
        <v>358</v>
      </c>
      <c r="AQ17" s="32"/>
      <c r="AR17" s="143" t="s">
        <v>358</v>
      </c>
      <c r="AS17" s="143" t="s">
        <v>358</v>
      </c>
      <c r="AT17" s="143" t="s">
        <v>358</v>
      </c>
      <c r="AU17" s="32"/>
      <c r="AV17" s="32"/>
      <c r="AW17" s="143" t="s">
        <v>358</v>
      </c>
      <c r="AX17" s="143" t="s">
        <v>358</v>
      </c>
      <c r="AY17" s="32"/>
      <c r="AZ17" s="32"/>
      <c r="BA17" s="32"/>
      <c r="BB17" s="32"/>
      <c r="BC17" s="32"/>
      <c r="BD17" s="32"/>
      <c r="BE17" s="32"/>
      <c r="BF17" s="32"/>
      <c r="BG17" s="32"/>
      <c r="BH17" s="31" t="s">
        <v>170</v>
      </c>
      <c r="BI17" s="32"/>
      <c r="BJ17" s="32"/>
      <c r="BK17" s="32"/>
      <c r="BL17" s="32"/>
      <c r="BM17" s="32"/>
      <c r="BN17" s="32"/>
      <c r="BO17" s="31" t="s">
        <v>134</v>
      </c>
      <c r="BP17" s="3"/>
      <c r="BQ17" s="143" t="s">
        <v>358</v>
      </c>
      <c r="BR17" s="143" t="s">
        <v>358</v>
      </c>
      <c r="BS17" s="143" t="s">
        <v>358</v>
      </c>
      <c r="BT17" s="143" t="s">
        <v>358</v>
      </c>
      <c r="BU17" s="143" t="s">
        <v>358</v>
      </c>
      <c r="BV17" s="143" t="s">
        <v>358</v>
      </c>
      <c r="BW17" s="143" t="s">
        <v>358</v>
      </c>
      <c r="BX17" s="143" t="s">
        <v>358</v>
      </c>
      <c r="BY17" s="143" t="s">
        <v>358</v>
      </c>
      <c r="BZ17" s="143" t="s">
        <v>358</v>
      </c>
      <c r="CA17" s="143" t="s">
        <v>358</v>
      </c>
      <c r="CB17" s="32"/>
      <c r="CC17" s="32"/>
      <c r="CD17" s="143" t="s">
        <v>358</v>
      </c>
      <c r="CE17" s="143" t="s">
        <v>358</v>
      </c>
      <c r="CF17" s="32"/>
      <c r="CG17" s="32"/>
      <c r="CH17" s="32"/>
      <c r="CI17" s="32"/>
      <c r="CJ17" s="32"/>
      <c r="CK17" s="32"/>
      <c r="CL17" s="32"/>
      <c r="CM17" s="32"/>
      <c r="CN17" s="32"/>
      <c r="CO17" s="143" t="s">
        <v>358</v>
      </c>
      <c r="CP17" s="32"/>
      <c r="CQ17" s="32"/>
      <c r="CR17" s="32"/>
      <c r="CS17" s="32"/>
      <c r="CT17" s="32"/>
      <c r="CU17" s="32"/>
      <c r="CV17" s="143" t="s">
        <v>358</v>
      </c>
    </row>
    <row x14ac:dyDescent="0.25" r="18" customHeight="1" ht="18.75">
      <c r="A18" s="30" t="s">
        <v>130</v>
      </c>
      <c r="B18" s="31">
        <v>4</v>
      </c>
      <c r="C18" s="31">
        <f>1/3</f>
      </c>
      <c r="D18" s="31">
        <f>1/3</f>
      </c>
      <c r="E18" s="31">
        <v>0.5</v>
      </c>
      <c r="F18" s="31"/>
      <c r="G18" s="31">
        <v>0.5</v>
      </c>
      <c r="H18" s="31">
        <v>0.5</v>
      </c>
      <c r="I18" s="31">
        <v>0.5</v>
      </c>
      <c r="J18" s="31"/>
      <c r="K18" s="31">
        <f>AVERAGE(2,0.5,2,2)</f>
      </c>
      <c r="L18" s="31">
        <f>AVERAGE(4,0.5,3,3)</f>
      </c>
      <c r="M18" s="31">
        <f>AVERAGE(4,2,2,2)</f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/>
      <c r="AH18" s="31">
        <f>1/3</f>
      </c>
      <c r="AI18" s="3"/>
      <c r="AJ18" s="143">
        <v>0</v>
      </c>
      <c r="AK18" s="143">
        <v>0</v>
      </c>
      <c r="AL18" s="31"/>
      <c r="AM18" s="31"/>
      <c r="AN18" s="143">
        <v>0</v>
      </c>
      <c r="AO18" s="143">
        <v>0</v>
      </c>
      <c r="AP18" s="143">
        <v>0</v>
      </c>
      <c r="AQ18" s="31"/>
      <c r="AR18" s="143">
        <v>0</v>
      </c>
      <c r="AS18" s="143">
        <v>0</v>
      </c>
      <c r="AT18" s="143">
        <v>0</v>
      </c>
      <c r="AU18" s="31"/>
      <c r="AV18" s="31"/>
      <c r="AW18" s="143">
        <v>0</v>
      </c>
      <c r="AX18" s="143">
        <v>0</v>
      </c>
      <c r="AY18" s="31"/>
      <c r="AZ18" s="31"/>
      <c r="BA18" s="31"/>
      <c r="BB18" s="31"/>
      <c r="BC18" s="31"/>
      <c r="BD18" s="31"/>
      <c r="BE18" s="31"/>
      <c r="BF18" s="31"/>
      <c r="BG18" s="31"/>
      <c r="BH18" s="31">
        <v>5</v>
      </c>
      <c r="BI18" s="31"/>
      <c r="BJ18" s="31"/>
      <c r="BK18" s="31"/>
      <c r="BL18" s="31"/>
      <c r="BM18" s="31"/>
      <c r="BN18" s="31"/>
      <c r="BO18" s="31">
        <v>0.5</v>
      </c>
      <c r="BP18" s="3"/>
      <c r="BQ18" s="143">
        <v>0</v>
      </c>
      <c r="BR18" s="143">
        <v>0</v>
      </c>
      <c r="BS18" s="143">
        <v>0</v>
      </c>
      <c r="BT18" s="143">
        <v>0</v>
      </c>
      <c r="BU18" s="143">
        <v>0</v>
      </c>
      <c r="BV18" s="143">
        <v>0</v>
      </c>
      <c r="BW18" s="143">
        <v>0</v>
      </c>
      <c r="BX18" s="143">
        <v>0</v>
      </c>
      <c r="BY18" s="143">
        <v>0</v>
      </c>
      <c r="BZ18" s="143">
        <v>0</v>
      </c>
      <c r="CA18" s="143">
        <v>0</v>
      </c>
      <c r="CB18" s="31"/>
      <c r="CC18" s="31"/>
      <c r="CD18" s="143">
        <v>0</v>
      </c>
      <c r="CE18" s="143">
        <v>0</v>
      </c>
      <c r="CF18" s="31"/>
      <c r="CG18" s="31"/>
      <c r="CH18" s="31"/>
      <c r="CI18" s="31"/>
      <c r="CJ18" s="31"/>
      <c r="CK18" s="31"/>
      <c r="CL18" s="31"/>
      <c r="CM18" s="31"/>
      <c r="CN18" s="31"/>
      <c r="CO18" s="143">
        <v>0</v>
      </c>
      <c r="CP18" s="31"/>
      <c r="CQ18" s="31"/>
      <c r="CR18" s="31"/>
      <c r="CS18" s="31"/>
      <c r="CT18" s="31"/>
      <c r="CU18" s="31"/>
      <c r="CV18" s="143">
        <v>0</v>
      </c>
    </row>
    <row x14ac:dyDescent="0.25" r="19" customHeight="1" ht="18.75">
      <c r="A19" s="46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46"/>
      <c r="O19" s="46"/>
      <c r="P19" s="149"/>
      <c r="Q19" s="149"/>
      <c r="R19" s="46"/>
      <c r="S19" s="3"/>
      <c r="T19" s="46"/>
      <c r="U19" s="46"/>
      <c r="V19" s="3"/>
      <c r="W19" s="3"/>
      <c r="X19" s="3"/>
      <c r="Y19" s="3"/>
      <c r="Z19" s="3"/>
      <c r="AA19" s="2"/>
      <c r="AB19" s="3"/>
      <c r="AC19" s="3"/>
      <c r="AD19" s="3"/>
      <c r="AE19" s="46"/>
      <c r="AF19" s="46"/>
      <c r="AG19" s="3"/>
      <c r="AH19" s="2"/>
      <c r="AI19" s="3"/>
      <c r="AJ19" s="2"/>
      <c r="AK19" s="2"/>
      <c r="AL19" s="3"/>
      <c r="AM19" s="3"/>
      <c r="AN19" s="2"/>
      <c r="AO19" s="2"/>
      <c r="AP19" s="2"/>
      <c r="AQ19" s="3"/>
      <c r="AR19" s="2"/>
      <c r="AS19" s="2"/>
      <c r="AT19" s="2"/>
      <c r="AU19" s="3"/>
      <c r="AV19" s="3"/>
      <c r="AW19" s="2"/>
      <c r="AX19" s="2"/>
      <c r="AY19" s="3"/>
      <c r="AZ19" s="3"/>
      <c r="BA19" s="3"/>
      <c r="BB19" s="3"/>
      <c r="BC19" s="3"/>
      <c r="BD19" s="3"/>
      <c r="BE19" s="3"/>
      <c r="BF19" s="3"/>
      <c r="BG19" s="3"/>
      <c r="BH19" s="2"/>
      <c r="BI19" s="3"/>
      <c r="BJ19" s="3"/>
      <c r="BK19" s="3"/>
      <c r="BL19" s="3"/>
      <c r="BM19" s="3"/>
      <c r="BN19" s="3"/>
      <c r="BO19" s="2"/>
      <c r="BP19" s="3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3"/>
      <c r="CC19" s="3"/>
      <c r="CD19" s="2"/>
      <c r="CE19" s="2"/>
      <c r="CF19" s="3"/>
      <c r="CG19" s="3"/>
      <c r="CH19" s="3"/>
      <c r="CI19" s="3"/>
      <c r="CJ19" s="3"/>
      <c r="CK19" s="3"/>
      <c r="CL19" s="3"/>
      <c r="CM19" s="3"/>
      <c r="CN19" s="3"/>
      <c r="CO19" s="2"/>
      <c r="CP19" s="3"/>
      <c r="CQ19" s="3"/>
      <c r="CR19" s="3"/>
      <c r="CS19" s="3"/>
      <c r="CT19" s="3"/>
      <c r="CU19" s="3"/>
      <c r="CV19" s="2"/>
    </row>
    <row x14ac:dyDescent="0.25" r="20" customHeight="1" ht="18.75">
      <c r="A20" s="30" t="s">
        <v>43</v>
      </c>
      <c r="B20" s="31" t="s">
        <v>131</v>
      </c>
      <c r="C20" s="31" t="s">
        <v>482</v>
      </c>
      <c r="D20" s="31" t="s">
        <v>482</v>
      </c>
      <c r="E20" s="31" t="s">
        <v>68</v>
      </c>
      <c r="F20" s="31" t="s">
        <v>68</v>
      </c>
      <c r="G20" s="31" t="s">
        <v>68</v>
      </c>
      <c r="H20" s="31" t="s">
        <v>68</v>
      </c>
      <c r="I20" s="31" t="s">
        <v>68</v>
      </c>
      <c r="J20" s="31" t="s">
        <v>68</v>
      </c>
      <c r="K20" s="31" t="s">
        <v>68</v>
      </c>
      <c r="L20" s="31" t="s">
        <v>68</v>
      </c>
      <c r="M20" s="31" t="s">
        <v>68</v>
      </c>
      <c r="N20" s="32"/>
      <c r="O20" s="32"/>
      <c r="P20" s="31" t="s">
        <v>387</v>
      </c>
      <c r="Q20" s="31" t="s">
        <v>387</v>
      </c>
      <c r="R20" s="32"/>
      <c r="S20" s="32"/>
      <c r="T20" s="32"/>
      <c r="U20" s="32"/>
      <c r="V20" s="32"/>
      <c r="W20" s="32"/>
      <c r="X20" s="32"/>
      <c r="Y20" s="32"/>
      <c r="Z20" s="32"/>
      <c r="AA20" s="31" t="s">
        <v>68</v>
      </c>
      <c r="AB20" s="32"/>
      <c r="AC20" s="32"/>
      <c r="AD20" s="32"/>
      <c r="AE20" s="32"/>
      <c r="AF20" s="32"/>
      <c r="AG20" s="32"/>
      <c r="AH20" s="31" t="s">
        <v>339</v>
      </c>
      <c r="AI20" s="3"/>
      <c r="AJ20" s="31" t="s">
        <v>132</v>
      </c>
      <c r="AK20" s="31" t="s">
        <v>132</v>
      </c>
      <c r="AL20" s="32"/>
      <c r="AM20" s="32"/>
      <c r="AN20" s="31" t="s">
        <v>515</v>
      </c>
      <c r="AO20" s="31" t="s">
        <v>515</v>
      </c>
      <c r="AP20" s="31" t="s">
        <v>515</v>
      </c>
      <c r="AQ20" s="32"/>
      <c r="AR20" s="31" t="s">
        <v>665</v>
      </c>
      <c r="AS20" s="31" t="s">
        <v>665</v>
      </c>
      <c r="AT20" s="31" t="s">
        <v>665</v>
      </c>
      <c r="AU20" s="32"/>
      <c r="AV20" s="32"/>
      <c r="AW20" s="143" t="s">
        <v>358</v>
      </c>
      <c r="AX20" s="143" t="s">
        <v>358</v>
      </c>
      <c r="AY20" s="32"/>
      <c r="AZ20" s="32"/>
      <c r="BA20" s="32"/>
      <c r="BB20" s="32"/>
      <c r="BC20" s="32"/>
      <c r="BD20" s="32"/>
      <c r="BE20" s="32"/>
      <c r="BF20" s="32"/>
      <c r="BG20" s="32"/>
      <c r="BH20" s="31" t="s">
        <v>68</v>
      </c>
      <c r="BI20" s="32"/>
      <c r="BJ20" s="32"/>
      <c r="BK20" s="32"/>
      <c r="BL20" s="32"/>
      <c r="BM20" s="32"/>
      <c r="BN20" s="32"/>
      <c r="BO20" s="31" t="s">
        <v>339</v>
      </c>
      <c r="BP20" s="3"/>
      <c r="BQ20" s="31" t="s">
        <v>68</v>
      </c>
      <c r="BR20" s="31" t="s">
        <v>68</v>
      </c>
      <c r="BS20" s="31" t="s">
        <v>68</v>
      </c>
      <c r="BT20" s="143" t="s">
        <v>358</v>
      </c>
      <c r="BU20" s="143" t="s">
        <v>358</v>
      </c>
      <c r="BV20" s="143" t="s">
        <v>358</v>
      </c>
      <c r="BW20" s="143" t="s">
        <v>358</v>
      </c>
      <c r="BX20" s="143" t="s">
        <v>358</v>
      </c>
      <c r="BY20" s="143" t="s">
        <v>358</v>
      </c>
      <c r="BZ20" s="143" t="s">
        <v>358</v>
      </c>
      <c r="CA20" s="143" t="s">
        <v>358</v>
      </c>
      <c r="CB20" s="32"/>
      <c r="CC20" s="32"/>
      <c r="CD20" s="143" t="s">
        <v>358</v>
      </c>
      <c r="CE20" s="143" t="s">
        <v>358</v>
      </c>
      <c r="CF20" s="32"/>
      <c r="CG20" s="32"/>
      <c r="CH20" s="32"/>
      <c r="CI20" s="32"/>
      <c r="CJ20" s="32"/>
      <c r="CK20" s="32"/>
      <c r="CL20" s="32"/>
      <c r="CM20" s="32"/>
      <c r="CN20" s="32"/>
      <c r="CO20" s="143" t="s">
        <v>358</v>
      </c>
      <c r="CP20" s="32"/>
      <c r="CQ20" s="32"/>
      <c r="CR20" s="32"/>
      <c r="CS20" s="32"/>
      <c r="CT20" s="32"/>
      <c r="CU20" s="32"/>
      <c r="CV20" s="143" t="s">
        <v>358</v>
      </c>
    </row>
    <row x14ac:dyDescent="0.25" r="21" customHeight="1" ht="15.75">
      <c r="A21" s="30" t="s">
        <v>45</v>
      </c>
      <c r="B21" s="31" t="s">
        <v>132</v>
      </c>
      <c r="C21" s="31" t="s">
        <v>490</v>
      </c>
      <c r="D21" s="31" t="s">
        <v>482</v>
      </c>
      <c r="E21" s="31" t="s">
        <v>132</v>
      </c>
      <c r="F21" s="31" t="s">
        <v>132</v>
      </c>
      <c r="G21" s="31" t="s">
        <v>132</v>
      </c>
      <c r="H21" s="31" t="s">
        <v>132</v>
      </c>
      <c r="I21" s="31" t="s">
        <v>132</v>
      </c>
      <c r="J21" s="31" t="s">
        <v>132</v>
      </c>
      <c r="K21" s="33" t="s">
        <v>368</v>
      </c>
      <c r="L21" s="33" t="s">
        <v>368</v>
      </c>
      <c r="M21" s="33" t="s">
        <v>368</v>
      </c>
      <c r="N21" s="34"/>
      <c r="O21" s="34"/>
      <c r="P21" s="31" t="s">
        <v>271</v>
      </c>
      <c r="Q21" s="31" t="s">
        <v>271</v>
      </c>
      <c r="R21" s="34"/>
      <c r="S21" s="34"/>
      <c r="T21" s="34"/>
      <c r="U21" s="34"/>
      <c r="V21" s="34"/>
      <c r="W21" s="34"/>
      <c r="X21" s="34"/>
      <c r="Y21" s="34"/>
      <c r="Z21" s="34"/>
      <c r="AA21" s="31" t="s">
        <v>132</v>
      </c>
      <c r="AB21" s="34"/>
      <c r="AC21" s="34"/>
      <c r="AD21" s="34"/>
      <c r="AE21" s="34"/>
      <c r="AF21" s="34"/>
      <c r="AG21" s="32" t="s">
        <v>132</v>
      </c>
      <c r="AH21" s="31" t="s">
        <v>339</v>
      </c>
      <c r="AI21" s="3"/>
      <c r="AJ21" s="31" t="s">
        <v>271</v>
      </c>
      <c r="AK21" s="31" t="s">
        <v>271</v>
      </c>
      <c r="AL21" s="32"/>
      <c r="AM21" s="32"/>
      <c r="AN21" s="31" t="s">
        <v>158</v>
      </c>
      <c r="AO21" s="31" t="s">
        <v>158</v>
      </c>
      <c r="AP21" s="31" t="s">
        <v>158</v>
      </c>
      <c r="AQ21" s="32"/>
      <c r="AR21" s="31" t="s">
        <v>666</v>
      </c>
      <c r="AS21" s="31" t="s">
        <v>667</v>
      </c>
      <c r="AT21" s="31" t="s">
        <v>668</v>
      </c>
      <c r="AU21" s="32"/>
      <c r="AV21" s="32"/>
      <c r="AW21" s="143" t="s">
        <v>358</v>
      </c>
      <c r="AX21" s="143" t="s">
        <v>358</v>
      </c>
      <c r="AY21" s="34"/>
      <c r="AZ21" s="34"/>
      <c r="BA21" s="34"/>
      <c r="BB21" s="34"/>
      <c r="BC21" s="34"/>
      <c r="BD21" s="34"/>
      <c r="BE21" s="34"/>
      <c r="BF21" s="34"/>
      <c r="BG21" s="34"/>
      <c r="BH21" s="31" t="s">
        <v>132</v>
      </c>
      <c r="BI21" s="34"/>
      <c r="BJ21" s="34"/>
      <c r="BK21" s="34"/>
      <c r="BL21" s="34"/>
      <c r="BM21" s="34"/>
      <c r="BN21" s="32"/>
      <c r="BO21" s="31" t="s">
        <v>339</v>
      </c>
      <c r="BP21" s="3"/>
      <c r="BQ21" s="31" t="s">
        <v>132</v>
      </c>
      <c r="BR21" s="31" t="s">
        <v>132</v>
      </c>
      <c r="BS21" s="31" t="s">
        <v>132</v>
      </c>
      <c r="BT21" s="143" t="s">
        <v>358</v>
      </c>
      <c r="BU21" s="143" t="s">
        <v>358</v>
      </c>
      <c r="BV21" s="143" t="s">
        <v>358</v>
      </c>
      <c r="BW21" s="143" t="s">
        <v>358</v>
      </c>
      <c r="BX21" s="143" t="s">
        <v>358</v>
      </c>
      <c r="BY21" s="143" t="s">
        <v>358</v>
      </c>
      <c r="BZ21" s="143" t="s">
        <v>358</v>
      </c>
      <c r="CA21" s="143" t="s">
        <v>358</v>
      </c>
      <c r="CB21" s="32"/>
      <c r="CC21" s="32"/>
      <c r="CD21" s="143" t="s">
        <v>358</v>
      </c>
      <c r="CE21" s="143" t="s">
        <v>358</v>
      </c>
      <c r="CF21" s="34"/>
      <c r="CG21" s="34"/>
      <c r="CH21" s="34"/>
      <c r="CI21" s="34"/>
      <c r="CJ21" s="34"/>
      <c r="CK21" s="34"/>
      <c r="CL21" s="34"/>
      <c r="CM21" s="34"/>
      <c r="CN21" s="34"/>
      <c r="CO21" s="143" t="s">
        <v>358</v>
      </c>
      <c r="CP21" s="34"/>
      <c r="CQ21" s="34"/>
      <c r="CR21" s="34"/>
      <c r="CS21" s="34"/>
      <c r="CT21" s="32"/>
      <c r="CU21" s="32"/>
      <c r="CV21" s="143" t="s">
        <v>358</v>
      </c>
    </row>
    <row x14ac:dyDescent="0.25" r="22" customHeight="1" ht="18.75">
      <c r="A22" s="35" t="s">
        <v>47</v>
      </c>
      <c r="B22" s="117">
        <v>98</v>
      </c>
      <c r="C22" s="117">
        <v>262</v>
      </c>
      <c r="D22" s="117">
        <v>43</v>
      </c>
      <c r="E22" s="117">
        <v>98</v>
      </c>
      <c r="F22" s="117">
        <v>98</v>
      </c>
      <c r="G22" s="117">
        <v>98</v>
      </c>
      <c r="H22" s="117">
        <v>98</v>
      </c>
      <c r="I22" s="117">
        <v>98</v>
      </c>
      <c r="J22" s="117">
        <v>98</v>
      </c>
      <c r="K22" s="117">
        <v>151</v>
      </c>
      <c r="L22" s="117">
        <v>151</v>
      </c>
      <c r="M22" s="117">
        <v>151</v>
      </c>
      <c r="N22" s="37"/>
      <c r="O22" s="37"/>
      <c r="P22" s="117">
        <v>57</v>
      </c>
      <c r="Q22" s="117">
        <v>57</v>
      </c>
      <c r="R22" s="37"/>
      <c r="S22" s="37"/>
      <c r="T22" s="37"/>
      <c r="U22" s="37"/>
      <c r="V22" s="37"/>
      <c r="W22" s="37"/>
      <c r="X22" s="37"/>
      <c r="Y22" s="37"/>
      <c r="Z22" s="37"/>
      <c r="AA22" s="117">
        <v>98</v>
      </c>
      <c r="AB22" s="37"/>
      <c r="AC22" s="37"/>
      <c r="AD22" s="37"/>
      <c r="AE22" s="37"/>
      <c r="AF22" s="37"/>
      <c r="AG22" s="37"/>
      <c r="AH22" s="117">
        <v>2</v>
      </c>
      <c r="AI22" s="3"/>
      <c r="AJ22" s="117">
        <v>57</v>
      </c>
      <c r="AK22" s="117">
        <v>57</v>
      </c>
      <c r="AL22" s="37"/>
      <c r="AM22" s="37"/>
      <c r="AN22" s="117">
        <v>61</v>
      </c>
      <c r="AO22" s="117">
        <v>61</v>
      </c>
      <c r="AP22" s="117">
        <v>61</v>
      </c>
      <c r="AQ22" s="37"/>
      <c r="AR22" s="117">
        <v>173</v>
      </c>
      <c r="AS22" s="117">
        <v>171</v>
      </c>
      <c r="AT22" s="117">
        <v>172</v>
      </c>
      <c r="AU22" s="37"/>
      <c r="AV22" s="37"/>
      <c r="AW22" s="144"/>
      <c r="AX22" s="144"/>
      <c r="AY22" s="37"/>
      <c r="AZ22" s="37"/>
      <c r="BA22" s="37"/>
      <c r="BB22" s="37"/>
      <c r="BC22" s="37"/>
      <c r="BD22" s="37"/>
      <c r="BE22" s="37"/>
      <c r="BF22" s="37"/>
      <c r="BG22" s="37"/>
      <c r="BH22" s="117">
        <v>98</v>
      </c>
      <c r="BI22" s="37"/>
      <c r="BJ22" s="37"/>
      <c r="BK22" s="37"/>
      <c r="BL22" s="37"/>
      <c r="BM22" s="37"/>
      <c r="BN22" s="37"/>
      <c r="BO22" s="117">
        <v>2</v>
      </c>
      <c r="BP22" s="3"/>
      <c r="BQ22" s="117">
        <v>98</v>
      </c>
      <c r="BR22" s="117">
        <v>98</v>
      </c>
      <c r="BS22" s="117">
        <v>98</v>
      </c>
      <c r="BT22" s="144"/>
      <c r="BU22" s="144"/>
      <c r="BV22" s="144"/>
      <c r="BW22" s="144"/>
      <c r="BX22" s="144"/>
      <c r="BY22" s="144"/>
      <c r="BZ22" s="144"/>
      <c r="CA22" s="144"/>
      <c r="CB22" s="37"/>
      <c r="CC22" s="37"/>
      <c r="CD22" s="144"/>
      <c r="CE22" s="144"/>
      <c r="CF22" s="37"/>
      <c r="CG22" s="37"/>
      <c r="CH22" s="37"/>
      <c r="CI22" s="37"/>
      <c r="CJ22" s="37"/>
      <c r="CK22" s="37"/>
      <c r="CL22" s="37"/>
      <c r="CM22" s="37"/>
      <c r="CN22" s="37"/>
      <c r="CO22" s="144"/>
      <c r="CP22" s="37"/>
      <c r="CQ22" s="37"/>
      <c r="CR22" s="37"/>
      <c r="CS22" s="37"/>
      <c r="CT22" s="37"/>
      <c r="CU22" s="37"/>
      <c r="CV22" s="144"/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3" t="s">
        <v>162</v>
      </c>
      <c r="L23" s="33" t="s">
        <v>162</v>
      </c>
      <c r="M23" s="33" t="s">
        <v>162</v>
      </c>
      <c r="N23" s="32"/>
      <c r="O23" s="32"/>
      <c r="P23" s="31" t="s">
        <v>52</v>
      </c>
      <c r="Q23" s="31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31" t="s">
        <v>52</v>
      </c>
      <c r="AB23" s="32"/>
      <c r="AC23" s="34"/>
      <c r="AD23" s="32"/>
      <c r="AE23" s="34"/>
      <c r="AF23" s="32"/>
      <c r="AG23" s="32"/>
      <c r="AH23" s="31" t="s">
        <v>52</v>
      </c>
      <c r="AI23" s="3"/>
      <c r="AJ23" s="31" t="s">
        <v>52</v>
      </c>
      <c r="AK23" s="31" t="s">
        <v>52</v>
      </c>
      <c r="AL23" s="32"/>
      <c r="AM23" s="32"/>
      <c r="AN23" s="31" t="s">
        <v>52</v>
      </c>
      <c r="AO23" s="31" t="s">
        <v>52</v>
      </c>
      <c r="AP23" s="31" t="s">
        <v>52</v>
      </c>
      <c r="AQ23" s="32"/>
      <c r="AR23" s="31" t="s">
        <v>52</v>
      </c>
      <c r="AS23" s="31" t="s">
        <v>52</v>
      </c>
      <c r="AT23" s="31" t="s">
        <v>52</v>
      </c>
      <c r="AU23" s="32"/>
      <c r="AV23" s="32"/>
      <c r="AW23" s="143" t="s">
        <v>49</v>
      </c>
      <c r="AX23" s="143" t="s">
        <v>49</v>
      </c>
      <c r="AY23" s="32"/>
      <c r="AZ23" s="32"/>
      <c r="BA23" s="32"/>
      <c r="BB23" s="32"/>
      <c r="BC23" s="32"/>
      <c r="BD23" s="32"/>
      <c r="BE23" s="32"/>
      <c r="BF23" s="32"/>
      <c r="BG23" s="32"/>
      <c r="BH23" s="31" t="s">
        <v>52</v>
      </c>
      <c r="BI23" s="32"/>
      <c r="BJ23" s="34"/>
      <c r="BK23" s="32"/>
      <c r="BL23" s="34"/>
      <c r="BM23" s="32"/>
      <c r="BN23" s="32"/>
      <c r="BO23" s="31" t="s">
        <v>52</v>
      </c>
      <c r="BP23" s="3"/>
      <c r="BQ23" s="31" t="s">
        <v>52</v>
      </c>
      <c r="BR23" s="31" t="s">
        <v>52</v>
      </c>
      <c r="BS23" s="31" t="s">
        <v>52</v>
      </c>
      <c r="BT23" s="143" t="s">
        <v>49</v>
      </c>
      <c r="BU23" s="143" t="s">
        <v>49</v>
      </c>
      <c r="BV23" s="143" t="s">
        <v>49</v>
      </c>
      <c r="BW23" s="143" t="s">
        <v>49</v>
      </c>
      <c r="BX23" s="143" t="s">
        <v>49</v>
      </c>
      <c r="BY23" s="143" t="s">
        <v>49</v>
      </c>
      <c r="BZ23" s="143" t="s">
        <v>49</v>
      </c>
      <c r="CA23" s="143" t="s">
        <v>49</v>
      </c>
      <c r="CB23" s="32"/>
      <c r="CC23" s="32"/>
      <c r="CD23" s="143" t="s">
        <v>49</v>
      </c>
      <c r="CE23" s="143" t="s">
        <v>49</v>
      </c>
      <c r="CF23" s="32"/>
      <c r="CG23" s="32"/>
      <c r="CH23" s="32"/>
      <c r="CI23" s="32"/>
      <c r="CJ23" s="32"/>
      <c r="CK23" s="32"/>
      <c r="CL23" s="32"/>
      <c r="CM23" s="32"/>
      <c r="CN23" s="32"/>
      <c r="CO23" s="143" t="s">
        <v>49</v>
      </c>
      <c r="CP23" s="34"/>
      <c r="CQ23" s="32"/>
      <c r="CR23" s="34"/>
      <c r="CS23" s="32"/>
      <c r="CT23" s="32"/>
      <c r="CU23" s="32"/>
      <c r="CV23" s="143" t="s">
        <v>49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162</v>
      </c>
      <c r="L24" s="31" t="s">
        <v>162</v>
      </c>
      <c r="M24" s="31" t="s">
        <v>162</v>
      </c>
      <c r="N24" s="32"/>
      <c r="O24" s="32"/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31" t="s">
        <v>52</v>
      </c>
      <c r="AB24" s="32"/>
      <c r="AC24" s="32"/>
      <c r="AD24" s="32"/>
      <c r="AE24" s="32"/>
      <c r="AF24" s="32"/>
      <c r="AG24" s="32"/>
      <c r="AH24" s="31" t="s">
        <v>52</v>
      </c>
      <c r="AI24" s="3"/>
      <c r="AJ24" s="31" t="s">
        <v>52</v>
      </c>
      <c r="AK24" s="31" t="s">
        <v>52</v>
      </c>
      <c r="AL24" s="32"/>
      <c r="AM24" s="32"/>
      <c r="AN24" s="31" t="s">
        <v>52</v>
      </c>
      <c r="AO24" s="31" t="s">
        <v>52</v>
      </c>
      <c r="AP24" s="31" t="s">
        <v>52</v>
      </c>
      <c r="AQ24" s="32"/>
      <c r="AR24" s="31" t="s">
        <v>52</v>
      </c>
      <c r="AS24" s="31" t="s">
        <v>52</v>
      </c>
      <c r="AT24" s="31" t="s">
        <v>52</v>
      </c>
      <c r="AU24" s="32"/>
      <c r="AV24" s="32"/>
      <c r="AW24" s="143" t="s">
        <v>49</v>
      </c>
      <c r="AX24" s="143" t="s">
        <v>49</v>
      </c>
      <c r="AY24" s="32"/>
      <c r="AZ24" s="32"/>
      <c r="BA24" s="32"/>
      <c r="BB24" s="32"/>
      <c r="BC24" s="32"/>
      <c r="BD24" s="32"/>
      <c r="BE24" s="32"/>
      <c r="BF24" s="32"/>
      <c r="BG24" s="32"/>
      <c r="BH24" s="31" t="s">
        <v>52</v>
      </c>
      <c r="BI24" s="32"/>
      <c r="BJ24" s="32"/>
      <c r="BK24" s="32"/>
      <c r="BL24" s="32"/>
      <c r="BM24" s="32"/>
      <c r="BN24" s="32"/>
      <c r="BO24" s="31" t="s">
        <v>52</v>
      </c>
      <c r="BP24" s="3"/>
      <c r="BQ24" s="31" t="s">
        <v>52</v>
      </c>
      <c r="BR24" s="31" t="s">
        <v>52</v>
      </c>
      <c r="BS24" s="31" t="s">
        <v>52</v>
      </c>
      <c r="BT24" s="143" t="s">
        <v>49</v>
      </c>
      <c r="BU24" s="143" t="s">
        <v>49</v>
      </c>
      <c r="BV24" s="143" t="s">
        <v>49</v>
      </c>
      <c r="BW24" s="143" t="s">
        <v>49</v>
      </c>
      <c r="BX24" s="143" t="s">
        <v>49</v>
      </c>
      <c r="BY24" s="143" t="s">
        <v>49</v>
      </c>
      <c r="BZ24" s="143" t="s">
        <v>49</v>
      </c>
      <c r="CA24" s="143" t="s">
        <v>49</v>
      </c>
      <c r="CB24" s="32"/>
      <c r="CC24" s="32"/>
      <c r="CD24" s="143" t="s">
        <v>49</v>
      </c>
      <c r="CE24" s="143" t="s">
        <v>49</v>
      </c>
      <c r="CF24" s="32"/>
      <c r="CG24" s="32"/>
      <c r="CH24" s="32"/>
      <c r="CI24" s="32"/>
      <c r="CJ24" s="32"/>
      <c r="CK24" s="32"/>
      <c r="CL24" s="32"/>
      <c r="CM24" s="32"/>
      <c r="CN24" s="32"/>
      <c r="CO24" s="143" t="s">
        <v>49</v>
      </c>
      <c r="CP24" s="32"/>
      <c r="CQ24" s="32"/>
      <c r="CR24" s="32"/>
      <c r="CS24" s="32"/>
      <c r="CT24" s="32"/>
      <c r="CU24" s="32"/>
      <c r="CV24" s="143" t="s">
        <v>49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2"/>
      <c r="O25" s="32"/>
      <c r="P25" s="31" t="s">
        <v>52</v>
      </c>
      <c r="Q25" s="31" t="s">
        <v>52</v>
      </c>
      <c r="R25" s="32"/>
      <c r="S25" s="32"/>
      <c r="T25" s="32"/>
      <c r="U25" s="32"/>
      <c r="V25" s="32"/>
      <c r="W25" s="32"/>
      <c r="X25" s="32"/>
      <c r="Y25" s="32"/>
      <c r="Z25" s="32"/>
      <c r="AA25" s="31" t="s">
        <v>49</v>
      </c>
      <c r="AB25" s="32"/>
      <c r="AC25" s="32"/>
      <c r="AD25" s="32"/>
      <c r="AE25" s="32"/>
      <c r="AF25" s="32"/>
      <c r="AG25" s="32"/>
      <c r="AH25" s="31" t="s">
        <v>49</v>
      </c>
      <c r="AI25" s="3"/>
      <c r="AJ25" s="31" t="s">
        <v>52</v>
      </c>
      <c r="AK25" s="31" t="s">
        <v>52</v>
      </c>
      <c r="AL25" s="32"/>
      <c r="AM25" s="32"/>
      <c r="AN25" s="31" t="s">
        <v>49</v>
      </c>
      <c r="AO25" s="31" t="s">
        <v>49</v>
      </c>
      <c r="AP25" s="31" t="s">
        <v>49</v>
      </c>
      <c r="AQ25" s="32"/>
      <c r="AR25" s="31" t="s">
        <v>49</v>
      </c>
      <c r="AS25" s="31" t="s">
        <v>49</v>
      </c>
      <c r="AT25" s="31" t="s">
        <v>49</v>
      </c>
      <c r="AU25" s="32"/>
      <c r="AV25" s="32"/>
      <c r="AW25" s="143" t="s">
        <v>49</v>
      </c>
      <c r="AX25" s="143" t="s">
        <v>49</v>
      </c>
      <c r="AY25" s="32"/>
      <c r="AZ25" s="32"/>
      <c r="BA25" s="32"/>
      <c r="BB25" s="32"/>
      <c r="BC25" s="32"/>
      <c r="BD25" s="32"/>
      <c r="BE25" s="32"/>
      <c r="BF25" s="32"/>
      <c r="BG25" s="32"/>
      <c r="BH25" s="31" t="s">
        <v>49</v>
      </c>
      <c r="BI25" s="32"/>
      <c r="BJ25" s="32"/>
      <c r="BK25" s="32"/>
      <c r="BL25" s="32"/>
      <c r="BM25" s="32"/>
      <c r="BN25" s="32"/>
      <c r="BO25" s="31" t="s">
        <v>49</v>
      </c>
      <c r="BP25" s="3"/>
      <c r="BQ25" s="31" t="s">
        <v>49</v>
      </c>
      <c r="BR25" s="31" t="s">
        <v>49</v>
      </c>
      <c r="BS25" s="31" t="s">
        <v>49</v>
      </c>
      <c r="BT25" s="143" t="s">
        <v>49</v>
      </c>
      <c r="BU25" s="143" t="s">
        <v>49</v>
      </c>
      <c r="BV25" s="143" t="s">
        <v>49</v>
      </c>
      <c r="BW25" s="143" t="s">
        <v>49</v>
      </c>
      <c r="BX25" s="143" t="s">
        <v>49</v>
      </c>
      <c r="BY25" s="143" t="s">
        <v>49</v>
      </c>
      <c r="BZ25" s="143" t="s">
        <v>49</v>
      </c>
      <c r="CA25" s="143" t="s">
        <v>49</v>
      </c>
      <c r="CB25" s="32"/>
      <c r="CC25" s="32"/>
      <c r="CD25" s="143" t="s">
        <v>49</v>
      </c>
      <c r="CE25" s="143" t="s">
        <v>49</v>
      </c>
      <c r="CF25" s="32"/>
      <c r="CG25" s="32"/>
      <c r="CH25" s="32"/>
      <c r="CI25" s="32"/>
      <c r="CJ25" s="32"/>
      <c r="CK25" s="32"/>
      <c r="CL25" s="32"/>
      <c r="CM25" s="32"/>
      <c r="CN25" s="32"/>
      <c r="CO25" s="143" t="s">
        <v>49</v>
      </c>
      <c r="CP25" s="32"/>
      <c r="CQ25" s="32"/>
      <c r="CR25" s="32"/>
      <c r="CS25" s="32"/>
      <c r="CT25" s="32"/>
      <c r="CU25" s="32"/>
      <c r="CV25" s="143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2"/>
      <c r="O26" s="32"/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31" t="s">
        <v>49</v>
      </c>
      <c r="AB26" s="32"/>
      <c r="AC26" s="32"/>
      <c r="AD26" s="32"/>
      <c r="AE26" s="32"/>
      <c r="AF26" s="32"/>
      <c r="AG26" s="32"/>
      <c r="AH26" s="31" t="s">
        <v>49</v>
      </c>
      <c r="AI26" s="3"/>
      <c r="AJ26" s="31" t="s">
        <v>49</v>
      </c>
      <c r="AK26" s="31" t="s">
        <v>49</v>
      </c>
      <c r="AL26" s="32"/>
      <c r="AM26" s="32"/>
      <c r="AN26" s="31" t="s">
        <v>49</v>
      </c>
      <c r="AO26" s="31" t="s">
        <v>49</v>
      </c>
      <c r="AP26" s="31" t="s">
        <v>49</v>
      </c>
      <c r="AQ26" s="32"/>
      <c r="AR26" s="31" t="s">
        <v>49</v>
      </c>
      <c r="AS26" s="31" t="s">
        <v>49</v>
      </c>
      <c r="AT26" s="31" t="s">
        <v>49</v>
      </c>
      <c r="AU26" s="32"/>
      <c r="AV26" s="32"/>
      <c r="AW26" s="143" t="s">
        <v>49</v>
      </c>
      <c r="AX26" s="143" t="s">
        <v>49</v>
      </c>
      <c r="AY26" s="32"/>
      <c r="AZ26" s="32"/>
      <c r="BA26" s="32"/>
      <c r="BB26" s="32"/>
      <c r="BC26" s="32"/>
      <c r="BD26" s="32"/>
      <c r="BE26" s="32"/>
      <c r="BF26" s="32"/>
      <c r="BG26" s="32"/>
      <c r="BH26" s="31" t="s">
        <v>49</v>
      </c>
      <c r="BI26" s="32"/>
      <c r="BJ26" s="32"/>
      <c r="BK26" s="32"/>
      <c r="BL26" s="32"/>
      <c r="BM26" s="32"/>
      <c r="BN26" s="32"/>
      <c r="BO26" s="31" t="s">
        <v>49</v>
      </c>
      <c r="BP26" s="3"/>
      <c r="BQ26" s="31" t="s">
        <v>49</v>
      </c>
      <c r="BR26" s="31" t="s">
        <v>49</v>
      </c>
      <c r="BS26" s="31" t="s">
        <v>49</v>
      </c>
      <c r="BT26" s="143" t="s">
        <v>49</v>
      </c>
      <c r="BU26" s="143" t="s">
        <v>49</v>
      </c>
      <c r="BV26" s="143" t="s">
        <v>49</v>
      </c>
      <c r="BW26" s="143" t="s">
        <v>49</v>
      </c>
      <c r="BX26" s="143" t="s">
        <v>49</v>
      </c>
      <c r="BY26" s="143" t="s">
        <v>49</v>
      </c>
      <c r="BZ26" s="143" t="s">
        <v>49</v>
      </c>
      <c r="CA26" s="143" t="s">
        <v>49</v>
      </c>
      <c r="CB26" s="32"/>
      <c r="CC26" s="32"/>
      <c r="CD26" s="143" t="s">
        <v>49</v>
      </c>
      <c r="CE26" s="143" t="s">
        <v>49</v>
      </c>
      <c r="CF26" s="32"/>
      <c r="CG26" s="32"/>
      <c r="CH26" s="32"/>
      <c r="CI26" s="32"/>
      <c r="CJ26" s="32"/>
      <c r="CK26" s="32"/>
      <c r="CL26" s="32"/>
      <c r="CM26" s="32"/>
      <c r="CN26" s="32"/>
      <c r="CO26" s="143" t="s">
        <v>49</v>
      </c>
      <c r="CP26" s="32"/>
      <c r="CQ26" s="32"/>
      <c r="CR26" s="32"/>
      <c r="CS26" s="32"/>
      <c r="CT26" s="32"/>
      <c r="CU26" s="32"/>
      <c r="CV26" s="143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140</v>
      </c>
      <c r="D27" s="31" t="s">
        <v>140</v>
      </c>
      <c r="E27" s="31" t="s">
        <v>133</v>
      </c>
      <c r="F27" s="31" t="s">
        <v>133</v>
      </c>
      <c r="G27" s="31" t="s">
        <v>133</v>
      </c>
      <c r="H27" s="31" t="s">
        <v>133</v>
      </c>
      <c r="I27" s="31" t="s">
        <v>133</v>
      </c>
      <c r="J27" s="31" t="s">
        <v>133</v>
      </c>
      <c r="K27" s="31" t="s">
        <v>133</v>
      </c>
      <c r="L27" s="31" t="s">
        <v>133</v>
      </c>
      <c r="M27" s="31" t="s">
        <v>133</v>
      </c>
      <c r="N27" s="32"/>
      <c r="O27" s="32"/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31" t="s">
        <v>133</v>
      </c>
      <c r="AB27" s="32"/>
      <c r="AC27" s="32"/>
      <c r="AD27" s="32"/>
      <c r="AE27" s="32"/>
      <c r="AF27" s="32"/>
      <c r="AG27" s="32"/>
      <c r="AH27" s="31" t="s">
        <v>140</v>
      </c>
      <c r="AI27" s="3"/>
      <c r="AJ27" s="31" t="s">
        <v>133</v>
      </c>
      <c r="AK27" s="31" t="s">
        <v>133</v>
      </c>
      <c r="AL27" s="32"/>
      <c r="AM27" s="32"/>
      <c r="AN27" s="31" t="s">
        <v>133</v>
      </c>
      <c r="AO27" s="31" t="s">
        <v>133</v>
      </c>
      <c r="AP27" s="31" t="s">
        <v>133</v>
      </c>
      <c r="AQ27" s="32"/>
      <c r="AR27" s="31" t="s">
        <v>234</v>
      </c>
      <c r="AS27" s="31" t="s">
        <v>234</v>
      </c>
      <c r="AT27" s="31" t="s">
        <v>234</v>
      </c>
      <c r="AU27" s="32"/>
      <c r="AV27" s="32"/>
      <c r="AW27" s="143" t="s">
        <v>133</v>
      </c>
      <c r="AX27" s="143" t="s">
        <v>133</v>
      </c>
      <c r="AY27" s="32"/>
      <c r="AZ27" s="32"/>
      <c r="BA27" s="32"/>
      <c r="BB27" s="32"/>
      <c r="BC27" s="32"/>
      <c r="BD27" s="32"/>
      <c r="BE27" s="32"/>
      <c r="BF27" s="32"/>
      <c r="BG27" s="32"/>
      <c r="BH27" s="31" t="s">
        <v>133</v>
      </c>
      <c r="BI27" s="32"/>
      <c r="BJ27" s="32"/>
      <c r="BK27" s="32"/>
      <c r="BL27" s="32"/>
      <c r="BM27" s="32"/>
      <c r="BN27" s="32"/>
      <c r="BO27" s="31" t="s">
        <v>140</v>
      </c>
      <c r="BP27" s="3"/>
      <c r="BQ27" s="31" t="s">
        <v>133</v>
      </c>
      <c r="BR27" s="31" t="s">
        <v>133</v>
      </c>
      <c r="BS27" s="31" t="s">
        <v>133</v>
      </c>
      <c r="BT27" s="143" t="s">
        <v>133</v>
      </c>
      <c r="BU27" s="143" t="s">
        <v>133</v>
      </c>
      <c r="BV27" s="143" t="s">
        <v>133</v>
      </c>
      <c r="BW27" s="143" t="s">
        <v>133</v>
      </c>
      <c r="BX27" s="143" t="s">
        <v>133</v>
      </c>
      <c r="BY27" s="143" t="s">
        <v>133</v>
      </c>
      <c r="BZ27" s="143" t="s">
        <v>133</v>
      </c>
      <c r="CA27" s="143" t="s">
        <v>133</v>
      </c>
      <c r="CB27" s="32"/>
      <c r="CC27" s="32"/>
      <c r="CD27" s="143" t="s">
        <v>133</v>
      </c>
      <c r="CE27" s="143" t="s">
        <v>133</v>
      </c>
      <c r="CF27" s="32"/>
      <c r="CG27" s="32"/>
      <c r="CH27" s="32"/>
      <c r="CI27" s="32"/>
      <c r="CJ27" s="32"/>
      <c r="CK27" s="32"/>
      <c r="CL27" s="32"/>
      <c r="CM27" s="32"/>
      <c r="CN27" s="32"/>
      <c r="CO27" s="143" t="s">
        <v>133</v>
      </c>
      <c r="CP27" s="32"/>
      <c r="CQ27" s="32"/>
      <c r="CR27" s="32"/>
      <c r="CS27" s="32"/>
      <c r="CT27" s="32"/>
      <c r="CU27" s="32"/>
      <c r="CV27" s="143" t="s">
        <v>133</v>
      </c>
    </row>
    <row x14ac:dyDescent="0.25" r="28" customHeight="1" ht="18.75">
      <c r="A28" s="30" t="s">
        <v>128</v>
      </c>
      <c r="B28" s="31">
        <v>-2</v>
      </c>
      <c r="C28" s="31">
        <f>AVERAGE(2.5,2.5,2.5,3)</f>
      </c>
      <c r="D28" s="31">
        <v>2.5</v>
      </c>
      <c r="E28" s="31">
        <v>-2</v>
      </c>
      <c r="F28" s="31">
        <v>-2</v>
      </c>
      <c r="G28" s="31">
        <v>-2</v>
      </c>
      <c r="H28" s="31">
        <v>-2</v>
      </c>
      <c r="I28" s="31">
        <v>-2</v>
      </c>
      <c r="J28" s="31">
        <v>-2</v>
      </c>
      <c r="K28" s="31">
        <v>-2</v>
      </c>
      <c r="L28" s="31">
        <v>-2</v>
      </c>
      <c r="M28" s="31">
        <v>-2</v>
      </c>
      <c r="N28" s="31"/>
      <c r="O28" s="31"/>
      <c r="P28" s="31">
        <v>-0.5</v>
      </c>
      <c r="Q28" s="31">
        <v>-0.5</v>
      </c>
      <c r="R28" s="31"/>
      <c r="S28" s="31"/>
      <c r="T28" s="31"/>
      <c r="U28" s="31"/>
      <c r="V28" s="31"/>
      <c r="W28" s="31"/>
      <c r="X28" s="31"/>
      <c r="Y28" s="31"/>
      <c r="Z28" s="31"/>
      <c r="AA28" s="31">
        <v>-2</v>
      </c>
      <c r="AB28" s="31"/>
      <c r="AC28" s="31"/>
      <c r="AD28" s="31"/>
      <c r="AE28" s="31"/>
      <c r="AF28" s="31"/>
      <c r="AG28" s="31"/>
      <c r="AH28" s="31">
        <v>3</v>
      </c>
      <c r="AI28" s="3"/>
      <c r="AJ28" s="31">
        <v>-0.5</v>
      </c>
      <c r="AK28" s="31">
        <v>-0.5</v>
      </c>
      <c r="AL28" s="31"/>
      <c r="AM28" s="31"/>
      <c r="AN28" s="31">
        <v>-2</v>
      </c>
      <c r="AO28" s="31">
        <v>-2</v>
      </c>
      <c r="AP28" s="31">
        <v>-2</v>
      </c>
      <c r="AQ28" s="31"/>
      <c r="AR28" s="31">
        <v>-3</v>
      </c>
      <c r="AS28" s="31">
        <v>-3</v>
      </c>
      <c r="AT28" s="31">
        <v>-3</v>
      </c>
      <c r="AU28" s="31"/>
      <c r="AV28" s="31"/>
      <c r="AW28" s="143">
        <v>-2</v>
      </c>
      <c r="AX28" s="143">
        <v>-2</v>
      </c>
      <c r="AY28" s="31"/>
      <c r="AZ28" s="31"/>
      <c r="BA28" s="31"/>
      <c r="BB28" s="31"/>
      <c r="BC28" s="31"/>
      <c r="BD28" s="31"/>
      <c r="BE28" s="31"/>
      <c r="BF28" s="31"/>
      <c r="BG28" s="31"/>
      <c r="BH28" s="31">
        <v>-2</v>
      </c>
      <c r="BI28" s="31"/>
      <c r="BJ28" s="31"/>
      <c r="BK28" s="31"/>
      <c r="BL28" s="31"/>
      <c r="BM28" s="31"/>
      <c r="BN28" s="31"/>
      <c r="BO28" s="31">
        <v>3</v>
      </c>
      <c r="BP28" s="3"/>
      <c r="BQ28" s="31">
        <v>-2</v>
      </c>
      <c r="BR28" s="31">
        <v>-2</v>
      </c>
      <c r="BS28" s="31">
        <v>-2</v>
      </c>
      <c r="BT28" s="143">
        <v>-2</v>
      </c>
      <c r="BU28" s="143">
        <v>-2</v>
      </c>
      <c r="BV28" s="143">
        <v>-2</v>
      </c>
      <c r="BW28" s="143">
        <v>-2</v>
      </c>
      <c r="BX28" s="143">
        <v>-2</v>
      </c>
      <c r="BY28" s="143">
        <v>-2</v>
      </c>
      <c r="BZ28" s="143">
        <v>-2</v>
      </c>
      <c r="CA28" s="143">
        <v>-2</v>
      </c>
      <c r="CB28" s="31"/>
      <c r="CC28" s="31"/>
      <c r="CD28" s="143">
        <v>-2</v>
      </c>
      <c r="CE28" s="143">
        <v>-2</v>
      </c>
      <c r="CF28" s="31"/>
      <c r="CG28" s="31"/>
      <c r="CH28" s="31"/>
      <c r="CI28" s="31"/>
      <c r="CJ28" s="31"/>
      <c r="CK28" s="31"/>
      <c r="CL28" s="31"/>
      <c r="CM28" s="31"/>
      <c r="CN28" s="31"/>
      <c r="CO28" s="143">
        <v>-2</v>
      </c>
      <c r="CP28" s="31"/>
      <c r="CQ28" s="31"/>
      <c r="CR28" s="31"/>
      <c r="CS28" s="31"/>
      <c r="CT28" s="31"/>
      <c r="CU28" s="31"/>
      <c r="CV28" s="143">
        <v>-2</v>
      </c>
    </row>
    <row x14ac:dyDescent="0.25" r="29" customHeight="1" ht="18.75">
      <c r="A29" s="30" t="s">
        <v>129</v>
      </c>
      <c r="B29" s="31" t="s">
        <v>134</v>
      </c>
      <c r="C29" s="31" t="s">
        <v>169</v>
      </c>
      <c r="D29" s="31" t="s">
        <v>169</v>
      </c>
      <c r="E29" s="31" t="s">
        <v>134</v>
      </c>
      <c r="F29" s="31" t="s">
        <v>134</v>
      </c>
      <c r="G29" s="31" t="s">
        <v>134</v>
      </c>
      <c r="H29" s="31" t="s">
        <v>134</v>
      </c>
      <c r="I29" s="31" t="s">
        <v>134</v>
      </c>
      <c r="J29" s="31" t="s">
        <v>134</v>
      </c>
      <c r="K29" s="33" t="s">
        <v>369</v>
      </c>
      <c r="L29" s="33" t="s">
        <v>369</v>
      </c>
      <c r="M29" s="33" t="s">
        <v>369</v>
      </c>
      <c r="N29" s="32"/>
      <c r="O29" s="32"/>
      <c r="P29" s="31" t="s">
        <v>169</v>
      </c>
      <c r="Q29" s="31" t="s">
        <v>169</v>
      </c>
      <c r="R29" s="32"/>
      <c r="S29" s="32"/>
      <c r="T29" s="32"/>
      <c r="U29" s="32"/>
      <c r="V29" s="32"/>
      <c r="W29" s="32"/>
      <c r="X29" s="32"/>
      <c r="Y29" s="32"/>
      <c r="Z29" s="32"/>
      <c r="AA29" s="31" t="s">
        <v>134</v>
      </c>
      <c r="AB29" s="32"/>
      <c r="AC29" s="32"/>
      <c r="AD29" s="32"/>
      <c r="AE29" s="32"/>
      <c r="AF29" s="32"/>
      <c r="AG29" s="32"/>
      <c r="AH29" s="31" t="s">
        <v>138</v>
      </c>
      <c r="AI29" s="3"/>
      <c r="AJ29" s="31" t="s">
        <v>169</v>
      </c>
      <c r="AK29" s="31" t="s">
        <v>169</v>
      </c>
      <c r="AL29" s="32"/>
      <c r="AM29" s="32"/>
      <c r="AN29" s="31" t="s">
        <v>169</v>
      </c>
      <c r="AO29" s="31" t="s">
        <v>169</v>
      </c>
      <c r="AP29" s="31" t="s">
        <v>169</v>
      </c>
      <c r="AQ29" s="32"/>
      <c r="AR29" s="31" t="s">
        <v>320</v>
      </c>
      <c r="AS29" s="31" t="s">
        <v>321</v>
      </c>
      <c r="AT29" s="31" t="s">
        <v>322</v>
      </c>
      <c r="AU29" s="32"/>
      <c r="AV29" s="32"/>
      <c r="AW29" s="143" t="s">
        <v>358</v>
      </c>
      <c r="AX29" s="143" t="s">
        <v>358</v>
      </c>
      <c r="AY29" s="32"/>
      <c r="AZ29" s="32"/>
      <c r="BA29" s="32"/>
      <c r="BB29" s="32"/>
      <c r="BC29" s="32"/>
      <c r="BD29" s="32"/>
      <c r="BE29" s="32"/>
      <c r="BF29" s="32"/>
      <c r="BG29" s="32"/>
      <c r="BH29" s="31" t="s">
        <v>134</v>
      </c>
      <c r="BI29" s="32"/>
      <c r="BJ29" s="32"/>
      <c r="BK29" s="32"/>
      <c r="BL29" s="32"/>
      <c r="BM29" s="32"/>
      <c r="BN29" s="32"/>
      <c r="BO29" s="31" t="s">
        <v>138</v>
      </c>
      <c r="BP29" s="3"/>
      <c r="BQ29" s="31" t="s">
        <v>134</v>
      </c>
      <c r="BR29" s="31" t="s">
        <v>134</v>
      </c>
      <c r="BS29" s="31" t="s">
        <v>134</v>
      </c>
      <c r="BT29" s="143" t="s">
        <v>358</v>
      </c>
      <c r="BU29" s="143" t="s">
        <v>358</v>
      </c>
      <c r="BV29" s="143" t="s">
        <v>358</v>
      </c>
      <c r="BW29" s="143" t="s">
        <v>358</v>
      </c>
      <c r="BX29" s="143" t="s">
        <v>358</v>
      </c>
      <c r="BY29" s="143" t="s">
        <v>358</v>
      </c>
      <c r="BZ29" s="143" t="s">
        <v>358</v>
      </c>
      <c r="CA29" s="143" t="s">
        <v>358</v>
      </c>
      <c r="CB29" s="32"/>
      <c r="CC29" s="32"/>
      <c r="CD29" s="143" t="s">
        <v>358</v>
      </c>
      <c r="CE29" s="143" t="s">
        <v>358</v>
      </c>
      <c r="CF29" s="32"/>
      <c r="CG29" s="32"/>
      <c r="CH29" s="32"/>
      <c r="CI29" s="32"/>
      <c r="CJ29" s="32"/>
      <c r="CK29" s="32"/>
      <c r="CL29" s="32"/>
      <c r="CM29" s="32"/>
      <c r="CN29" s="32"/>
      <c r="CO29" s="143" t="s">
        <v>358</v>
      </c>
      <c r="CP29" s="32"/>
      <c r="CQ29" s="32"/>
      <c r="CR29" s="32"/>
      <c r="CS29" s="32"/>
      <c r="CT29" s="32"/>
      <c r="CU29" s="32"/>
      <c r="CV29" s="143" t="s">
        <v>358</v>
      </c>
    </row>
    <row x14ac:dyDescent="0.25" r="30" customHeight="1" ht="18.75">
      <c r="A30" s="30" t="s">
        <v>130</v>
      </c>
      <c r="B30" s="31">
        <f>1/3</f>
      </c>
      <c r="C30" s="31">
        <v>2</v>
      </c>
      <c r="D30" s="31">
        <v>2</v>
      </c>
      <c r="E30" s="31">
        <f>1/3</f>
      </c>
      <c r="F30" s="31">
        <f>1/3</f>
      </c>
      <c r="G30" s="31">
        <f>1/3</f>
      </c>
      <c r="H30" s="31">
        <f>1/3</f>
      </c>
      <c r="I30" s="31">
        <f>1/3</f>
      </c>
      <c r="J30" s="31">
        <f>1/3</f>
      </c>
      <c r="K30" s="31">
        <f>AVERAGE(1/3,0)</f>
      </c>
      <c r="L30" s="31">
        <f>AVERAGE(1/3,0)</f>
      </c>
      <c r="M30" s="31">
        <f>AVERAGE(1/3,0)</f>
      </c>
      <c r="N30" s="31"/>
      <c r="O30" s="31"/>
      <c r="P30" s="31">
        <v>2</v>
      </c>
      <c r="Q30" s="31">
        <v>2</v>
      </c>
      <c r="R30" s="31"/>
      <c r="S30" s="31"/>
      <c r="T30" s="31"/>
      <c r="U30" s="31"/>
      <c r="V30" s="31"/>
      <c r="W30" s="31"/>
      <c r="X30" s="31"/>
      <c r="Y30" s="31"/>
      <c r="Z30" s="31"/>
      <c r="AA30" s="31">
        <f>1/3</f>
      </c>
      <c r="AB30" s="31"/>
      <c r="AC30" s="31"/>
      <c r="AD30" s="31"/>
      <c r="AE30" s="31"/>
      <c r="AF30" s="31"/>
      <c r="AG30" s="31"/>
      <c r="AH30" s="31">
        <v>4</v>
      </c>
      <c r="AI30" s="3"/>
      <c r="AJ30" s="31">
        <v>2</v>
      </c>
      <c r="AK30" s="31">
        <v>2</v>
      </c>
      <c r="AL30" s="31"/>
      <c r="AM30" s="31"/>
      <c r="AN30" s="31">
        <v>2</v>
      </c>
      <c r="AO30" s="31">
        <v>2</v>
      </c>
      <c r="AP30" s="31">
        <v>2</v>
      </c>
      <c r="AQ30" s="31"/>
      <c r="AR30" s="31">
        <f>AVERAGE(2,0.5)</f>
      </c>
      <c r="AS30" s="31">
        <f>AVERAGE(4,0.5)</f>
      </c>
      <c r="AT30" s="31">
        <f>AVERAGE(4,2)</f>
      </c>
      <c r="AU30" s="31"/>
      <c r="AV30" s="31"/>
      <c r="AW30" s="143">
        <v>0</v>
      </c>
      <c r="AX30" s="143">
        <v>0</v>
      </c>
      <c r="AY30" s="31"/>
      <c r="AZ30" s="31"/>
      <c r="BA30" s="31"/>
      <c r="BB30" s="31"/>
      <c r="BC30" s="31"/>
      <c r="BD30" s="31"/>
      <c r="BE30" s="31"/>
      <c r="BF30" s="31"/>
      <c r="BG30" s="31"/>
      <c r="BH30" s="31">
        <v>0.5</v>
      </c>
      <c r="BI30" s="31"/>
      <c r="BJ30" s="31"/>
      <c r="BK30" s="31"/>
      <c r="BL30" s="31"/>
      <c r="BM30" s="31"/>
      <c r="BN30" s="31"/>
      <c r="BO30" s="31">
        <v>4</v>
      </c>
      <c r="BP30" s="3"/>
      <c r="BQ30" s="31">
        <f>1/3</f>
      </c>
      <c r="BR30" s="31">
        <f>1/3</f>
      </c>
      <c r="BS30" s="31">
        <f>1/3</f>
      </c>
      <c r="BT30" s="143">
        <v>0</v>
      </c>
      <c r="BU30" s="143">
        <v>0</v>
      </c>
      <c r="BV30" s="143">
        <v>0</v>
      </c>
      <c r="BW30" s="143">
        <v>0</v>
      </c>
      <c r="BX30" s="143">
        <v>0</v>
      </c>
      <c r="BY30" s="143">
        <v>0</v>
      </c>
      <c r="BZ30" s="143">
        <v>0</v>
      </c>
      <c r="CA30" s="143">
        <v>0</v>
      </c>
      <c r="CB30" s="31"/>
      <c r="CC30" s="31"/>
      <c r="CD30" s="143">
        <v>0</v>
      </c>
      <c r="CE30" s="143">
        <v>0</v>
      </c>
      <c r="CF30" s="31"/>
      <c r="CG30" s="31"/>
      <c r="CH30" s="31"/>
      <c r="CI30" s="31"/>
      <c r="CJ30" s="31"/>
      <c r="CK30" s="31"/>
      <c r="CL30" s="31"/>
      <c r="CM30" s="31"/>
      <c r="CN30" s="31"/>
      <c r="CO30" s="143">
        <v>0</v>
      </c>
      <c r="CP30" s="31"/>
      <c r="CQ30" s="31"/>
      <c r="CR30" s="31"/>
      <c r="CS30" s="31"/>
      <c r="CT30" s="31"/>
      <c r="CU30" s="31"/>
      <c r="CV30" s="143">
        <v>0</v>
      </c>
    </row>
    <row x14ac:dyDescent="0.25" r="31" customHeight="1" ht="18.75">
      <c r="A31" s="46"/>
      <c r="B31" s="149"/>
      <c r="C31" s="40" t="s">
        <v>669</v>
      </c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46"/>
      <c r="O31" s="46"/>
      <c r="P31" s="149"/>
      <c r="Q31" s="149"/>
      <c r="R31" s="46"/>
      <c r="S31" s="3"/>
      <c r="T31" s="46"/>
      <c r="U31" s="46"/>
      <c r="V31" s="3"/>
      <c r="W31" s="3"/>
      <c r="X31" s="3"/>
      <c r="Y31" s="3"/>
      <c r="Z31" s="3"/>
      <c r="AA31" s="2"/>
      <c r="AB31" s="3"/>
      <c r="AC31" s="3"/>
      <c r="AD31" s="3"/>
      <c r="AE31" s="46"/>
      <c r="AF31" s="46"/>
      <c r="AG31" s="3"/>
      <c r="AH31" s="2"/>
      <c r="AI31" s="3"/>
      <c r="AJ31" s="40" t="s">
        <v>670</v>
      </c>
      <c r="AK31" s="2"/>
      <c r="AL31" s="3"/>
      <c r="AM31" s="3"/>
      <c r="AN31" s="2"/>
      <c r="AO31" s="2"/>
      <c r="AP31" s="2"/>
      <c r="AQ31" s="3"/>
      <c r="AR31" s="2"/>
      <c r="AS31" s="2"/>
      <c r="AT31" s="2"/>
      <c r="AU31" s="3"/>
      <c r="AV31" s="3"/>
      <c r="AW31" s="2"/>
      <c r="AX31" s="2"/>
      <c r="AY31" s="3"/>
      <c r="AZ31" s="3"/>
      <c r="BA31" s="3"/>
      <c r="BB31" s="3"/>
      <c r="BC31" s="3"/>
      <c r="BD31" s="3"/>
      <c r="BE31" s="3"/>
      <c r="BF31" s="3"/>
      <c r="BG31" s="3"/>
      <c r="BH31" s="2"/>
      <c r="BI31" s="3"/>
      <c r="BJ31" s="3"/>
      <c r="BK31" s="3"/>
      <c r="BL31" s="3"/>
      <c r="BM31" s="3"/>
      <c r="BN31" s="3"/>
      <c r="BO31" s="2"/>
      <c r="BP31" s="3"/>
      <c r="BQ31" s="40" t="s">
        <v>671</v>
      </c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3"/>
      <c r="CC31" s="3"/>
      <c r="CD31" s="2"/>
      <c r="CE31" s="2"/>
      <c r="CF31" s="3"/>
      <c r="CG31" s="3"/>
      <c r="CH31" s="3"/>
      <c r="CI31" s="3"/>
      <c r="CJ31" s="3"/>
      <c r="CK31" s="3"/>
      <c r="CL31" s="3"/>
      <c r="CM31" s="3"/>
      <c r="CN31" s="3"/>
      <c r="CO31" s="2"/>
      <c r="CP31" s="3"/>
      <c r="CQ31" s="3"/>
      <c r="CR31" s="3"/>
      <c r="CS31" s="3"/>
      <c r="CT31" s="3"/>
      <c r="CU31" s="3"/>
      <c r="CV31" s="2"/>
    </row>
    <row x14ac:dyDescent="0.25" r="32" customHeight="1" ht="18.75">
      <c r="A32" s="38" t="s">
        <v>64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46"/>
      <c r="O32" s="46"/>
      <c r="P32" s="149"/>
      <c r="Q32" s="149"/>
      <c r="R32" s="46"/>
      <c r="S32" s="3"/>
      <c r="T32" s="46"/>
      <c r="U32" s="46"/>
      <c r="V32" s="3"/>
      <c r="W32" s="3"/>
      <c r="X32" s="3"/>
      <c r="Y32" s="3"/>
      <c r="Z32" s="3"/>
      <c r="AA32" s="2"/>
      <c r="AB32" s="3"/>
      <c r="AC32" s="3"/>
      <c r="AD32" s="3"/>
      <c r="AE32" s="46"/>
      <c r="AF32" s="46"/>
      <c r="AG32" s="3"/>
      <c r="AH32" s="2"/>
      <c r="AI32" s="3"/>
      <c r="AJ32" s="2"/>
      <c r="AK32" s="2"/>
      <c r="AL32" s="3"/>
      <c r="AM32" s="3"/>
      <c r="AN32" s="2"/>
      <c r="AO32" s="2"/>
      <c r="AP32" s="2"/>
      <c r="AQ32" s="3"/>
      <c r="AR32" s="2"/>
      <c r="AS32" s="2"/>
      <c r="AT32" s="2"/>
      <c r="AU32" s="3"/>
      <c r="AV32" s="3"/>
      <c r="AW32" s="2"/>
      <c r="AX32" s="2"/>
      <c r="AY32" s="3"/>
      <c r="AZ32" s="3"/>
      <c r="BA32" s="3"/>
      <c r="BB32" s="3"/>
      <c r="BC32" s="3"/>
      <c r="BD32" s="3"/>
      <c r="BE32" s="3"/>
      <c r="BF32" s="3"/>
      <c r="BG32" s="3"/>
      <c r="BH32" s="2"/>
      <c r="BI32" s="3"/>
      <c r="BJ32" s="3"/>
      <c r="BK32" s="3"/>
      <c r="BL32" s="3"/>
      <c r="BM32" s="3"/>
      <c r="BN32" s="3"/>
      <c r="BO32" s="2"/>
      <c r="BP32" s="3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3"/>
      <c r="CC32" s="3"/>
      <c r="CD32" s="2"/>
      <c r="CE32" s="2"/>
      <c r="CF32" s="3"/>
      <c r="CG32" s="3"/>
      <c r="CH32" s="3"/>
      <c r="CI32" s="3"/>
      <c r="CJ32" s="3"/>
      <c r="CK32" s="3"/>
      <c r="CL32" s="3"/>
      <c r="CM32" s="3"/>
      <c r="CN32" s="3"/>
      <c r="CO32" s="2"/>
      <c r="CP32" s="3"/>
      <c r="CQ32" s="3"/>
      <c r="CR32" s="3"/>
      <c r="CS32" s="3"/>
      <c r="CT32" s="3"/>
      <c r="CU32" s="3"/>
      <c r="CV32" s="2"/>
    </row>
    <row x14ac:dyDescent="0.25" r="33" customHeight="1" ht="18.75">
      <c r="A33" s="123" t="s">
        <v>672</v>
      </c>
      <c r="B33" s="40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46"/>
      <c r="O33" s="46"/>
      <c r="P33" s="149"/>
      <c r="Q33" s="149"/>
      <c r="R33" s="46"/>
      <c r="S33" s="3"/>
      <c r="T33" s="46"/>
      <c r="U33" s="46"/>
      <c r="V33" s="3"/>
      <c r="W33" s="3"/>
      <c r="X33" s="3"/>
      <c r="Y33" s="3"/>
      <c r="Z33" s="3"/>
      <c r="AA33" s="2"/>
      <c r="AB33" s="3"/>
      <c r="AC33" s="3"/>
      <c r="AD33" s="3"/>
      <c r="AE33" s="46"/>
      <c r="AF33" s="46"/>
      <c r="AG33" s="3"/>
      <c r="AH33" s="2"/>
      <c r="AI33" s="3"/>
      <c r="AJ33" s="2"/>
      <c r="AK33" s="2"/>
      <c r="AL33" s="3"/>
      <c r="AM33" s="3"/>
      <c r="AN33" s="2"/>
      <c r="AO33" s="2"/>
      <c r="AP33" s="2"/>
      <c r="AQ33" s="3"/>
      <c r="AR33" s="2"/>
      <c r="AS33" s="2"/>
      <c r="AT33" s="2"/>
      <c r="AU33" s="3"/>
      <c r="AV33" s="3"/>
      <c r="AW33" s="2"/>
      <c r="AX33" s="2"/>
      <c r="AY33" s="3"/>
      <c r="AZ33" s="3"/>
      <c r="BA33" s="3"/>
      <c r="BB33" s="3"/>
      <c r="BC33" s="3"/>
      <c r="BD33" s="3"/>
      <c r="BE33" s="3"/>
      <c r="BF33" s="3"/>
      <c r="BG33" s="3"/>
      <c r="BH33" s="2"/>
      <c r="BI33" s="3"/>
      <c r="BJ33" s="3"/>
      <c r="BK33" s="3"/>
      <c r="BL33" s="3"/>
      <c r="BM33" s="3"/>
      <c r="BN33" s="3"/>
      <c r="BO33" s="2"/>
      <c r="BP33" s="3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3"/>
      <c r="CC33" s="3"/>
      <c r="CD33" s="2"/>
      <c r="CE33" s="2"/>
      <c r="CF33" s="3"/>
      <c r="CG33" s="3"/>
      <c r="CH33" s="3"/>
      <c r="CI33" s="3"/>
      <c r="CJ33" s="3"/>
      <c r="CK33" s="3"/>
      <c r="CL33" s="3"/>
      <c r="CM33" s="3"/>
      <c r="CN33" s="3"/>
      <c r="CO33" s="2"/>
      <c r="CP33" s="3"/>
      <c r="CQ33" s="3"/>
      <c r="CR33" s="3"/>
      <c r="CS33" s="3"/>
      <c r="CT33" s="3"/>
      <c r="CU33" s="3"/>
      <c r="CV33" s="2"/>
    </row>
    <row x14ac:dyDescent="0.25" r="34" customHeight="1" ht="18.75">
      <c r="A34" s="123" t="s">
        <v>673</v>
      </c>
      <c r="B34" s="40" t="s">
        <v>674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46"/>
      <c r="O34" s="46"/>
      <c r="P34" s="149"/>
      <c r="Q34" s="149"/>
      <c r="R34" s="46"/>
      <c r="S34" s="3"/>
      <c r="T34" s="46"/>
      <c r="U34" s="46"/>
      <c r="V34" s="3"/>
      <c r="W34" s="3"/>
      <c r="X34" s="3"/>
      <c r="Y34" s="3"/>
      <c r="Z34" s="3"/>
      <c r="AA34" s="2"/>
      <c r="AB34" s="3"/>
      <c r="AC34" s="3"/>
      <c r="AD34" s="3"/>
      <c r="AE34" s="46"/>
      <c r="AF34" s="46"/>
      <c r="AG34" s="3"/>
      <c r="AH34" s="2"/>
      <c r="AI34" s="3"/>
      <c r="AJ34" s="2"/>
      <c r="AK34" s="2"/>
      <c r="AL34" s="3"/>
      <c r="AM34" s="3"/>
      <c r="AN34" s="2"/>
      <c r="AO34" s="2"/>
      <c r="AP34" s="2"/>
      <c r="AQ34" s="3"/>
      <c r="AR34" s="2"/>
      <c r="AS34" s="2"/>
      <c r="AT34" s="2"/>
      <c r="AU34" s="3"/>
      <c r="AV34" s="3"/>
      <c r="AW34" s="2"/>
      <c r="AX34" s="2"/>
      <c r="AY34" s="3"/>
      <c r="AZ34" s="3"/>
      <c r="BA34" s="3"/>
      <c r="BB34" s="3"/>
      <c r="BC34" s="3"/>
      <c r="BD34" s="3"/>
      <c r="BE34" s="3"/>
      <c r="BF34" s="3"/>
      <c r="BG34" s="3"/>
      <c r="BH34" s="2"/>
      <c r="BI34" s="3"/>
      <c r="BJ34" s="3"/>
      <c r="BK34" s="3"/>
      <c r="BL34" s="3"/>
      <c r="BM34" s="3"/>
      <c r="BN34" s="3"/>
      <c r="BO34" s="2"/>
      <c r="BP34" s="3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3"/>
      <c r="CC34" s="3"/>
      <c r="CD34" s="2"/>
      <c r="CE34" s="2"/>
      <c r="CF34" s="3"/>
      <c r="CG34" s="3"/>
      <c r="CH34" s="3"/>
      <c r="CI34" s="3"/>
      <c r="CJ34" s="3"/>
      <c r="CK34" s="3"/>
      <c r="CL34" s="3"/>
      <c r="CM34" s="3"/>
      <c r="CN34" s="3"/>
      <c r="CO34" s="2"/>
      <c r="CP34" s="3"/>
      <c r="CQ34" s="3"/>
      <c r="CR34" s="3"/>
      <c r="CS34" s="3"/>
      <c r="CT34" s="3"/>
      <c r="CU34" s="3"/>
      <c r="CV34" s="2"/>
    </row>
    <row x14ac:dyDescent="0.25" r="35" customHeight="1" ht="18.75">
      <c r="A35" s="123" t="s">
        <v>675</v>
      </c>
      <c r="B35" s="40" t="s">
        <v>676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46"/>
      <c r="O35" s="46"/>
      <c r="P35" s="149"/>
      <c r="Q35" s="149"/>
      <c r="R35" s="46"/>
      <c r="S35" s="3"/>
      <c r="T35" s="46"/>
      <c r="U35" s="46"/>
      <c r="V35" s="3"/>
      <c r="W35" s="3"/>
      <c r="X35" s="3"/>
      <c r="Y35" s="3"/>
      <c r="Z35" s="3"/>
      <c r="AA35" s="2"/>
      <c r="AB35" s="3"/>
      <c r="AC35" s="3"/>
      <c r="AD35" s="3"/>
      <c r="AE35" s="46"/>
      <c r="AF35" s="46"/>
      <c r="AG35" s="3"/>
      <c r="AH35" s="2"/>
      <c r="AI35" s="3"/>
      <c r="AJ35" s="2"/>
      <c r="AK35" s="2"/>
      <c r="AL35" s="3"/>
      <c r="AM35" s="3"/>
      <c r="AN35" s="2"/>
      <c r="AO35" s="2"/>
      <c r="AP35" s="2"/>
      <c r="AQ35" s="3"/>
      <c r="AR35" s="2"/>
      <c r="AS35" s="2"/>
      <c r="AT35" s="2"/>
      <c r="AU35" s="3"/>
      <c r="AV35" s="3"/>
      <c r="AW35" s="2"/>
      <c r="AX35" s="2"/>
      <c r="AY35" s="3"/>
      <c r="AZ35" s="3"/>
      <c r="BA35" s="3"/>
      <c r="BB35" s="3"/>
      <c r="BC35" s="3"/>
      <c r="BD35" s="3"/>
      <c r="BE35" s="3"/>
      <c r="BF35" s="3"/>
      <c r="BG35" s="3"/>
      <c r="BH35" s="2"/>
      <c r="BI35" s="3"/>
      <c r="BJ35" s="3"/>
      <c r="BK35" s="3"/>
      <c r="BL35" s="3"/>
      <c r="BM35" s="3"/>
      <c r="BN35" s="3"/>
      <c r="BO35" s="2"/>
      <c r="BP35" s="3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3"/>
      <c r="CC35" s="3"/>
      <c r="CD35" s="2"/>
      <c r="CE35" s="2"/>
      <c r="CF35" s="3"/>
      <c r="CG35" s="3"/>
      <c r="CH35" s="3"/>
      <c r="CI35" s="3"/>
      <c r="CJ35" s="3"/>
      <c r="CK35" s="3"/>
      <c r="CL35" s="3"/>
      <c r="CM35" s="3"/>
      <c r="CN35" s="3"/>
      <c r="CO35" s="2"/>
      <c r="CP35" s="3"/>
      <c r="CQ35" s="3"/>
      <c r="CR35" s="3"/>
      <c r="CS35" s="3"/>
      <c r="CT35" s="3"/>
      <c r="CU35" s="3"/>
      <c r="CV35" s="2"/>
    </row>
    <row x14ac:dyDescent="0.25" r="36" customHeight="1" ht="18.75">
      <c r="A36" s="46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46"/>
      <c r="O36" s="46"/>
      <c r="P36" s="149"/>
      <c r="Q36" s="149"/>
      <c r="R36" s="46"/>
      <c r="S36" s="3"/>
      <c r="T36" s="46"/>
      <c r="U36" s="46"/>
      <c r="V36" s="3"/>
      <c r="W36" s="3"/>
      <c r="X36" s="3"/>
      <c r="Y36" s="3"/>
      <c r="Z36" s="3"/>
      <c r="AA36" s="2"/>
      <c r="AB36" s="3"/>
      <c r="AC36" s="3"/>
      <c r="AD36" s="3"/>
      <c r="AE36" s="46"/>
      <c r="AF36" s="46"/>
      <c r="AG36" s="3"/>
      <c r="AH36" s="2"/>
      <c r="AI36" s="3"/>
      <c r="AJ36" s="2"/>
      <c r="AK36" s="2"/>
      <c r="AL36" s="3"/>
      <c r="AM36" s="3"/>
      <c r="AN36" s="2"/>
      <c r="AO36" s="2"/>
      <c r="AP36" s="2"/>
      <c r="AQ36" s="3"/>
      <c r="AR36" s="2"/>
      <c r="AS36" s="2"/>
      <c r="AT36" s="2"/>
      <c r="AU36" s="3"/>
      <c r="AV36" s="3"/>
      <c r="AW36" s="2"/>
      <c r="AX36" s="2"/>
      <c r="AY36" s="3"/>
      <c r="AZ36" s="3"/>
      <c r="BA36" s="3"/>
      <c r="BB36" s="3"/>
      <c r="BC36" s="3"/>
      <c r="BD36" s="3"/>
      <c r="BE36" s="3"/>
      <c r="BF36" s="3"/>
      <c r="BG36" s="3"/>
      <c r="BH36" s="2"/>
      <c r="BI36" s="3"/>
      <c r="BJ36" s="3"/>
      <c r="BK36" s="3"/>
      <c r="BL36" s="3"/>
      <c r="BM36" s="3"/>
      <c r="BN36" s="3"/>
      <c r="BO36" s="2"/>
      <c r="BP36" s="3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3"/>
      <c r="CC36" s="3"/>
      <c r="CD36" s="2"/>
      <c r="CE36" s="2"/>
      <c r="CF36" s="3"/>
      <c r="CG36" s="3"/>
      <c r="CH36" s="3"/>
      <c r="CI36" s="3"/>
      <c r="CJ36" s="3"/>
      <c r="CK36" s="3"/>
      <c r="CL36" s="3"/>
      <c r="CM36" s="3"/>
      <c r="CN36" s="3"/>
      <c r="CO36" s="2"/>
      <c r="CP36" s="3"/>
      <c r="CQ36" s="3"/>
      <c r="CR36" s="3"/>
      <c r="CS36" s="3"/>
      <c r="CT36" s="3"/>
      <c r="CU36" s="3"/>
      <c r="CV36" s="2"/>
    </row>
    <row x14ac:dyDescent="0.25" r="37" customHeight="1" ht="18.75">
      <c r="A37" s="1" t="s">
        <v>416</v>
      </c>
      <c r="B37" s="149"/>
      <c r="C37" s="150" t="s">
        <v>677</v>
      </c>
      <c r="D37" s="149"/>
      <c r="E37" s="150" t="s">
        <v>497</v>
      </c>
      <c r="F37" s="149"/>
      <c r="G37" s="149"/>
      <c r="H37" s="149"/>
      <c r="I37" s="149"/>
      <c r="J37" s="149"/>
      <c r="K37" s="149"/>
      <c r="L37" s="149"/>
      <c r="M37" s="149"/>
      <c r="N37" s="46"/>
      <c r="O37" s="46"/>
      <c r="P37" s="149"/>
      <c r="Q37" s="149"/>
      <c r="R37" s="46"/>
      <c r="S37" s="3"/>
      <c r="T37" s="46"/>
      <c r="U37" s="46"/>
      <c r="V37" s="3"/>
      <c r="W37" s="3"/>
      <c r="X37" s="3"/>
      <c r="Y37" s="3"/>
      <c r="Z37" s="3"/>
      <c r="AA37" s="2"/>
      <c r="AB37" s="3"/>
      <c r="AC37" s="3"/>
      <c r="AD37" s="3"/>
      <c r="AE37" s="46"/>
      <c r="AF37" s="46"/>
      <c r="AG37" s="3"/>
      <c r="AH37" s="2"/>
      <c r="AI37" s="3"/>
      <c r="AJ37" s="2"/>
      <c r="AK37" s="2"/>
      <c r="AL37" s="3"/>
      <c r="AM37" s="3"/>
      <c r="AN37" s="2"/>
      <c r="AO37" s="2"/>
      <c r="AP37" s="2"/>
      <c r="AQ37" s="3"/>
      <c r="AR37" s="2"/>
      <c r="AS37" s="2"/>
      <c r="AT37" s="2"/>
      <c r="AU37" s="3"/>
      <c r="AV37" s="3"/>
      <c r="AW37" s="2"/>
      <c r="AX37" s="2"/>
      <c r="AY37" s="3"/>
      <c r="AZ37" s="3"/>
      <c r="BA37" s="3"/>
      <c r="BB37" s="3"/>
      <c r="BC37" s="3"/>
      <c r="BD37" s="3"/>
      <c r="BE37" s="3"/>
      <c r="BF37" s="3"/>
      <c r="BG37" s="3"/>
      <c r="BH37" s="2"/>
      <c r="BI37" s="3"/>
      <c r="BJ37" s="3"/>
      <c r="BK37" s="3"/>
      <c r="BL37" s="3"/>
      <c r="BM37" s="3"/>
      <c r="BN37" s="3"/>
      <c r="BO37" s="2"/>
      <c r="BP37" s="3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3"/>
      <c r="CC37" s="3"/>
      <c r="CD37" s="2"/>
      <c r="CE37" s="2"/>
      <c r="CF37" s="3"/>
      <c r="CG37" s="3"/>
      <c r="CH37" s="3"/>
      <c r="CI37" s="3"/>
      <c r="CJ37" s="3"/>
      <c r="CK37" s="3"/>
      <c r="CL37" s="3"/>
      <c r="CM37" s="3"/>
      <c r="CN37" s="3"/>
      <c r="CO37" s="2"/>
      <c r="CP37" s="3"/>
      <c r="CQ37" s="3"/>
      <c r="CR37" s="3"/>
      <c r="CS37" s="3"/>
      <c r="CT37" s="3"/>
      <c r="CU37" s="3"/>
      <c r="CV37" s="2"/>
    </row>
    <row x14ac:dyDescent="0.25" r="38" customHeight="1" ht="18.75">
      <c r="A38" s="30" t="s">
        <v>678</v>
      </c>
      <c r="B38" s="149"/>
      <c r="C38" s="149"/>
      <c r="D38" s="149"/>
      <c r="E38" s="149"/>
      <c r="F38" s="149"/>
      <c r="G38" s="149"/>
      <c r="H38" s="149"/>
      <c r="I38" s="149"/>
      <c r="J38" s="149"/>
      <c r="K38" s="150" t="s">
        <v>271</v>
      </c>
      <c r="L38" s="150" t="s">
        <v>531</v>
      </c>
      <c r="M38" s="150" t="s">
        <v>531</v>
      </c>
      <c r="N38" s="46"/>
      <c r="O38" s="46"/>
      <c r="P38" s="150" t="s">
        <v>271</v>
      </c>
      <c r="Q38" s="150" t="s">
        <v>271</v>
      </c>
      <c r="R38" s="46"/>
      <c r="S38" s="3"/>
      <c r="T38" s="46"/>
      <c r="U38" s="46"/>
      <c r="V38" s="3"/>
      <c r="W38" s="3"/>
      <c r="X38" s="3"/>
      <c r="Y38" s="3"/>
      <c r="Z38" s="3"/>
      <c r="AA38" s="2"/>
      <c r="AB38" s="3"/>
      <c r="AC38" s="3"/>
      <c r="AD38" s="3"/>
      <c r="AE38" s="46"/>
      <c r="AF38" s="46"/>
      <c r="AG38" s="3"/>
      <c r="AH38" s="2"/>
      <c r="AI38" s="3"/>
      <c r="AJ38" s="2"/>
      <c r="AK38" s="2"/>
      <c r="AL38" s="3"/>
      <c r="AM38" s="3"/>
      <c r="AN38" s="2"/>
      <c r="AO38" s="2"/>
      <c r="AP38" s="2"/>
      <c r="AQ38" s="3"/>
      <c r="AR38" s="2"/>
      <c r="AS38" s="2"/>
      <c r="AT38" s="2"/>
      <c r="AU38" s="3"/>
      <c r="AV38" s="3"/>
      <c r="AW38" s="2"/>
      <c r="AX38" s="2"/>
      <c r="AY38" s="3"/>
      <c r="AZ38" s="3"/>
      <c r="BA38" s="3"/>
      <c r="BB38" s="3"/>
      <c r="BC38" s="3"/>
      <c r="BD38" s="3"/>
      <c r="BE38" s="3"/>
      <c r="BF38" s="3"/>
      <c r="BG38" s="3"/>
      <c r="BH38" s="2"/>
      <c r="BI38" s="3"/>
      <c r="BJ38" s="3"/>
      <c r="BK38" s="3"/>
      <c r="BL38" s="3"/>
      <c r="BM38" s="3"/>
      <c r="BN38" s="3"/>
      <c r="BO38" s="2"/>
      <c r="BP38" s="3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3"/>
      <c r="CC38" s="3"/>
      <c r="CD38" s="2"/>
      <c r="CE38" s="2"/>
      <c r="CF38" s="3"/>
      <c r="CG38" s="3"/>
      <c r="CH38" s="3"/>
      <c r="CI38" s="3"/>
      <c r="CJ38" s="3"/>
      <c r="CK38" s="3"/>
      <c r="CL38" s="3"/>
      <c r="CM38" s="3"/>
      <c r="CN38" s="3"/>
      <c r="CO38" s="2"/>
      <c r="CP38" s="3"/>
      <c r="CQ38" s="3"/>
      <c r="CR38" s="3"/>
      <c r="CS38" s="3"/>
      <c r="CT38" s="3"/>
      <c r="CU38" s="3"/>
      <c r="CV38" s="2"/>
    </row>
    <row x14ac:dyDescent="0.25" r="39" customHeight="1" ht="18.75">
      <c r="A39" s="30" t="s">
        <v>679</v>
      </c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46"/>
      <c r="O39" s="46"/>
      <c r="P39" s="150" t="s">
        <v>271</v>
      </c>
      <c r="Q39" s="150" t="s">
        <v>271</v>
      </c>
      <c r="R39" s="46"/>
      <c r="S39" s="3"/>
      <c r="T39" s="46"/>
      <c r="U39" s="46"/>
      <c r="V39" s="3"/>
      <c r="W39" s="3"/>
      <c r="X39" s="3"/>
      <c r="Y39" s="3"/>
      <c r="Z39" s="3"/>
      <c r="AA39" s="2"/>
      <c r="AB39" s="3"/>
      <c r="AC39" s="3"/>
      <c r="AD39" s="3"/>
      <c r="AE39" s="46"/>
      <c r="AF39" s="46"/>
      <c r="AG39" s="3"/>
      <c r="AH39" s="2"/>
      <c r="AI39" s="3"/>
      <c r="AJ39" s="2"/>
      <c r="AK39" s="2"/>
      <c r="AL39" s="3"/>
      <c r="AM39" s="3"/>
      <c r="AN39" s="2"/>
      <c r="AO39" s="2"/>
      <c r="AP39" s="2"/>
      <c r="AQ39" s="3"/>
      <c r="AR39" s="2"/>
      <c r="AS39" s="2"/>
      <c r="AT39" s="2"/>
      <c r="AU39" s="3"/>
      <c r="AV39" s="3"/>
      <c r="AW39" s="2"/>
      <c r="AX39" s="2"/>
      <c r="AY39" s="3"/>
      <c r="AZ39" s="3"/>
      <c r="BA39" s="3"/>
      <c r="BB39" s="3"/>
      <c r="BC39" s="3"/>
      <c r="BD39" s="3"/>
      <c r="BE39" s="3"/>
      <c r="BF39" s="3"/>
      <c r="BG39" s="3"/>
      <c r="BH39" s="2"/>
      <c r="BI39" s="3"/>
      <c r="BJ39" s="3"/>
      <c r="BK39" s="3"/>
      <c r="BL39" s="3"/>
      <c r="BM39" s="3"/>
      <c r="BN39" s="3"/>
      <c r="BO39" s="2"/>
      <c r="BP39" s="3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3"/>
      <c r="CC39" s="3"/>
      <c r="CD39" s="2"/>
      <c r="CE39" s="2"/>
      <c r="CF39" s="3"/>
      <c r="CG39" s="3"/>
      <c r="CH39" s="3"/>
      <c r="CI39" s="3"/>
      <c r="CJ39" s="3"/>
      <c r="CK39" s="3"/>
      <c r="CL39" s="3"/>
      <c r="CM39" s="3"/>
      <c r="CN39" s="3"/>
      <c r="CO39" s="2"/>
      <c r="CP39" s="3"/>
      <c r="CQ39" s="3"/>
      <c r="CR39" s="3"/>
      <c r="CS39" s="3"/>
      <c r="CT39" s="3"/>
      <c r="CU39" s="3"/>
      <c r="CV39" s="2"/>
    </row>
    <row x14ac:dyDescent="0.25" r="40" customHeight="1" ht="18.75">
      <c r="A40" s="30" t="s">
        <v>680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50" t="s">
        <v>681</v>
      </c>
      <c r="L40" s="150" t="s">
        <v>682</v>
      </c>
      <c r="M40" s="150" t="s">
        <v>682</v>
      </c>
      <c r="N40" s="46"/>
      <c r="O40" s="46"/>
      <c r="P40" s="149"/>
      <c r="Q40" s="149"/>
      <c r="R40" s="46"/>
      <c r="S40" s="3"/>
      <c r="T40" s="46"/>
      <c r="U40" s="46"/>
      <c r="V40" s="3"/>
      <c r="W40" s="3"/>
      <c r="X40" s="3"/>
      <c r="Y40" s="3"/>
      <c r="Z40" s="3"/>
      <c r="AA40" s="2"/>
      <c r="AB40" s="3"/>
      <c r="AC40" s="3"/>
      <c r="AD40" s="3"/>
      <c r="AE40" s="46"/>
      <c r="AF40" s="46"/>
      <c r="AG40" s="3"/>
      <c r="AH40" s="2"/>
      <c r="AI40" s="3"/>
      <c r="AJ40" s="2"/>
      <c r="AK40" s="2"/>
      <c r="AL40" s="3"/>
      <c r="AM40" s="3"/>
      <c r="AN40" s="2"/>
      <c r="AO40" s="2"/>
      <c r="AP40" s="2"/>
      <c r="AQ40" s="3"/>
      <c r="AR40" s="2"/>
      <c r="AS40" s="2"/>
      <c r="AT40" s="2"/>
      <c r="AU40" s="3"/>
      <c r="AV40" s="3"/>
      <c r="AW40" s="2"/>
      <c r="AX40" s="2"/>
      <c r="AY40" s="3"/>
      <c r="AZ40" s="3"/>
      <c r="BA40" s="3"/>
      <c r="BB40" s="3"/>
      <c r="BC40" s="3"/>
      <c r="BD40" s="3"/>
      <c r="BE40" s="3"/>
      <c r="BF40" s="3"/>
      <c r="BG40" s="3"/>
      <c r="BH40" s="2"/>
      <c r="BI40" s="3"/>
      <c r="BJ40" s="3"/>
      <c r="BK40" s="3"/>
      <c r="BL40" s="3"/>
      <c r="BM40" s="3"/>
      <c r="BN40" s="3"/>
      <c r="BO40" s="2"/>
      <c r="BP40" s="3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3"/>
      <c r="CC40" s="3"/>
      <c r="CD40" s="2"/>
      <c r="CE40" s="2"/>
      <c r="CF40" s="3"/>
      <c r="CG40" s="3"/>
      <c r="CH40" s="3"/>
      <c r="CI40" s="3"/>
      <c r="CJ40" s="3"/>
      <c r="CK40" s="3"/>
      <c r="CL40" s="3"/>
      <c r="CM40" s="3"/>
      <c r="CN40" s="3"/>
      <c r="CO40" s="2"/>
      <c r="CP40" s="3"/>
      <c r="CQ40" s="3"/>
      <c r="CR40" s="3"/>
      <c r="CS40" s="3"/>
      <c r="CT40" s="3"/>
      <c r="CU40" s="3"/>
      <c r="CV40" s="2"/>
    </row>
    <row x14ac:dyDescent="0.25" r="41" customHeight="1" ht="18.75">
      <c r="A41" s="30" t="s">
        <v>683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54" t="s">
        <v>531</v>
      </c>
      <c r="L41" s="154" t="s">
        <v>531</v>
      </c>
      <c r="M41" s="154" t="s">
        <v>531</v>
      </c>
      <c r="N41" s="46"/>
      <c r="O41" s="46"/>
      <c r="P41" s="150" t="s">
        <v>271</v>
      </c>
      <c r="Q41" s="150" t="s">
        <v>271</v>
      </c>
      <c r="R41" s="46"/>
      <c r="S41" s="3"/>
      <c r="T41" s="46"/>
      <c r="U41" s="46"/>
      <c r="V41" s="3"/>
      <c r="W41" s="3"/>
      <c r="X41" s="3"/>
      <c r="Y41" s="3"/>
      <c r="Z41" s="3"/>
      <c r="AA41" s="2"/>
      <c r="AB41" s="3"/>
      <c r="AC41" s="3"/>
      <c r="AD41" s="3"/>
      <c r="AE41" s="46"/>
      <c r="AF41" s="46"/>
      <c r="AG41" s="3"/>
      <c r="AH41" s="2"/>
      <c r="AI41" s="3"/>
      <c r="AJ41" s="2"/>
      <c r="AK41" s="2"/>
      <c r="AL41" s="3"/>
      <c r="AM41" s="3"/>
      <c r="AN41" s="2"/>
      <c r="AO41" s="2"/>
      <c r="AP41" s="2"/>
      <c r="AQ41" s="3"/>
      <c r="AR41" s="2"/>
      <c r="AS41" s="2"/>
      <c r="AT41" s="2"/>
      <c r="AU41" s="3"/>
      <c r="AV41" s="3"/>
      <c r="AW41" s="2"/>
      <c r="AX41" s="2"/>
      <c r="AY41" s="3"/>
      <c r="AZ41" s="3"/>
      <c r="BA41" s="3"/>
      <c r="BB41" s="3"/>
      <c r="BC41" s="3"/>
      <c r="BD41" s="3"/>
      <c r="BE41" s="3"/>
      <c r="BF41" s="3"/>
      <c r="BG41" s="3"/>
      <c r="BH41" s="2"/>
      <c r="BI41" s="3"/>
      <c r="BJ41" s="3"/>
      <c r="BK41" s="3"/>
      <c r="BL41" s="3"/>
      <c r="BM41" s="3"/>
      <c r="BN41" s="3"/>
      <c r="BO41" s="2"/>
      <c r="BP41" s="3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3"/>
      <c r="CC41" s="3"/>
      <c r="CD41" s="2"/>
      <c r="CE41" s="2"/>
      <c r="CF41" s="3"/>
      <c r="CG41" s="3"/>
      <c r="CH41" s="3"/>
      <c r="CI41" s="3"/>
      <c r="CJ41" s="3"/>
      <c r="CK41" s="3"/>
      <c r="CL41" s="3"/>
      <c r="CM41" s="3"/>
      <c r="CN41" s="3"/>
      <c r="CO41" s="2"/>
      <c r="CP41" s="3"/>
      <c r="CQ41" s="3"/>
      <c r="CR41" s="3"/>
      <c r="CS41" s="3"/>
      <c r="CT41" s="3"/>
      <c r="CU41" s="3"/>
      <c r="CV41" s="2"/>
    </row>
    <row x14ac:dyDescent="0.25" r="42" customHeight="1" ht="18.75">
      <c r="A42" s="30" t="s">
        <v>684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50" t="s">
        <v>344</v>
      </c>
      <c r="L42" s="150" t="s">
        <v>345</v>
      </c>
      <c r="M42" s="150" t="s">
        <v>346</v>
      </c>
      <c r="N42" s="46"/>
      <c r="O42" s="46"/>
      <c r="P42" s="150" t="s">
        <v>271</v>
      </c>
      <c r="Q42" s="150" t="s">
        <v>271</v>
      </c>
      <c r="R42" s="46"/>
      <c r="S42" s="3"/>
      <c r="T42" s="46"/>
      <c r="U42" s="46"/>
      <c r="V42" s="3"/>
      <c r="W42" s="3"/>
      <c r="X42" s="3"/>
      <c r="Y42" s="3"/>
      <c r="Z42" s="3"/>
      <c r="AA42" s="2"/>
      <c r="AB42" s="3"/>
      <c r="AC42" s="3"/>
      <c r="AD42" s="3"/>
      <c r="AE42" s="46"/>
      <c r="AF42" s="46"/>
      <c r="AG42" s="3"/>
      <c r="AH42" s="2"/>
      <c r="AI42" s="3"/>
      <c r="AJ42" s="2"/>
      <c r="AK42" s="2"/>
      <c r="AL42" s="3"/>
      <c r="AM42" s="3"/>
      <c r="AN42" s="2"/>
      <c r="AO42" s="2"/>
      <c r="AP42" s="2"/>
      <c r="AQ42" s="3"/>
      <c r="AR42" s="2"/>
      <c r="AS42" s="2"/>
      <c r="AT42" s="2"/>
      <c r="AU42" s="3"/>
      <c r="AV42" s="3"/>
      <c r="AW42" s="2"/>
      <c r="AX42" s="2"/>
      <c r="AY42" s="3"/>
      <c r="AZ42" s="3"/>
      <c r="BA42" s="3"/>
      <c r="BB42" s="3"/>
      <c r="BC42" s="3"/>
      <c r="BD42" s="3"/>
      <c r="BE42" s="3"/>
      <c r="BF42" s="3"/>
      <c r="BG42" s="3"/>
      <c r="BH42" s="2"/>
      <c r="BI42" s="3"/>
      <c r="BJ42" s="3"/>
      <c r="BK42" s="3"/>
      <c r="BL42" s="3"/>
      <c r="BM42" s="3"/>
      <c r="BN42" s="3"/>
      <c r="BO42" s="2"/>
      <c r="BP42" s="3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3"/>
      <c r="CC42" s="3"/>
      <c r="CD42" s="2"/>
      <c r="CE42" s="2"/>
      <c r="CF42" s="3"/>
      <c r="CG42" s="3"/>
      <c r="CH42" s="3"/>
      <c r="CI42" s="3"/>
      <c r="CJ42" s="3"/>
      <c r="CK42" s="3"/>
      <c r="CL42" s="3"/>
      <c r="CM42" s="3"/>
      <c r="CN42" s="3"/>
      <c r="CO42" s="2"/>
      <c r="CP42" s="3"/>
      <c r="CQ42" s="3"/>
      <c r="CR42" s="3"/>
      <c r="CS42" s="3"/>
      <c r="CT42" s="3"/>
      <c r="CU42" s="3"/>
      <c r="CV42" s="2"/>
    </row>
    <row x14ac:dyDescent="0.25" r="43" customHeight="1" ht="18.75">
      <c r="A43" s="30" t="s">
        <v>685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50" t="s">
        <v>430</v>
      </c>
      <c r="L43" s="150" t="s">
        <v>430</v>
      </c>
      <c r="M43" s="150" t="s">
        <v>430</v>
      </c>
      <c r="N43" s="46"/>
      <c r="O43" s="46"/>
      <c r="P43" s="149"/>
      <c r="Q43" s="149"/>
      <c r="R43" s="46"/>
      <c r="S43" s="3"/>
      <c r="T43" s="46"/>
      <c r="U43" s="46"/>
      <c r="V43" s="3"/>
      <c r="W43" s="3"/>
      <c r="X43" s="3"/>
      <c r="Y43" s="3"/>
      <c r="Z43" s="3"/>
      <c r="AA43" s="150" t="s">
        <v>686</v>
      </c>
      <c r="AB43" s="3"/>
      <c r="AC43" s="3"/>
      <c r="AD43" s="3"/>
      <c r="AE43" s="46"/>
      <c r="AF43" s="46"/>
      <c r="AG43" s="30" t="s">
        <v>687</v>
      </c>
      <c r="AH43" s="150" t="s">
        <v>687</v>
      </c>
      <c r="AI43" s="3"/>
      <c r="AJ43" s="2"/>
      <c r="AK43" s="2"/>
      <c r="AL43" s="3"/>
      <c r="AM43" s="3"/>
      <c r="AN43" s="2"/>
      <c r="AO43" s="2"/>
      <c r="AP43" s="2"/>
      <c r="AQ43" s="3"/>
      <c r="AR43" s="2"/>
      <c r="AS43" s="2"/>
      <c r="AT43" s="2"/>
      <c r="AU43" s="3"/>
      <c r="AV43" s="3"/>
      <c r="AW43" s="2"/>
      <c r="AX43" s="2"/>
      <c r="AY43" s="3"/>
      <c r="AZ43" s="3"/>
      <c r="BA43" s="3"/>
      <c r="BB43" s="3"/>
      <c r="BC43" s="3"/>
      <c r="BD43" s="3"/>
      <c r="BE43" s="3"/>
      <c r="BF43" s="3"/>
      <c r="BG43" s="3"/>
      <c r="BH43" s="2"/>
      <c r="BI43" s="3"/>
      <c r="BJ43" s="3"/>
      <c r="BK43" s="3"/>
      <c r="BL43" s="3"/>
      <c r="BM43" s="3"/>
      <c r="BN43" s="3"/>
      <c r="BO43" s="2"/>
      <c r="BP43" s="3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3"/>
      <c r="CC43" s="3"/>
      <c r="CD43" s="2"/>
      <c r="CE43" s="2"/>
      <c r="CF43" s="3"/>
      <c r="CG43" s="3"/>
      <c r="CH43" s="3"/>
      <c r="CI43" s="3"/>
      <c r="CJ43" s="3"/>
      <c r="CK43" s="3"/>
      <c r="CL43" s="3"/>
      <c r="CM43" s="3"/>
      <c r="CN43" s="3"/>
      <c r="CO43" s="2"/>
      <c r="CP43" s="3"/>
      <c r="CQ43" s="3"/>
      <c r="CR43" s="3"/>
      <c r="CS43" s="3"/>
      <c r="CT43" s="3"/>
      <c r="CU43" s="3"/>
      <c r="CV43" s="2"/>
    </row>
    <row x14ac:dyDescent="0.25" r="44" customHeight="1" ht="18.75">
      <c r="A44" s="46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46"/>
      <c r="O44" s="46"/>
      <c r="P44" s="149"/>
      <c r="Q44" s="149"/>
      <c r="R44" s="46"/>
      <c r="S44" s="3"/>
      <c r="T44" s="46"/>
      <c r="U44" s="46"/>
      <c r="V44" s="3"/>
      <c r="W44" s="3"/>
      <c r="X44" s="3"/>
      <c r="Y44" s="3"/>
      <c r="Z44" s="3"/>
      <c r="AA44" s="2"/>
      <c r="AB44" s="3"/>
      <c r="AC44" s="3"/>
      <c r="AD44" s="3"/>
      <c r="AE44" s="46"/>
      <c r="AF44" s="46"/>
      <c r="AG44" s="3"/>
      <c r="AH44" s="2"/>
      <c r="AI44" s="3"/>
      <c r="AJ44" s="2"/>
      <c r="AK44" s="2"/>
      <c r="AL44" s="3"/>
      <c r="AM44" s="3"/>
      <c r="AN44" s="2"/>
      <c r="AO44" s="2"/>
      <c r="AP44" s="2"/>
      <c r="AQ44" s="3"/>
      <c r="AR44" s="2"/>
      <c r="AS44" s="2"/>
      <c r="AT44" s="2"/>
      <c r="AU44" s="3"/>
      <c r="AV44" s="3"/>
      <c r="AW44" s="2"/>
      <c r="AX44" s="2"/>
      <c r="AY44" s="3"/>
      <c r="AZ44" s="3"/>
      <c r="BA44" s="3"/>
      <c r="BB44" s="3"/>
      <c r="BC44" s="3"/>
      <c r="BD44" s="3"/>
      <c r="BE44" s="3"/>
      <c r="BF44" s="3"/>
      <c r="BG44" s="3"/>
      <c r="BH44" s="2"/>
      <c r="BI44" s="3"/>
      <c r="BJ44" s="3"/>
      <c r="BK44" s="3"/>
      <c r="BL44" s="3"/>
      <c r="BM44" s="3"/>
      <c r="BN44" s="3"/>
      <c r="BO44" s="2"/>
      <c r="BP44" s="3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3"/>
      <c r="CC44" s="3"/>
      <c r="CD44" s="2"/>
      <c r="CE44" s="2"/>
      <c r="CF44" s="3"/>
      <c r="CG44" s="3"/>
      <c r="CH44" s="3"/>
      <c r="CI44" s="3"/>
      <c r="CJ44" s="3"/>
      <c r="CK44" s="3"/>
      <c r="CL44" s="3"/>
      <c r="CM44" s="3"/>
      <c r="CN44" s="3"/>
      <c r="CO44" s="2"/>
      <c r="CP44" s="3"/>
      <c r="CQ44" s="3"/>
      <c r="CR44" s="3"/>
      <c r="CS44" s="3"/>
      <c r="CT44" s="3"/>
      <c r="CU44" s="3"/>
      <c r="CV44" s="2"/>
    </row>
    <row x14ac:dyDescent="0.25" r="45" customHeight="1" ht="18.75">
      <c r="A45" s="30" t="s">
        <v>688</v>
      </c>
      <c r="B45" s="149"/>
      <c r="C45" s="149"/>
      <c r="D45" s="149"/>
      <c r="E45" s="149"/>
      <c r="F45" s="149"/>
      <c r="G45" s="149"/>
      <c r="H45" s="149"/>
      <c r="I45" s="149"/>
      <c r="J45" s="149"/>
      <c r="K45" s="150" t="s">
        <v>529</v>
      </c>
      <c r="L45" s="150" t="s">
        <v>529</v>
      </c>
      <c r="M45" s="150" t="s">
        <v>529</v>
      </c>
      <c r="N45" s="46"/>
      <c r="O45" s="46"/>
      <c r="P45" s="149"/>
      <c r="Q45" s="149"/>
      <c r="R45" s="46"/>
      <c r="S45" s="3"/>
      <c r="T45" s="46"/>
      <c r="U45" s="46"/>
      <c r="V45" s="3"/>
      <c r="W45" s="3"/>
      <c r="X45" s="3"/>
      <c r="Y45" s="3"/>
      <c r="Z45" s="3"/>
      <c r="AA45" s="2"/>
      <c r="AB45" s="3"/>
      <c r="AC45" s="3"/>
      <c r="AD45" s="3"/>
      <c r="AE45" s="46"/>
      <c r="AF45" s="46"/>
      <c r="AG45" s="3"/>
      <c r="AH45" s="2"/>
      <c r="AI45" s="3"/>
      <c r="AJ45" s="2"/>
      <c r="AK45" s="2"/>
      <c r="AL45" s="3"/>
      <c r="AM45" s="3"/>
      <c r="AN45" s="2"/>
      <c r="AO45" s="2"/>
      <c r="AP45" s="2"/>
      <c r="AQ45" s="3"/>
      <c r="AR45" s="2"/>
      <c r="AS45" s="2"/>
      <c r="AT45" s="2"/>
      <c r="AU45" s="3"/>
      <c r="AV45" s="3"/>
      <c r="AW45" s="2"/>
      <c r="AX45" s="2"/>
      <c r="AY45" s="3"/>
      <c r="AZ45" s="3"/>
      <c r="BA45" s="3"/>
      <c r="BB45" s="3"/>
      <c r="BC45" s="3"/>
      <c r="BD45" s="3"/>
      <c r="BE45" s="3"/>
      <c r="BF45" s="3"/>
      <c r="BG45" s="3"/>
      <c r="BH45" s="2"/>
      <c r="BI45" s="3"/>
      <c r="BJ45" s="3"/>
      <c r="BK45" s="3"/>
      <c r="BL45" s="3"/>
      <c r="BM45" s="3"/>
      <c r="BN45" s="3"/>
      <c r="BO45" s="2"/>
      <c r="BP45" s="3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3"/>
      <c r="CC45" s="3"/>
      <c r="CD45" s="2"/>
      <c r="CE45" s="2"/>
      <c r="CF45" s="3"/>
      <c r="CG45" s="3"/>
      <c r="CH45" s="3"/>
      <c r="CI45" s="3"/>
      <c r="CJ45" s="3"/>
      <c r="CK45" s="3"/>
      <c r="CL45" s="3"/>
      <c r="CM45" s="3"/>
      <c r="CN45" s="3"/>
      <c r="CO45" s="2"/>
      <c r="CP45" s="3"/>
      <c r="CQ45" s="3"/>
      <c r="CR45" s="3"/>
      <c r="CS45" s="3"/>
      <c r="CT45" s="3"/>
      <c r="CU45" s="3"/>
      <c r="CV45" s="2"/>
    </row>
    <row x14ac:dyDescent="0.25" r="46" customHeight="1" ht="18.75">
      <c r="A46" s="30" t="s">
        <v>689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50" t="s">
        <v>271</v>
      </c>
      <c r="L46" s="150" t="s">
        <v>531</v>
      </c>
      <c r="M46" s="150" t="s">
        <v>271</v>
      </c>
      <c r="N46" s="46"/>
      <c r="O46" s="46"/>
      <c r="P46" s="149"/>
      <c r="Q46" s="149"/>
      <c r="R46" s="46"/>
      <c r="S46" s="3"/>
      <c r="T46" s="46"/>
      <c r="U46" s="46"/>
      <c r="V46" s="3"/>
      <c r="W46" s="3"/>
      <c r="X46" s="3"/>
      <c r="Y46" s="3"/>
      <c r="Z46" s="3"/>
      <c r="AA46" s="2"/>
      <c r="AB46" s="3"/>
      <c r="AC46" s="3"/>
      <c r="AD46" s="3"/>
      <c r="AE46" s="46"/>
      <c r="AF46" s="46"/>
      <c r="AG46" s="3"/>
      <c r="AH46" s="2"/>
      <c r="AI46" s="3"/>
      <c r="AJ46" s="2"/>
      <c r="AK46" s="2"/>
      <c r="AL46" s="3"/>
      <c r="AM46" s="3"/>
      <c r="AN46" s="2"/>
      <c r="AO46" s="2"/>
      <c r="AP46" s="2"/>
      <c r="AQ46" s="3"/>
      <c r="AR46" s="2"/>
      <c r="AS46" s="2"/>
      <c r="AT46" s="2"/>
      <c r="AU46" s="3"/>
      <c r="AV46" s="3"/>
      <c r="AW46" s="2"/>
      <c r="AX46" s="2"/>
      <c r="AY46" s="3"/>
      <c r="AZ46" s="3"/>
      <c r="BA46" s="3"/>
      <c r="BB46" s="3"/>
      <c r="BC46" s="3"/>
      <c r="BD46" s="3"/>
      <c r="BE46" s="3"/>
      <c r="BF46" s="3"/>
      <c r="BG46" s="3"/>
      <c r="BH46" s="2"/>
      <c r="BI46" s="3"/>
      <c r="BJ46" s="3"/>
      <c r="BK46" s="3"/>
      <c r="BL46" s="3"/>
      <c r="BM46" s="3"/>
      <c r="BN46" s="3"/>
      <c r="BO46" s="2"/>
      <c r="BP46" s="3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3"/>
      <c r="CC46" s="3"/>
      <c r="CD46" s="2"/>
      <c r="CE46" s="2"/>
      <c r="CF46" s="3"/>
      <c r="CG46" s="3"/>
      <c r="CH46" s="3"/>
      <c r="CI46" s="3"/>
      <c r="CJ46" s="3"/>
      <c r="CK46" s="3"/>
      <c r="CL46" s="3"/>
      <c r="CM46" s="3"/>
      <c r="CN46" s="3"/>
      <c r="CO46" s="2"/>
      <c r="CP46" s="3"/>
      <c r="CQ46" s="3"/>
      <c r="CR46" s="3"/>
      <c r="CS46" s="3"/>
      <c r="CT46" s="3"/>
      <c r="CU46" s="3"/>
      <c r="CV46" s="2"/>
    </row>
    <row x14ac:dyDescent="0.25" r="47" customHeight="1" ht="18.75">
      <c r="A47" s="30" t="s">
        <v>690</v>
      </c>
      <c r="B47" s="149"/>
      <c r="C47" s="149"/>
      <c r="D47" s="149"/>
      <c r="E47" s="149"/>
      <c r="F47" s="149"/>
      <c r="G47" s="149"/>
      <c r="H47" s="149"/>
      <c r="I47" s="149"/>
      <c r="J47" s="149"/>
      <c r="K47" s="150" t="s">
        <v>431</v>
      </c>
      <c r="L47" s="150" t="s">
        <v>431</v>
      </c>
      <c r="M47" s="150" t="s">
        <v>431</v>
      </c>
      <c r="N47" s="46"/>
      <c r="O47" s="46"/>
      <c r="P47" s="149"/>
      <c r="Q47" s="149"/>
      <c r="R47" s="46"/>
      <c r="S47" s="3"/>
      <c r="T47" s="46"/>
      <c r="U47" s="46"/>
      <c r="V47" s="3"/>
      <c r="W47" s="3"/>
      <c r="X47" s="3"/>
      <c r="Y47" s="3"/>
      <c r="Z47" s="3"/>
      <c r="AA47" s="2"/>
      <c r="AB47" s="3"/>
      <c r="AC47" s="3"/>
      <c r="AD47" s="3"/>
      <c r="AE47" s="46"/>
      <c r="AF47" s="46"/>
      <c r="AG47" s="3"/>
      <c r="AH47" s="2"/>
      <c r="AI47" s="3"/>
      <c r="AJ47" s="2"/>
      <c r="AK47" s="2"/>
      <c r="AL47" s="3"/>
      <c r="AM47" s="3"/>
      <c r="AN47" s="2"/>
      <c r="AO47" s="2"/>
      <c r="AP47" s="2"/>
      <c r="AQ47" s="3"/>
      <c r="AR47" s="2"/>
      <c r="AS47" s="2"/>
      <c r="AT47" s="2"/>
      <c r="AU47" s="3"/>
      <c r="AV47" s="3"/>
      <c r="AW47" s="2"/>
      <c r="AX47" s="2"/>
      <c r="AY47" s="3"/>
      <c r="AZ47" s="3"/>
      <c r="BA47" s="3"/>
      <c r="BB47" s="3"/>
      <c r="BC47" s="3"/>
      <c r="BD47" s="3"/>
      <c r="BE47" s="3"/>
      <c r="BF47" s="3"/>
      <c r="BG47" s="3"/>
      <c r="BH47" s="2"/>
      <c r="BI47" s="3"/>
      <c r="BJ47" s="3"/>
      <c r="BK47" s="3"/>
      <c r="BL47" s="3"/>
      <c r="BM47" s="3"/>
      <c r="BN47" s="3"/>
      <c r="BO47" s="2"/>
      <c r="BP47" s="3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3"/>
      <c r="CC47" s="3"/>
      <c r="CD47" s="2"/>
      <c r="CE47" s="2"/>
      <c r="CF47" s="3"/>
      <c r="CG47" s="3"/>
      <c r="CH47" s="3"/>
      <c r="CI47" s="3"/>
      <c r="CJ47" s="3"/>
      <c r="CK47" s="3"/>
      <c r="CL47" s="3"/>
      <c r="CM47" s="3"/>
      <c r="CN47" s="3"/>
      <c r="CO47" s="2"/>
      <c r="CP47" s="3"/>
      <c r="CQ47" s="3"/>
      <c r="CR47" s="3"/>
      <c r="CS47" s="3"/>
      <c r="CT47" s="3"/>
      <c r="CU47" s="3"/>
      <c r="CV47" s="2"/>
    </row>
    <row x14ac:dyDescent="0.25" r="48" customHeight="1" ht="18.75">
      <c r="A48" s="46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46"/>
      <c r="O48" s="46"/>
      <c r="P48" s="149"/>
      <c r="Q48" s="149"/>
      <c r="R48" s="46"/>
      <c r="S48" s="3"/>
      <c r="T48" s="46"/>
      <c r="U48" s="46"/>
      <c r="V48" s="3"/>
      <c r="W48" s="3"/>
      <c r="X48" s="3"/>
      <c r="Y48" s="3"/>
      <c r="Z48" s="3"/>
      <c r="AA48" s="2"/>
      <c r="AB48" s="3"/>
      <c r="AC48" s="3"/>
      <c r="AD48" s="3"/>
      <c r="AE48" s="46"/>
      <c r="AF48" s="46"/>
      <c r="AG48" s="3"/>
      <c r="AH48" s="2"/>
      <c r="AI48" s="3"/>
      <c r="AJ48" s="2"/>
      <c r="AK48" s="2"/>
      <c r="AL48" s="3"/>
      <c r="AM48" s="3"/>
      <c r="AN48" s="2"/>
      <c r="AO48" s="2"/>
      <c r="AP48" s="2"/>
      <c r="AQ48" s="3"/>
      <c r="AR48" s="2"/>
      <c r="AS48" s="2"/>
      <c r="AT48" s="2"/>
      <c r="AU48" s="3"/>
      <c r="AV48" s="3"/>
      <c r="AW48" s="2"/>
      <c r="AX48" s="2"/>
      <c r="AY48" s="3"/>
      <c r="AZ48" s="3"/>
      <c r="BA48" s="3"/>
      <c r="BB48" s="3"/>
      <c r="BC48" s="3"/>
      <c r="BD48" s="3"/>
      <c r="BE48" s="3"/>
      <c r="BF48" s="3"/>
      <c r="BG48" s="3"/>
      <c r="BH48" s="2"/>
      <c r="BI48" s="3"/>
      <c r="BJ48" s="3"/>
      <c r="BK48" s="3"/>
      <c r="BL48" s="3"/>
      <c r="BM48" s="3"/>
      <c r="BN48" s="3"/>
      <c r="BO48" s="2"/>
      <c r="BP48" s="3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3"/>
      <c r="CC48" s="3"/>
      <c r="CD48" s="2"/>
      <c r="CE48" s="2"/>
      <c r="CF48" s="3"/>
      <c r="CG48" s="3"/>
      <c r="CH48" s="3"/>
      <c r="CI48" s="3"/>
      <c r="CJ48" s="3"/>
      <c r="CK48" s="3"/>
      <c r="CL48" s="3"/>
      <c r="CM48" s="3"/>
      <c r="CN48" s="3"/>
      <c r="CO48" s="2"/>
      <c r="CP48" s="3"/>
      <c r="CQ48" s="3"/>
      <c r="CR48" s="3"/>
      <c r="CS48" s="3"/>
      <c r="CT48" s="3"/>
      <c r="CU48" s="3"/>
      <c r="CV48" s="2"/>
    </row>
    <row x14ac:dyDescent="0.25" r="49" customHeight="1" ht="15.75">
      <c r="A49" s="30" t="s">
        <v>691</v>
      </c>
      <c r="B49" s="150" t="s">
        <v>692</v>
      </c>
      <c r="C49" s="150" t="s">
        <v>132</v>
      </c>
      <c r="D49" s="150" t="s">
        <v>132</v>
      </c>
      <c r="E49" s="150" t="s">
        <v>132</v>
      </c>
      <c r="F49" s="150" t="s">
        <v>529</v>
      </c>
      <c r="G49" s="150" t="s">
        <v>529</v>
      </c>
      <c r="H49" s="150" t="s">
        <v>529</v>
      </c>
      <c r="I49" s="150" t="s">
        <v>529</v>
      </c>
      <c r="J49" s="150" t="s">
        <v>529</v>
      </c>
      <c r="K49" s="150" t="s">
        <v>529</v>
      </c>
      <c r="L49" s="150" t="s">
        <v>529</v>
      </c>
      <c r="M49" s="150" t="s">
        <v>529</v>
      </c>
      <c r="N49" s="30" t="s">
        <v>132</v>
      </c>
      <c r="O49" s="30" t="s">
        <v>132</v>
      </c>
      <c r="P49" s="150" t="s">
        <v>529</v>
      </c>
      <c r="Q49" s="150" t="s">
        <v>529</v>
      </c>
      <c r="R49" s="30" t="s">
        <v>529</v>
      </c>
      <c r="S49" s="3"/>
      <c r="T49" s="30" t="s">
        <v>358</v>
      </c>
      <c r="U49" s="30" t="s">
        <v>358</v>
      </c>
      <c r="V49" s="3"/>
      <c r="W49" s="3"/>
      <c r="X49" s="3"/>
      <c r="Y49" s="3"/>
      <c r="Z49" s="3"/>
      <c r="AA49" s="2"/>
      <c r="AB49" s="3"/>
      <c r="AC49" s="3"/>
      <c r="AD49" s="3"/>
      <c r="AE49" s="30" t="s">
        <v>693</v>
      </c>
      <c r="AF49" s="30" t="s">
        <v>358</v>
      </c>
      <c r="AG49" s="3"/>
      <c r="AH49" s="2"/>
      <c r="AI49" s="3"/>
      <c r="AJ49" s="2"/>
      <c r="AK49" s="2"/>
      <c r="AL49" s="3"/>
      <c r="AM49" s="3"/>
      <c r="AN49" s="2"/>
      <c r="AO49" s="2"/>
      <c r="AP49" s="2"/>
      <c r="AQ49" s="3"/>
      <c r="AR49" s="2"/>
      <c r="AS49" s="2"/>
      <c r="AT49" s="2"/>
      <c r="AU49" s="3"/>
      <c r="AV49" s="3"/>
      <c r="AW49" s="2"/>
      <c r="AX49" s="2"/>
      <c r="AY49" s="3"/>
      <c r="AZ49" s="3"/>
      <c r="BA49" s="3"/>
      <c r="BB49" s="3"/>
      <c r="BC49" s="3"/>
      <c r="BD49" s="3"/>
      <c r="BE49" s="3"/>
      <c r="BF49" s="3"/>
      <c r="BG49" s="3"/>
      <c r="BH49" s="2"/>
      <c r="BI49" s="3"/>
      <c r="BJ49" s="3"/>
      <c r="BK49" s="3"/>
      <c r="BL49" s="3"/>
      <c r="BM49" s="3"/>
      <c r="BN49" s="3"/>
      <c r="BO49" s="2"/>
      <c r="BP49" s="3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3"/>
      <c r="CC49" s="3"/>
      <c r="CD49" s="2"/>
      <c r="CE49" s="2"/>
      <c r="CF49" s="3"/>
      <c r="CG49" s="3"/>
      <c r="CH49" s="3"/>
      <c r="CI49" s="3"/>
      <c r="CJ49" s="3"/>
      <c r="CK49" s="3"/>
      <c r="CL49" s="3"/>
      <c r="CM49" s="3"/>
      <c r="CN49" s="3"/>
      <c r="CO49" s="2"/>
      <c r="CP49" s="3"/>
      <c r="CQ49" s="3"/>
      <c r="CR49" s="3"/>
      <c r="CS49" s="3"/>
      <c r="CT49" s="3"/>
      <c r="CU49" s="3"/>
      <c r="CV49" s="2"/>
    </row>
  </sheetData>
  <mergeCells count="5">
    <mergeCell ref="B3:D3"/>
    <mergeCell ref="F3:O3"/>
    <mergeCell ref="B4:D4"/>
    <mergeCell ref="F4:P5"/>
    <mergeCell ref="B5:D5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37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5.719285714285714" customWidth="1" bestFit="1"/>
    <col min="3" max="3" style="43" width="5.719285714285714" customWidth="1" bestFit="1"/>
    <col min="4" max="4" style="43" width="5.719285714285714" customWidth="1" bestFit="1"/>
    <col min="5" max="5" style="43" width="5.719285714285714" customWidth="1" bestFit="1"/>
    <col min="6" max="6" style="43" width="5.719285714285714" customWidth="1" bestFit="1"/>
    <col min="7" max="7" style="43" width="5.719285714285714" customWidth="1" bestFit="1"/>
    <col min="8" max="8" style="43" width="5.719285714285714" customWidth="1" bestFit="1"/>
    <col min="9" max="9" style="43" width="5.719285714285714" customWidth="1" bestFit="1"/>
    <col min="10" max="10" style="43" width="5.719285714285714" customWidth="1" bestFit="1"/>
    <col min="11" max="11" style="43" width="5.719285714285714" customWidth="1" bestFit="1"/>
    <col min="12" max="12" style="43" width="5.719285714285714" customWidth="1" bestFit="1"/>
    <col min="13" max="13" style="43" width="5.719285714285714" customWidth="1" bestFit="1"/>
    <col min="14" max="14" style="43" width="5.719285714285714" customWidth="1" bestFit="1"/>
    <col min="15" max="15" style="43" width="5.719285714285714" customWidth="1" bestFit="1"/>
    <col min="16" max="16" style="43" width="5.719285714285714" customWidth="1" bestFit="1"/>
    <col min="17" max="17" style="43" width="5.719285714285714" customWidth="1" bestFit="1"/>
    <col min="18" max="18" style="44" width="5.719285714285714" customWidth="1" bestFit="1"/>
    <col min="19" max="19" style="44" width="5.719285714285714" customWidth="1" bestFit="1"/>
    <col min="20" max="20" style="44" width="5.719285714285714" customWidth="1" bestFit="1"/>
    <col min="21" max="21" style="44" width="5.719285714285714" customWidth="1" bestFit="1"/>
    <col min="22" max="22" style="44" width="5.719285714285714" customWidth="1" bestFit="1"/>
    <col min="23" max="23" style="44" width="5.719285714285714" customWidth="1" bestFit="1"/>
    <col min="24" max="24" style="44" width="5.719285714285714" customWidth="1" bestFit="1"/>
    <col min="25" max="25" style="44" width="5.719285714285714" customWidth="1" bestFit="1"/>
    <col min="26" max="26" style="44" width="5.719285714285714" customWidth="1" bestFit="1"/>
    <col min="27" max="27" style="43" width="5.719285714285714" customWidth="1" bestFit="1"/>
    <col min="28" max="28" style="44" width="5.719285714285714" customWidth="1" bestFit="1"/>
    <col min="29" max="29" style="44" width="5.719285714285714" customWidth="1" bestFit="1"/>
    <col min="30" max="30" style="44" width="5.719285714285714" customWidth="1" bestFit="1"/>
    <col min="31" max="31" style="44" width="5.719285714285714" customWidth="1" bestFit="1"/>
    <col min="32" max="32" style="44" width="5.719285714285714" customWidth="1" bestFit="1"/>
    <col min="33" max="33" style="43" width="5.719285714285714" customWidth="1" bestFit="1"/>
    <col min="34" max="34" style="43" width="5.719285714285714" customWidth="1" bestFit="1"/>
    <col min="35" max="35" style="44" width="5.719285714285714" customWidth="1" bestFit="1"/>
    <col min="36" max="36" style="43" width="5.719285714285714" customWidth="1" bestFit="1"/>
    <col min="37" max="37" style="43" width="5.719285714285714" customWidth="1" bestFit="1"/>
    <col min="38" max="38" style="43" width="5.719285714285714" customWidth="1" bestFit="1"/>
    <col min="39" max="39" style="43" width="5.719285714285714" customWidth="1" bestFit="1"/>
    <col min="40" max="40" style="43" width="5.719285714285714" customWidth="1" bestFit="1"/>
    <col min="41" max="41" style="43" width="5.719285714285714" customWidth="1" bestFit="1"/>
    <col min="42" max="42" style="43" width="5.719285714285714" customWidth="1" bestFit="1"/>
    <col min="43" max="43" style="43" width="5.719285714285714" customWidth="1" bestFit="1"/>
    <col min="44" max="44" style="43" width="5.719285714285714" customWidth="1" bestFit="1"/>
    <col min="45" max="45" style="44" width="5.719285714285714" customWidth="1" bestFit="1"/>
    <col min="46" max="46" style="44" width="5.719285714285714" customWidth="1" bestFit="1"/>
    <col min="47" max="47" style="44" width="5.719285714285714" customWidth="1" bestFit="1"/>
    <col min="48" max="48" style="44" width="5.719285714285714" customWidth="1" bestFit="1"/>
    <col min="49" max="49" style="44" width="5.719285714285714" customWidth="1" bestFit="1"/>
    <col min="50" max="50" style="44" width="5.719285714285714" customWidth="1" bestFit="1"/>
    <col min="51" max="51" style="44" width="5.719285714285714" customWidth="1" bestFit="1"/>
    <col min="52" max="52" style="44" width="5.719285714285714" customWidth="1" bestFit="1"/>
    <col min="53" max="53" style="44" width="5.719285714285714" customWidth="1" bestFit="1"/>
    <col min="54" max="54" style="43" width="5.719285714285714" customWidth="1" bestFit="1"/>
    <col min="55" max="55" style="44" width="5.719285714285714" customWidth="1" bestFit="1"/>
    <col min="56" max="56" style="44" width="5.719285714285714" customWidth="1" bestFit="1"/>
    <col min="57" max="57" style="44" width="5.719285714285714" customWidth="1" bestFit="1"/>
    <col min="58" max="58" style="44" width="5.719285714285714" customWidth="1" bestFit="1"/>
    <col min="59" max="59" style="44" width="5.719285714285714" customWidth="1" bestFit="1"/>
    <col min="60" max="60" style="44" width="5.719285714285714" customWidth="1" bestFit="1"/>
    <col min="61" max="61" style="43" width="5.719285714285714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136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  <c r="AI1" s="3"/>
      <c r="AJ1" s="2"/>
      <c r="AK1" s="2"/>
      <c r="AL1" s="2"/>
      <c r="AM1" s="2"/>
      <c r="AN1" s="2"/>
      <c r="AO1" s="2"/>
      <c r="AP1" s="2"/>
      <c r="AQ1" s="2"/>
      <c r="AR1" s="2"/>
      <c r="AS1" s="3"/>
      <c r="AT1" s="3"/>
      <c r="AU1" s="3"/>
      <c r="AV1" s="3"/>
      <c r="AW1" s="3"/>
      <c r="AX1" s="3"/>
      <c r="AY1" s="3"/>
      <c r="AZ1" s="3"/>
      <c r="BA1" s="3"/>
      <c r="BB1" s="2"/>
      <c r="BC1" s="3"/>
      <c r="BD1" s="3"/>
      <c r="BE1" s="3"/>
      <c r="BF1" s="3"/>
      <c r="BG1" s="3"/>
      <c r="BH1" s="3"/>
      <c r="BI1" s="2"/>
    </row>
    <row x14ac:dyDescent="0.25" r="2" customHeight="1" ht="18.7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  <c r="AI2" s="3"/>
      <c r="AJ2" s="2"/>
      <c r="AK2" s="2"/>
      <c r="AL2" s="2"/>
      <c r="AM2" s="2"/>
      <c r="AN2" s="2"/>
      <c r="AO2" s="2"/>
      <c r="AP2" s="2"/>
      <c r="AQ2" s="2"/>
      <c r="AR2" s="2"/>
      <c r="AS2" s="3"/>
      <c r="AT2" s="3"/>
      <c r="AU2" s="3"/>
      <c r="AV2" s="3"/>
      <c r="AW2" s="3"/>
      <c r="AX2" s="3"/>
      <c r="AY2" s="3"/>
      <c r="AZ2" s="3"/>
      <c r="BA2" s="3"/>
      <c r="BB2" s="2"/>
      <c r="BC2" s="3"/>
      <c r="BD2" s="3"/>
      <c r="BE2" s="3"/>
      <c r="BF2" s="3"/>
      <c r="BG2" s="3"/>
      <c r="BH2" s="3"/>
      <c r="BI2" s="2"/>
    </row>
    <row x14ac:dyDescent="0.25" r="3" customHeight="1" ht="18.75">
      <c r="A3" s="1" t="s">
        <v>2</v>
      </c>
      <c r="B3" s="5">
        <v>77</v>
      </c>
      <c r="C3" s="7"/>
      <c r="D3" s="7"/>
      <c r="E3" s="45"/>
      <c r="F3" s="45" t="s">
        <v>3</v>
      </c>
      <c r="G3" s="45"/>
      <c r="H3" s="45"/>
      <c r="I3" s="45"/>
      <c r="J3" s="45"/>
      <c r="K3" s="45"/>
      <c r="L3" s="45"/>
      <c r="M3" s="45"/>
      <c r="N3" s="45"/>
      <c r="O3" s="45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3"/>
      <c r="AT3" s="3"/>
      <c r="AU3" s="3"/>
      <c r="AV3" s="3"/>
      <c r="AW3" s="3"/>
      <c r="AX3" s="3"/>
      <c r="AY3" s="3"/>
      <c r="AZ3" s="3"/>
      <c r="BA3" s="3"/>
      <c r="BB3" s="2"/>
      <c r="BC3" s="3"/>
      <c r="BD3" s="3"/>
      <c r="BE3" s="3"/>
      <c r="BF3" s="3"/>
      <c r="BG3" s="3"/>
      <c r="BH3" s="3"/>
      <c r="BI3" s="2"/>
    </row>
    <row x14ac:dyDescent="0.25" r="4" customHeight="1" ht="18.75">
      <c r="A4" s="1" t="s">
        <v>4</v>
      </c>
      <c r="B4" s="7" t="s">
        <v>629</v>
      </c>
      <c r="C4" s="7"/>
      <c r="D4" s="7"/>
      <c r="E4" s="2"/>
      <c r="F4" s="180" t="s">
        <v>644</v>
      </c>
      <c r="G4" s="181"/>
      <c r="H4" s="181"/>
      <c r="I4" s="181"/>
      <c r="J4" s="181"/>
      <c r="K4" s="181"/>
      <c r="L4" s="181"/>
      <c r="M4" s="181"/>
      <c r="N4" s="181"/>
      <c r="O4" s="181"/>
      <c r="P4" s="18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3"/>
      <c r="AT4" s="3"/>
      <c r="AU4" s="3"/>
      <c r="AV4" s="3"/>
      <c r="AW4" s="3"/>
      <c r="AX4" s="3"/>
      <c r="AY4" s="3"/>
      <c r="AZ4" s="3"/>
      <c r="BA4" s="3"/>
      <c r="BB4" s="2"/>
      <c r="BC4" s="3"/>
      <c r="BD4" s="3"/>
      <c r="BE4" s="3"/>
      <c r="BF4" s="3"/>
      <c r="BG4" s="3"/>
      <c r="BH4" s="3"/>
      <c r="BI4" s="2"/>
    </row>
    <row x14ac:dyDescent="0.25" r="5" customHeight="1" ht="18.75">
      <c r="A5" s="1" t="s">
        <v>7</v>
      </c>
      <c r="B5" s="7" t="s">
        <v>570</v>
      </c>
      <c r="C5" s="7"/>
      <c r="D5" s="7"/>
      <c r="E5" s="2"/>
      <c r="F5" s="183"/>
      <c r="G5" s="184"/>
      <c r="H5" s="184"/>
      <c r="I5" s="184"/>
      <c r="J5" s="184"/>
      <c r="K5" s="184"/>
      <c r="L5" s="184"/>
      <c r="M5" s="184"/>
      <c r="N5" s="184"/>
      <c r="O5" s="184"/>
      <c r="P5" s="185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3"/>
      <c r="AT5" s="3"/>
      <c r="AU5" s="3"/>
      <c r="AV5" s="3"/>
      <c r="AW5" s="3"/>
      <c r="AX5" s="3"/>
      <c r="AY5" s="3"/>
      <c r="AZ5" s="3"/>
      <c r="BA5" s="3"/>
      <c r="BB5" s="2"/>
      <c r="BC5" s="3"/>
      <c r="BD5" s="3"/>
      <c r="BE5" s="3"/>
      <c r="BF5" s="3"/>
      <c r="BG5" s="3"/>
      <c r="BH5" s="3"/>
      <c r="BI5" s="2"/>
    </row>
    <row x14ac:dyDescent="0.25" r="6" customHeight="1" ht="18.7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3"/>
      <c r="AT6" s="3"/>
      <c r="AU6" s="3"/>
      <c r="AV6" s="3"/>
      <c r="AW6" s="3"/>
      <c r="AX6" s="3"/>
      <c r="AY6" s="3"/>
      <c r="AZ6" s="3"/>
      <c r="BA6" s="3"/>
      <c r="BB6" s="2"/>
      <c r="BC6" s="3"/>
      <c r="BD6" s="3"/>
      <c r="BE6" s="3"/>
      <c r="BF6" s="3"/>
      <c r="BG6" s="3"/>
      <c r="BH6" s="3"/>
      <c r="BI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2" t="s">
        <v>41</v>
      </c>
      <c r="AH7" s="56" t="s">
        <v>42</v>
      </c>
      <c r="AI7" s="3"/>
      <c r="AJ7" s="49" t="s">
        <v>11</v>
      </c>
      <c r="AK7" s="49" t="s">
        <v>12</v>
      </c>
      <c r="AL7" s="101" t="s">
        <v>19</v>
      </c>
      <c r="AM7" s="101" t="s">
        <v>20</v>
      </c>
      <c r="AN7" s="101" t="s">
        <v>21</v>
      </c>
      <c r="AO7" s="131" t="s">
        <v>22</v>
      </c>
      <c r="AP7" s="131" t="s">
        <v>23</v>
      </c>
      <c r="AQ7" s="102" t="s">
        <v>24</v>
      </c>
      <c r="AR7" s="102" t="s">
        <v>25</v>
      </c>
      <c r="AS7" s="73" t="s">
        <v>26</v>
      </c>
      <c r="AT7" s="75" t="s">
        <v>27</v>
      </c>
      <c r="AU7" s="76" t="s">
        <v>28</v>
      </c>
      <c r="AV7" s="76" t="s">
        <v>29</v>
      </c>
      <c r="AW7" s="77" t="s">
        <v>30</v>
      </c>
      <c r="AX7" s="77" t="s">
        <v>31</v>
      </c>
      <c r="AY7" s="78" t="s">
        <v>32</v>
      </c>
      <c r="AZ7" s="78" t="s">
        <v>33</v>
      </c>
      <c r="BA7" s="105" t="s">
        <v>34</v>
      </c>
      <c r="BB7" s="55" t="s">
        <v>35</v>
      </c>
      <c r="BC7" s="108" t="s">
        <v>36</v>
      </c>
      <c r="BD7" s="108" t="s">
        <v>37</v>
      </c>
      <c r="BE7" s="108" t="s">
        <v>38</v>
      </c>
      <c r="BF7" s="134" t="s">
        <v>39</v>
      </c>
      <c r="BG7" s="110" t="s">
        <v>40</v>
      </c>
      <c r="BH7" s="3"/>
      <c r="BI7" s="56" t="s">
        <v>42</v>
      </c>
    </row>
    <row x14ac:dyDescent="0.25" r="8" customHeight="1" ht="15.75">
      <c r="A8" s="30" t="s">
        <v>43</v>
      </c>
      <c r="B8" s="31" t="s">
        <v>141</v>
      </c>
      <c r="C8" s="114" t="s">
        <v>411</v>
      </c>
      <c r="D8" s="31" t="s">
        <v>411</v>
      </c>
      <c r="E8" s="31" t="s">
        <v>411</v>
      </c>
      <c r="F8" s="31" t="s">
        <v>411</v>
      </c>
      <c r="G8" s="31" t="s">
        <v>411</v>
      </c>
      <c r="H8" s="31" t="s">
        <v>411</v>
      </c>
      <c r="I8" s="31" t="s">
        <v>411</v>
      </c>
      <c r="J8" s="33" t="s">
        <v>411</v>
      </c>
      <c r="K8" s="31" t="s">
        <v>631</v>
      </c>
      <c r="L8" s="31" t="s">
        <v>631</v>
      </c>
      <c r="M8" s="31" t="s">
        <v>631</v>
      </c>
      <c r="N8" s="31" t="s">
        <v>207</v>
      </c>
      <c r="O8" s="31" t="s">
        <v>207</v>
      </c>
      <c r="P8" s="31" t="s">
        <v>207</v>
      </c>
      <c r="Q8" s="31" t="s">
        <v>207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645</v>
      </c>
      <c r="AB8" s="32"/>
      <c r="AC8" s="32"/>
      <c r="AD8" s="32"/>
      <c r="AE8" s="32"/>
      <c r="AF8" s="32"/>
      <c r="AG8" s="31" t="s">
        <v>286</v>
      </c>
      <c r="AH8" s="31" t="s">
        <v>329</v>
      </c>
      <c r="AI8" s="3"/>
      <c r="AJ8" s="31" t="s">
        <v>632</v>
      </c>
      <c r="AK8" s="31" t="s">
        <v>632</v>
      </c>
      <c r="AL8" s="31" t="s">
        <v>206</v>
      </c>
      <c r="AM8" s="31" t="s">
        <v>206</v>
      </c>
      <c r="AN8" s="31" t="s">
        <v>206</v>
      </c>
      <c r="AO8" s="31" t="s">
        <v>206</v>
      </c>
      <c r="AP8" s="31" t="s">
        <v>206</v>
      </c>
      <c r="AQ8" s="31" t="s">
        <v>206</v>
      </c>
      <c r="AR8" s="31" t="s">
        <v>206</v>
      </c>
      <c r="AS8" s="32"/>
      <c r="AT8" s="32"/>
      <c r="AU8" s="32"/>
      <c r="AV8" s="32"/>
      <c r="AW8" s="32"/>
      <c r="AX8" s="32"/>
      <c r="AY8" s="32"/>
      <c r="AZ8" s="32"/>
      <c r="BA8" s="32"/>
      <c r="BB8" s="31" t="s">
        <v>510</v>
      </c>
      <c r="BC8" s="32"/>
      <c r="BD8" s="32"/>
      <c r="BE8" s="32"/>
      <c r="BF8" s="32"/>
      <c r="BG8" s="32"/>
      <c r="BH8" s="3"/>
      <c r="BI8" s="31" t="s">
        <v>571</v>
      </c>
    </row>
    <row x14ac:dyDescent="0.25" r="9" customHeight="1" ht="15.75">
      <c r="A9" s="30" t="s">
        <v>45</v>
      </c>
      <c r="B9" s="33" t="s">
        <v>142</v>
      </c>
      <c r="C9" s="31" t="s">
        <v>633</v>
      </c>
      <c r="D9" s="33" t="s">
        <v>411</v>
      </c>
      <c r="E9" s="31" t="s">
        <v>289</v>
      </c>
      <c r="F9" s="31" t="s">
        <v>290</v>
      </c>
      <c r="G9" s="31" t="s">
        <v>290</v>
      </c>
      <c r="H9" s="31" t="s">
        <v>211</v>
      </c>
      <c r="I9" s="31" t="s">
        <v>207</v>
      </c>
      <c r="J9" s="31" t="s">
        <v>290</v>
      </c>
      <c r="K9" s="31" t="s">
        <v>634</v>
      </c>
      <c r="L9" s="31" t="s">
        <v>634</v>
      </c>
      <c r="M9" s="31" t="s">
        <v>634</v>
      </c>
      <c r="N9" s="31" t="s">
        <v>408</v>
      </c>
      <c r="O9" s="31" t="s">
        <v>408</v>
      </c>
      <c r="P9" s="33" t="s">
        <v>409</v>
      </c>
      <c r="Q9" s="33" t="s">
        <v>409</v>
      </c>
      <c r="R9" s="34"/>
      <c r="S9" s="34"/>
      <c r="T9" s="34"/>
      <c r="U9" s="34"/>
      <c r="V9" s="34"/>
      <c r="W9" s="34"/>
      <c r="X9" s="34"/>
      <c r="Y9" s="34"/>
      <c r="Z9" s="34"/>
      <c r="AA9" s="186" t="s">
        <v>646</v>
      </c>
      <c r="AB9" s="34"/>
      <c r="AC9" s="34"/>
      <c r="AD9" s="34"/>
      <c r="AE9" s="34"/>
      <c r="AF9" s="34"/>
      <c r="AG9" s="31" t="s">
        <v>293</v>
      </c>
      <c r="AH9" s="31" t="s">
        <v>293</v>
      </c>
      <c r="AI9" s="3"/>
      <c r="AJ9" s="31" t="s">
        <v>288</v>
      </c>
      <c r="AK9" s="31" t="s">
        <v>207</v>
      </c>
      <c r="AL9" s="31" t="s">
        <v>210</v>
      </c>
      <c r="AM9" s="31" t="s">
        <v>210</v>
      </c>
      <c r="AN9" s="31" t="s">
        <v>210</v>
      </c>
      <c r="AO9" s="31" t="s">
        <v>210</v>
      </c>
      <c r="AP9" s="31" t="s">
        <v>210</v>
      </c>
      <c r="AQ9" s="31" t="s">
        <v>212</v>
      </c>
      <c r="AR9" s="31" t="s">
        <v>212</v>
      </c>
      <c r="AS9" s="34"/>
      <c r="AT9" s="34"/>
      <c r="AU9" s="34"/>
      <c r="AV9" s="34"/>
      <c r="AW9" s="34"/>
      <c r="AX9" s="34"/>
      <c r="AY9" s="34"/>
      <c r="AZ9" s="34"/>
      <c r="BA9" s="34"/>
      <c r="BB9" s="31" t="s">
        <v>567</v>
      </c>
      <c r="BC9" s="34"/>
      <c r="BD9" s="34"/>
      <c r="BE9" s="34"/>
      <c r="BF9" s="34"/>
      <c r="BG9" s="34"/>
      <c r="BH9" s="3"/>
      <c r="BI9" s="31" t="s">
        <v>294</v>
      </c>
    </row>
    <row x14ac:dyDescent="0.25" r="10" customHeight="1" ht="18.75">
      <c r="A10" s="35" t="s">
        <v>47</v>
      </c>
      <c r="B10" s="117">
        <v>5</v>
      </c>
      <c r="C10" s="117">
        <v>121</v>
      </c>
      <c r="D10" s="117">
        <v>51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17">
        <v>257</v>
      </c>
      <c r="L10" s="117">
        <v>257</v>
      </c>
      <c r="M10" s="117">
        <v>257</v>
      </c>
      <c r="N10" s="117">
        <v>53</v>
      </c>
      <c r="O10" s="117">
        <v>53</v>
      </c>
      <c r="P10" s="117">
        <v>49</v>
      </c>
      <c r="Q10" s="117">
        <v>49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258</v>
      </c>
      <c r="AB10" s="37"/>
      <c r="AC10" s="37"/>
      <c r="AD10" s="37"/>
      <c r="AE10" s="37"/>
      <c r="AF10" s="37"/>
      <c r="AG10" s="117">
        <v>26</v>
      </c>
      <c r="AH10" s="117">
        <v>26</v>
      </c>
      <c r="AI10" s="3"/>
      <c r="AJ10" s="117">
        <v>120</v>
      </c>
      <c r="AK10" s="117">
        <v>50</v>
      </c>
      <c r="AL10" s="117">
        <v>52</v>
      </c>
      <c r="AM10" s="117">
        <v>52</v>
      </c>
      <c r="AN10" s="117">
        <v>52</v>
      </c>
      <c r="AO10" s="117">
        <v>52</v>
      </c>
      <c r="AP10" s="117">
        <v>52</v>
      </c>
      <c r="AQ10" s="117">
        <v>48</v>
      </c>
      <c r="AR10" s="117">
        <v>48</v>
      </c>
      <c r="AS10" s="37"/>
      <c r="AT10" s="37"/>
      <c r="AU10" s="37"/>
      <c r="AV10" s="37"/>
      <c r="AW10" s="37"/>
      <c r="AX10" s="37"/>
      <c r="AY10" s="37"/>
      <c r="AZ10" s="37"/>
      <c r="BA10" s="37"/>
      <c r="BB10" s="117">
        <v>180</v>
      </c>
      <c r="BC10" s="37"/>
      <c r="BD10" s="37"/>
      <c r="BE10" s="37"/>
      <c r="BF10" s="37"/>
      <c r="BG10" s="37"/>
      <c r="BH10" s="3"/>
      <c r="BI10" s="117">
        <v>35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3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3" t="s">
        <v>635</v>
      </c>
      <c r="L11" s="33" t="s">
        <v>635</v>
      </c>
      <c r="M11" s="33" t="s">
        <v>635</v>
      </c>
      <c r="N11" s="31" t="s">
        <v>52</v>
      </c>
      <c r="O11" s="31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1" t="s">
        <v>52</v>
      </c>
      <c r="AH11" s="31" t="s">
        <v>52</v>
      </c>
      <c r="AI11" s="3"/>
      <c r="AJ11" s="31" t="s">
        <v>52</v>
      </c>
      <c r="AK11" s="33" t="s">
        <v>52</v>
      </c>
      <c r="AL11" s="31" t="s">
        <v>52</v>
      </c>
      <c r="AM11" s="31" t="s">
        <v>52</v>
      </c>
      <c r="AN11" s="31" t="s">
        <v>52</v>
      </c>
      <c r="AO11" s="31" t="s">
        <v>52</v>
      </c>
      <c r="AP11" s="31" t="s">
        <v>52</v>
      </c>
      <c r="AQ11" s="31" t="s">
        <v>52</v>
      </c>
      <c r="AR11" s="31" t="s">
        <v>52</v>
      </c>
      <c r="AS11" s="32"/>
      <c r="AT11" s="32"/>
      <c r="AU11" s="32"/>
      <c r="AV11" s="32"/>
      <c r="AW11" s="32"/>
      <c r="AX11" s="32"/>
      <c r="AY11" s="32"/>
      <c r="AZ11" s="32"/>
      <c r="BA11" s="32"/>
      <c r="BB11" s="31" t="s">
        <v>52</v>
      </c>
      <c r="BC11" s="32"/>
      <c r="BD11" s="34"/>
      <c r="BE11" s="32"/>
      <c r="BF11" s="34"/>
      <c r="BG11" s="32"/>
      <c r="BH11" s="3"/>
      <c r="BI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3" t="s">
        <v>52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3" t="s">
        <v>635</v>
      </c>
      <c r="L12" s="33" t="s">
        <v>635</v>
      </c>
      <c r="M12" s="33" t="s">
        <v>635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647</v>
      </c>
      <c r="AB12" s="32"/>
      <c r="AC12" s="32"/>
      <c r="AD12" s="32"/>
      <c r="AE12" s="32"/>
      <c r="AF12" s="32"/>
      <c r="AG12" s="31" t="s">
        <v>49</v>
      </c>
      <c r="AH12" s="31" t="s">
        <v>49</v>
      </c>
      <c r="AI12" s="3"/>
      <c r="AJ12" s="31" t="s">
        <v>49</v>
      </c>
      <c r="AK12" s="31" t="s">
        <v>49</v>
      </c>
      <c r="AL12" s="31" t="s">
        <v>49</v>
      </c>
      <c r="AM12" s="31" t="s">
        <v>49</v>
      </c>
      <c r="AN12" s="31" t="s">
        <v>49</v>
      </c>
      <c r="AO12" s="31" t="s">
        <v>49</v>
      </c>
      <c r="AP12" s="31" t="s">
        <v>49</v>
      </c>
      <c r="AQ12" s="31" t="s">
        <v>49</v>
      </c>
      <c r="AR12" s="31" t="s">
        <v>49</v>
      </c>
      <c r="AS12" s="32"/>
      <c r="AT12" s="32"/>
      <c r="AU12" s="32"/>
      <c r="AV12" s="32"/>
      <c r="AW12" s="32"/>
      <c r="AX12" s="32"/>
      <c r="AY12" s="32"/>
      <c r="AZ12" s="32"/>
      <c r="BA12" s="32"/>
      <c r="BB12" s="31" t="s">
        <v>49</v>
      </c>
      <c r="BC12" s="32"/>
      <c r="BD12" s="32"/>
      <c r="BE12" s="32"/>
      <c r="BF12" s="32"/>
      <c r="BG12" s="32"/>
      <c r="BH12" s="3"/>
      <c r="BI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33" t="s">
        <v>635</v>
      </c>
      <c r="L13" s="33" t="s">
        <v>635</v>
      </c>
      <c r="M13" s="33" t="s">
        <v>635</v>
      </c>
      <c r="N13" s="31" t="s">
        <v>52</v>
      </c>
      <c r="O13" s="31" t="s">
        <v>52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1" t="s">
        <v>52</v>
      </c>
      <c r="AH13" s="31" t="s">
        <v>52</v>
      </c>
      <c r="AI13" s="3"/>
      <c r="AJ13" s="31" t="s">
        <v>52</v>
      </c>
      <c r="AK13" s="31" t="s">
        <v>52</v>
      </c>
      <c r="AL13" s="31" t="s">
        <v>52</v>
      </c>
      <c r="AM13" s="31" t="s">
        <v>52</v>
      </c>
      <c r="AN13" s="31" t="s">
        <v>52</v>
      </c>
      <c r="AO13" s="31" t="s">
        <v>52</v>
      </c>
      <c r="AP13" s="31" t="s">
        <v>52</v>
      </c>
      <c r="AQ13" s="31" t="s">
        <v>52</v>
      </c>
      <c r="AR13" s="31" t="s">
        <v>52</v>
      </c>
      <c r="AS13" s="32"/>
      <c r="AT13" s="32"/>
      <c r="AU13" s="32"/>
      <c r="AV13" s="32"/>
      <c r="AW13" s="32"/>
      <c r="AX13" s="32"/>
      <c r="AY13" s="32"/>
      <c r="AZ13" s="32"/>
      <c r="BA13" s="32"/>
      <c r="BB13" s="31" t="s">
        <v>52</v>
      </c>
      <c r="BC13" s="32"/>
      <c r="BD13" s="32"/>
      <c r="BE13" s="32"/>
      <c r="BF13" s="32"/>
      <c r="BG13" s="32"/>
      <c r="BH13" s="3"/>
      <c r="BI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  <c r="AR14" s="31" t="s">
        <v>49</v>
      </c>
      <c r="AS14" s="32"/>
      <c r="AT14" s="32"/>
      <c r="AU14" s="32"/>
      <c r="AV14" s="32"/>
      <c r="AW14" s="32"/>
      <c r="AX14" s="32"/>
      <c r="AY14" s="32"/>
      <c r="AZ14" s="32"/>
      <c r="BA14" s="32"/>
      <c r="BB14" s="31" t="s">
        <v>49</v>
      </c>
      <c r="BC14" s="32"/>
      <c r="BD14" s="32"/>
      <c r="BE14" s="32"/>
      <c r="BF14" s="32"/>
      <c r="BG14" s="32"/>
      <c r="BH14" s="3"/>
      <c r="BI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648</v>
      </c>
      <c r="AB15" s="32"/>
      <c r="AC15" s="32"/>
      <c r="AD15" s="32"/>
      <c r="AE15" s="32"/>
      <c r="AF15" s="32"/>
      <c r="AG15" s="31" t="s">
        <v>143</v>
      </c>
      <c r="AH15" s="31" t="s">
        <v>143</v>
      </c>
      <c r="AI15" s="3"/>
      <c r="AJ15" s="31" t="s">
        <v>143</v>
      </c>
      <c r="AK15" s="31" t="s">
        <v>143</v>
      </c>
      <c r="AL15" s="31" t="s">
        <v>143</v>
      </c>
      <c r="AM15" s="31" t="s">
        <v>143</v>
      </c>
      <c r="AN15" s="31" t="s">
        <v>143</v>
      </c>
      <c r="AO15" s="31" t="s">
        <v>143</v>
      </c>
      <c r="AP15" s="31" t="s">
        <v>143</v>
      </c>
      <c r="AQ15" s="31" t="s">
        <v>143</v>
      </c>
      <c r="AR15" s="31" t="s">
        <v>143</v>
      </c>
      <c r="AS15" s="32"/>
      <c r="AT15" s="32"/>
      <c r="AU15" s="32"/>
      <c r="AV15" s="32"/>
      <c r="AW15" s="32"/>
      <c r="AX15" s="32"/>
      <c r="AY15" s="32"/>
      <c r="AZ15" s="32"/>
      <c r="BA15" s="32"/>
      <c r="BB15" s="31" t="s">
        <v>143</v>
      </c>
      <c r="BC15" s="32"/>
      <c r="BD15" s="32"/>
      <c r="BE15" s="32"/>
      <c r="BF15" s="32"/>
      <c r="BG15" s="32"/>
      <c r="BH15" s="3"/>
      <c r="BI15" s="31" t="s">
        <v>133</v>
      </c>
    </row>
    <row x14ac:dyDescent="0.25" r="16" customHeight="1" ht="18.75">
      <c r="A16" s="30" t="s">
        <v>128</v>
      </c>
      <c r="B16" s="31">
        <f>5/3</f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AVERAGE(1,1,-0.5)</f>
      </c>
      <c r="AB16" s="31"/>
      <c r="AC16" s="31"/>
      <c r="AD16" s="31"/>
      <c r="AE16" s="31"/>
      <c r="AF16" s="31"/>
      <c r="AG16" s="31">
        <f>4/3</f>
      </c>
      <c r="AH16" s="31">
        <f>4/3</f>
      </c>
      <c r="AI16" s="3"/>
      <c r="AJ16" s="31">
        <f>13/12</f>
      </c>
      <c r="AK16" s="31">
        <v>1</v>
      </c>
      <c r="AL16" s="31">
        <v>0.5</v>
      </c>
      <c r="AM16" s="31">
        <v>0.5</v>
      </c>
      <c r="AN16" s="31">
        <v>0.5</v>
      </c>
      <c r="AO16" s="31">
        <v>0.5</v>
      </c>
      <c r="AP16" s="31">
        <v>0.5</v>
      </c>
      <c r="AQ16" s="31">
        <f>4/3</f>
      </c>
      <c r="AR16" s="31">
        <f>4/3</f>
      </c>
      <c r="AS16" s="31"/>
      <c r="AT16" s="31"/>
      <c r="AU16" s="31"/>
      <c r="AV16" s="31"/>
      <c r="AW16" s="31"/>
      <c r="AX16" s="31"/>
      <c r="AY16" s="31"/>
      <c r="AZ16" s="31"/>
      <c r="BA16" s="31"/>
      <c r="BB16" s="31">
        <v>1</v>
      </c>
      <c r="BC16" s="31"/>
      <c r="BD16" s="31"/>
      <c r="BE16" s="31"/>
      <c r="BF16" s="31"/>
      <c r="BG16" s="31"/>
      <c r="BH16" s="3"/>
      <c r="BI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636</v>
      </c>
      <c r="L17" s="31" t="s">
        <v>636</v>
      </c>
      <c r="M17" s="31" t="s">
        <v>636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118" t="s">
        <v>649</v>
      </c>
      <c r="AB17" s="32"/>
      <c r="AC17" s="32"/>
      <c r="AD17" s="32"/>
      <c r="AE17" s="32"/>
      <c r="AF17" s="32"/>
      <c r="AG17" s="31" t="s">
        <v>274</v>
      </c>
      <c r="AH17" s="31" t="s">
        <v>274</v>
      </c>
      <c r="AI17" s="3"/>
      <c r="AJ17" s="31" t="s">
        <v>169</v>
      </c>
      <c r="AK17" s="31" t="s">
        <v>169</v>
      </c>
      <c r="AL17" s="31" t="s">
        <v>169</v>
      </c>
      <c r="AM17" s="31" t="s">
        <v>169</v>
      </c>
      <c r="AN17" s="31" t="s">
        <v>169</v>
      </c>
      <c r="AO17" s="31" t="s">
        <v>169</v>
      </c>
      <c r="AP17" s="31" t="s">
        <v>169</v>
      </c>
      <c r="AQ17" s="31" t="s">
        <v>169</v>
      </c>
      <c r="AR17" s="31" t="s">
        <v>169</v>
      </c>
      <c r="AS17" s="32"/>
      <c r="AT17" s="32"/>
      <c r="AU17" s="32"/>
      <c r="AV17" s="32"/>
      <c r="AW17" s="32"/>
      <c r="AX17" s="32"/>
      <c r="AY17" s="32"/>
      <c r="AZ17" s="32"/>
      <c r="BA17" s="32"/>
      <c r="BB17" s="31" t="s">
        <v>275</v>
      </c>
      <c r="BC17" s="32"/>
      <c r="BD17" s="32"/>
      <c r="BE17" s="32"/>
      <c r="BF17" s="32"/>
      <c r="BG17" s="32"/>
      <c r="BH17" s="3"/>
      <c r="BI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f>AVERAGE(0,0,2)</f>
      </c>
      <c r="L18" s="31">
        <f>AVERAGE(0,0,2)</f>
      </c>
      <c r="M18" s="31">
        <f>AVERAGE(0,0,2)</f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f>AVERAGE(3.75,3.75,2)</f>
      </c>
      <c r="AB18" s="31"/>
      <c r="AC18" s="31"/>
      <c r="AD18" s="31"/>
      <c r="AE18" s="31"/>
      <c r="AF18" s="31"/>
      <c r="AG18" s="31">
        <v>3</v>
      </c>
      <c r="AH18" s="31">
        <v>3</v>
      </c>
      <c r="AI18" s="3"/>
      <c r="AJ18" s="31">
        <v>2</v>
      </c>
      <c r="AK18" s="31">
        <v>2</v>
      </c>
      <c r="AL18" s="31">
        <v>2</v>
      </c>
      <c r="AM18" s="31">
        <v>2</v>
      </c>
      <c r="AN18" s="31">
        <v>2</v>
      </c>
      <c r="AO18" s="31">
        <v>2</v>
      </c>
      <c r="AP18" s="31">
        <v>2</v>
      </c>
      <c r="AQ18" s="31">
        <v>2</v>
      </c>
      <c r="AR18" s="31">
        <v>2</v>
      </c>
      <c r="AS18" s="31"/>
      <c r="AT18" s="31"/>
      <c r="AU18" s="31"/>
      <c r="AV18" s="31"/>
      <c r="AW18" s="31"/>
      <c r="AX18" s="31"/>
      <c r="AY18" s="31"/>
      <c r="AZ18" s="31"/>
      <c r="BA18" s="31"/>
      <c r="BB18" s="31">
        <v>3.75</v>
      </c>
      <c r="BC18" s="31"/>
      <c r="BD18" s="31"/>
      <c r="BE18" s="31"/>
      <c r="BF18" s="31"/>
      <c r="BG18" s="31"/>
      <c r="BH18" s="3"/>
      <c r="BI18" s="31">
        <v>3</v>
      </c>
    </row>
    <row x14ac:dyDescent="0.25" r="19" customHeight="1" ht="18.7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  <c r="AI19" s="3"/>
      <c r="AJ19" s="2"/>
      <c r="AK19" s="2"/>
      <c r="AL19" s="2"/>
      <c r="AM19" s="2"/>
      <c r="AN19" s="2"/>
      <c r="AO19" s="2"/>
      <c r="AP19" s="2"/>
      <c r="AQ19" s="2"/>
      <c r="AR19" s="2"/>
      <c r="AS19" s="3"/>
      <c r="AT19" s="3"/>
      <c r="AU19" s="3"/>
      <c r="AV19" s="3"/>
      <c r="AW19" s="3"/>
      <c r="AX19" s="3"/>
      <c r="AY19" s="3"/>
      <c r="AZ19" s="3"/>
      <c r="BA19" s="3"/>
      <c r="BB19" s="2"/>
      <c r="BC19" s="3"/>
      <c r="BD19" s="3"/>
      <c r="BE19" s="3"/>
      <c r="BF19" s="3"/>
      <c r="BG19" s="3"/>
      <c r="BH19" s="3"/>
      <c r="BI19" s="2"/>
    </row>
    <row x14ac:dyDescent="0.25" r="20" customHeight="1" ht="18.75">
      <c r="A20" s="30" t="s">
        <v>43</v>
      </c>
      <c r="B20" s="139" t="s">
        <v>131</v>
      </c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32"/>
      <c r="AC20" s="32"/>
      <c r="AD20" s="32"/>
      <c r="AE20" s="32"/>
      <c r="AF20" s="32"/>
      <c r="AG20" s="143" t="s">
        <v>358</v>
      </c>
      <c r="AH20" s="143" t="s">
        <v>358</v>
      </c>
      <c r="AI20" s="3"/>
      <c r="AJ20" s="143" t="s">
        <v>358</v>
      </c>
      <c r="AK20" s="143" t="s">
        <v>358</v>
      </c>
      <c r="AL20" s="143" t="s">
        <v>358</v>
      </c>
      <c r="AM20" s="143" t="s">
        <v>358</v>
      </c>
      <c r="AN20" s="143" t="s">
        <v>358</v>
      </c>
      <c r="AO20" s="143" t="s">
        <v>358</v>
      </c>
      <c r="AP20" s="143" t="s">
        <v>358</v>
      </c>
      <c r="AQ20" s="143" t="s">
        <v>358</v>
      </c>
      <c r="AR20" s="143" t="s">
        <v>358</v>
      </c>
      <c r="AS20" s="32"/>
      <c r="AT20" s="32"/>
      <c r="AU20" s="32"/>
      <c r="AV20" s="32"/>
      <c r="AW20" s="32"/>
      <c r="AX20" s="32"/>
      <c r="AY20" s="32"/>
      <c r="AZ20" s="32"/>
      <c r="BA20" s="32"/>
      <c r="BB20" s="143" t="s">
        <v>358</v>
      </c>
      <c r="BC20" s="32"/>
      <c r="BD20" s="32"/>
      <c r="BE20" s="32"/>
      <c r="BF20" s="32"/>
      <c r="BG20" s="32"/>
      <c r="BH20" s="3"/>
      <c r="BI20" s="143" t="s">
        <v>358</v>
      </c>
    </row>
    <row x14ac:dyDescent="0.25" r="21" customHeight="1" ht="18.75">
      <c r="A21" s="30" t="s">
        <v>45</v>
      </c>
      <c r="B21" s="31" t="s">
        <v>132</v>
      </c>
      <c r="C21" s="143" t="s">
        <v>358</v>
      </c>
      <c r="D21" s="143" t="s">
        <v>358</v>
      </c>
      <c r="E21" s="143" t="s">
        <v>358</v>
      </c>
      <c r="F21" s="143" t="s">
        <v>358</v>
      </c>
      <c r="G21" s="143" t="s">
        <v>358</v>
      </c>
      <c r="H21" s="143" t="s">
        <v>358</v>
      </c>
      <c r="I21" s="143" t="s">
        <v>358</v>
      </c>
      <c r="J21" s="143" t="s">
        <v>358</v>
      </c>
      <c r="K21" s="143" t="s">
        <v>358</v>
      </c>
      <c r="L21" s="143" t="s">
        <v>358</v>
      </c>
      <c r="M21" s="143" t="s">
        <v>358</v>
      </c>
      <c r="N21" s="143" t="s">
        <v>358</v>
      </c>
      <c r="O21" s="143" t="s">
        <v>358</v>
      </c>
      <c r="P21" s="143" t="s">
        <v>358</v>
      </c>
      <c r="Q21" s="143" t="s">
        <v>358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34"/>
      <c r="AC21" s="34"/>
      <c r="AD21" s="34"/>
      <c r="AE21" s="34"/>
      <c r="AF21" s="34"/>
      <c r="AG21" s="143" t="s">
        <v>358</v>
      </c>
      <c r="AH21" s="143" t="s">
        <v>358</v>
      </c>
      <c r="AI21" s="3"/>
      <c r="AJ21" s="143" t="s">
        <v>358</v>
      </c>
      <c r="AK21" s="143" t="s">
        <v>358</v>
      </c>
      <c r="AL21" s="143" t="s">
        <v>358</v>
      </c>
      <c r="AM21" s="143" t="s">
        <v>358</v>
      </c>
      <c r="AN21" s="143" t="s">
        <v>358</v>
      </c>
      <c r="AO21" s="143" t="s">
        <v>358</v>
      </c>
      <c r="AP21" s="143" t="s">
        <v>358</v>
      </c>
      <c r="AQ21" s="143" t="s">
        <v>358</v>
      </c>
      <c r="AR21" s="143" t="s">
        <v>358</v>
      </c>
      <c r="AS21" s="34"/>
      <c r="AT21" s="34"/>
      <c r="AU21" s="34"/>
      <c r="AV21" s="34"/>
      <c r="AW21" s="34"/>
      <c r="AX21" s="34"/>
      <c r="AY21" s="34"/>
      <c r="AZ21" s="34"/>
      <c r="BA21" s="34"/>
      <c r="BB21" s="143" t="s">
        <v>358</v>
      </c>
      <c r="BC21" s="34"/>
      <c r="BD21" s="34"/>
      <c r="BE21" s="34"/>
      <c r="BF21" s="34"/>
      <c r="BG21" s="34"/>
      <c r="BH21" s="3"/>
      <c r="BI21" s="143" t="s">
        <v>358</v>
      </c>
    </row>
    <row x14ac:dyDescent="0.25" r="22" customHeight="1" ht="18.75">
      <c r="A22" s="35" t="s">
        <v>47</v>
      </c>
      <c r="B22" s="117">
        <v>98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37"/>
      <c r="AC22" s="37"/>
      <c r="AD22" s="37"/>
      <c r="AE22" s="37"/>
      <c r="AF22" s="37"/>
      <c r="AG22" s="144"/>
      <c r="AH22" s="144"/>
      <c r="AI22" s="3"/>
      <c r="AJ22" s="144"/>
      <c r="AK22" s="144"/>
      <c r="AL22" s="144"/>
      <c r="AM22" s="144"/>
      <c r="AN22" s="144"/>
      <c r="AO22" s="144"/>
      <c r="AP22" s="144"/>
      <c r="AQ22" s="144"/>
      <c r="AR22" s="144"/>
      <c r="AS22" s="37"/>
      <c r="AT22" s="37"/>
      <c r="AU22" s="37"/>
      <c r="AV22" s="37"/>
      <c r="AW22" s="37"/>
      <c r="AX22" s="37"/>
      <c r="AY22" s="37"/>
      <c r="AZ22" s="37"/>
      <c r="BA22" s="37"/>
      <c r="BB22" s="144"/>
      <c r="BC22" s="37"/>
      <c r="BD22" s="37"/>
      <c r="BE22" s="37"/>
      <c r="BF22" s="37"/>
      <c r="BG22" s="37"/>
      <c r="BH22" s="3"/>
      <c r="BI22" s="144"/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32"/>
      <c r="AC23" s="34"/>
      <c r="AD23" s="32"/>
      <c r="AE23" s="34"/>
      <c r="AF23" s="32"/>
      <c r="AG23" s="143" t="s">
        <v>49</v>
      </c>
      <c r="AH23" s="143" t="s">
        <v>49</v>
      </c>
      <c r="AI23" s="3"/>
      <c r="AJ23" s="143" t="s">
        <v>49</v>
      </c>
      <c r="AK23" s="143" t="s">
        <v>49</v>
      </c>
      <c r="AL23" s="143" t="s">
        <v>49</v>
      </c>
      <c r="AM23" s="143" t="s">
        <v>49</v>
      </c>
      <c r="AN23" s="143" t="s">
        <v>49</v>
      </c>
      <c r="AO23" s="143" t="s">
        <v>49</v>
      </c>
      <c r="AP23" s="143" t="s">
        <v>49</v>
      </c>
      <c r="AQ23" s="143" t="s">
        <v>49</v>
      </c>
      <c r="AR23" s="143" t="s">
        <v>49</v>
      </c>
      <c r="AS23" s="32"/>
      <c r="AT23" s="32"/>
      <c r="AU23" s="32"/>
      <c r="AV23" s="32"/>
      <c r="AW23" s="32"/>
      <c r="AX23" s="32"/>
      <c r="AY23" s="32"/>
      <c r="AZ23" s="32"/>
      <c r="BA23" s="32"/>
      <c r="BB23" s="143" t="s">
        <v>49</v>
      </c>
      <c r="BC23" s="32"/>
      <c r="BD23" s="34"/>
      <c r="BE23" s="32"/>
      <c r="BF23" s="34"/>
      <c r="BG23" s="32"/>
      <c r="BH23" s="3"/>
      <c r="BI23" s="143" t="s">
        <v>49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32"/>
      <c r="AC24" s="32"/>
      <c r="AD24" s="32"/>
      <c r="AE24" s="32"/>
      <c r="AF24" s="32"/>
      <c r="AG24" s="143" t="s">
        <v>49</v>
      </c>
      <c r="AH24" s="143" t="s">
        <v>49</v>
      </c>
      <c r="AI24" s="3"/>
      <c r="AJ24" s="143" t="s">
        <v>49</v>
      </c>
      <c r="AK24" s="143" t="s">
        <v>49</v>
      </c>
      <c r="AL24" s="143" t="s">
        <v>49</v>
      </c>
      <c r="AM24" s="143" t="s">
        <v>49</v>
      </c>
      <c r="AN24" s="143" t="s">
        <v>49</v>
      </c>
      <c r="AO24" s="143" t="s">
        <v>49</v>
      </c>
      <c r="AP24" s="143" t="s">
        <v>49</v>
      </c>
      <c r="AQ24" s="143" t="s">
        <v>49</v>
      </c>
      <c r="AR24" s="143" t="s">
        <v>49</v>
      </c>
      <c r="AS24" s="32"/>
      <c r="AT24" s="32"/>
      <c r="AU24" s="32"/>
      <c r="AV24" s="32"/>
      <c r="AW24" s="32"/>
      <c r="AX24" s="32"/>
      <c r="AY24" s="32"/>
      <c r="AZ24" s="32"/>
      <c r="BA24" s="32"/>
      <c r="BB24" s="143" t="s">
        <v>49</v>
      </c>
      <c r="BC24" s="32"/>
      <c r="BD24" s="32"/>
      <c r="BE24" s="32"/>
      <c r="BF24" s="32"/>
      <c r="BG24" s="32"/>
      <c r="BH24" s="3"/>
      <c r="BI24" s="143" t="s">
        <v>49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32"/>
      <c r="AC25" s="32"/>
      <c r="AD25" s="32"/>
      <c r="AE25" s="32"/>
      <c r="AF25" s="32"/>
      <c r="AG25" s="143" t="s">
        <v>49</v>
      </c>
      <c r="AH25" s="143" t="s">
        <v>49</v>
      </c>
      <c r="AI25" s="3"/>
      <c r="AJ25" s="143" t="s">
        <v>49</v>
      </c>
      <c r="AK25" s="143" t="s">
        <v>49</v>
      </c>
      <c r="AL25" s="143" t="s">
        <v>49</v>
      </c>
      <c r="AM25" s="143" t="s">
        <v>49</v>
      </c>
      <c r="AN25" s="143" t="s">
        <v>49</v>
      </c>
      <c r="AO25" s="143" t="s">
        <v>49</v>
      </c>
      <c r="AP25" s="143" t="s">
        <v>49</v>
      </c>
      <c r="AQ25" s="143" t="s">
        <v>49</v>
      </c>
      <c r="AR25" s="143" t="s">
        <v>49</v>
      </c>
      <c r="AS25" s="32"/>
      <c r="AT25" s="32"/>
      <c r="AU25" s="32"/>
      <c r="AV25" s="32"/>
      <c r="AW25" s="32"/>
      <c r="AX25" s="32"/>
      <c r="AY25" s="32"/>
      <c r="AZ25" s="32"/>
      <c r="BA25" s="32"/>
      <c r="BB25" s="143" t="s">
        <v>49</v>
      </c>
      <c r="BC25" s="32"/>
      <c r="BD25" s="32"/>
      <c r="BE25" s="32"/>
      <c r="BF25" s="32"/>
      <c r="BG25" s="32"/>
      <c r="BH25" s="3"/>
      <c r="BI25" s="143" t="s">
        <v>49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32"/>
      <c r="AC26" s="32"/>
      <c r="AD26" s="32"/>
      <c r="AE26" s="32"/>
      <c r="AF26" s="32"/>
      <c r="AG26" s="143" t="s">
        <v>49</v>
      </c>
      <c r="AH26" s="143" t="s">
        <v>49</v>
      </c>
      <c r="AI26" s="3"/>
      <c r="AJ26" s="143" t="s">
        <v>49</v>
      </c>
      <c r="AK26" s="143" t="s">
        <v>49</v>
      </c>
      <c r="AL26" s="143" t="s">
        <v>49</v>
      </c>
      <c r="AM26" s="143" t="s">
        <v>49</v>
      </c>
      <c r="AN26" s="143" t="s">
        <v>49</v>
      </c>
      <c r="AO26" s="143" t="s">
        <v>49</v>
      </c>
      <c r="AP26" s="143" t="s">
        <v>49</v>
      </c>
      <c r="AQ26" s="143" t="s">
        <v>49</v>
      </c>
      <c r="AR26" s="143" t="s">
        <v>49</v>
      </c>
      <c r="AS26" s="32"/>
      <c r="AT26" s="32"/>
      <c r="AU26" s="32"/>
      <c r="AV26" s="32"/>
      <c r="AW26" s="32"/>
      <c r="AX26" s="32"/>
      <c r="AY26" s="32"/>
      <c r="AZ26" s="32"/>
      <c r="BA26" s="32"/>
      <c r="BB26" s="143" t="s">
        <v>49</v>
      </c>
      <c r="BC26" s="32"/>
      <c r="BD26" s="32"/>
      <c r="BE26" s="32"/>
      <c r="BF26" s="32"/>
      <c r="BG26" s="32"/>
      <c r="BH26" s="3"/>
      <c r="BI26" s="143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143" t="s">
        <v>133</v>
      </c>
      <c r="E27" s="143" t="s">
        <v>133</v>
      </c>
      <c r="F27" s="143" t="s">
        <v>133</v>
      </c>
      <c r="G27" s="143" t="s">
        <v>133</v>
      </c>
      <c r="H27" s="143" t="s">
        <v>133</v>
      </c>
      <c r="I27" s="143" t="s">
        <v>133</v>
      </c>
      <c r="J27" s="143" t="s">
        <v>133</v>
      </c>
      <c r="K27" s="143" t="s">
        <v>133</v>
      </c>
      <c r="L27" s="143" t="s">
        <v>133</v>
      </c>
      <c r="M27" s="143" t="s">
        <v>133</v>
      </c>
      <c r="N27" s="143" t="s">
        <v>133</v>
      </c>
      <c r="O27" s="143" t="s">
        <v>133</v>
      </c>
      <c r="P27" s="143" t="s">
        <v>133</v>
      </c>
      <c r="Q27" s="143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32"/>
      <c r="AC27" s="32"/>
      <c r="AD27" s="32"/>
      <c r="AE27" s="32"/>
      <c r="AF27" s="32"/>
      <c r="AG27" s="143" t="s">
        <v>133</v>
      </c>
      <c r="AH27" s="143" t="s">
        <v>133</v>
      </c>
      <c r="AI27" s="3"/>
      <c r="AJ27" s="143" t="s">
        <v>133</v>
      </c>
      <c r="AK27" s="143" t="s">
        <v>133</v>
      </c>
      <c r="AL27" s="143" t="s">
        <v>133</v>
      </c>
      <c r="AM27" s="143" t="s">
        <v>133</v>
      </c>
      <c r="AN27" s="143" t="s">
        <v>133</v>
      </c>
      <c r="AO27" s="143" t="s">
        <v>133</v>
      </c>
      <c r="AP27" s="143" t="s">
        <v>133</v>
      </c>
      <c r="AQ27" s="143" t="s">
        <v>133</v>
      </c>
      <c r="AR27" s="143" t="s">
        <v>133</v>
      </c>
      <c r="AS27" s="32"/>
      <c r="AT27" s="32"/>
      <c r="AU27" s="32"/>
      <c r="AV27" s="32"/>
      <c r="AW27" s="32"/>
      <c r="AX27" s="32"/>
      <c r="AY27" s="32"/>
      <c r="AZ27" s="32"/>
      <c r="BA27" s="32"/>
      <c r="BB27" s="143" t="s">
        <v>133</v>
      </c>
      <c r="BC27" s="32"/>
      <c r="BD27" s="32"/>
      <c r="BE27" s="32"/>
      <c r="BF27" s="32"/>
      <c r="BG27" s="32"/>
      <c r="BH27" s="3"/>
      <c r="BI27" s="143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143">
        <v>-2</v>
      </c>
      <c r="E28" s="143">
        <v>-2</v>
      </c>
      <c r="F28" s="143">
        <v>-2</v>
      </c>
      <c r="G28" s="143">
        <v>-2</v>
      </c>
      <c r="H28" s="143">
        <v>-2</v>
      </c>
      <c r="I28" s="143">
        <v>-2</v>
      </c>
      <c r="J28" s="143">
        <v>-2</v>
      </c>
      <c r="K28" s="143">
        <v>-2</v>
      </c>
      <c r="L28" s="143">
        <v>-2</v>
      </c>
      <c r="M28" s="143">
        <v>-2</v>
      </c>
      <c r="N28" s="143">
        <v>-2</v>
      </c>
      <c r="O28" s="143">
        <v>-2</v>
      </c>
      <c r="P28" s="143">
        <v>-2</v>
      </c>
      <c r="Q28" s="143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31"/>
      <c r="AD28" s="31"/>
      <c r="AE28" s="31"/>
      <c r="AF28" s="31"/>
      <c r="AG28" s="143">
        <v>-2</v>
      </c>
      <c r="AH28" s="143">
        <v>-2</v>
      </c>
      <c r="AI28" s="3"/>
      <c r="AJ28" s="143">
        <v>-2</v>
      </c>
      <c r="AK28" s="143">
        <v>-2</v>
      </c>
      <c r="AL28" s="143">
        <v>-2</v>
      </c>
      <c r="AM28" s="143">
        <v>-2</v>
      </c>
      <c r="AN28" s="143">
        <v>-2</v>
      </c>
      <c r="AO28" s="143">
        <v>-2</v>
      </c>
      <c r="AP28" s="143">
        <v>-2</v>
      </c>
      <c r="AQ28" s="143">
        <v>-2</v>
      </c>
      <c r="AR28" s="143">
        <v>-2</v>
      </c>
      <c r="AS28" s="31"/>
      <c r="AT28" s="31"/>
      <c r="AU28" s="31"/>
      <c r="AV28" s="31"/>
      <c r="AW28" s="31"/>
      <c r="AX28" s="31"/>
      <c r="AY28" s="31"/>
      <c r="AZ28" s="31"/>
      <c r="BA28" s="31"/>
      <c r="BB28" s="143">
        <v>-2</v>
      </c>
      <c r="BC28" s="31"/>
      <c r="BD28" s="31"/>
      <c r="BE28" s="31"/>
      <c r="BF28" s="31"/>
      <c r="BG28" s="31"/>
      <c r="BH28" s="3"/>
      <c r="BI28" s="143">
        <v>-2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32"/>
      <c r="AC29" s="32"/>
      <c r="AD29" s="32"/>
      <c r="AE29" s="32"/>
      <c r="AF29" s="32"/>
      <c r="AG29" s="143" t="s">
        <v>358</v>
      </c>
      <c r="AH29" s="143" t="s">
        <v>358</v>
      </c>
      <c r="AI29" s="3"/>
      <c r="AJ29" s="143" t="s">
        <v>358</v>
      </c>
      <c r="AK29" s="143" t="s">
        <v>358</v>
      </c>
      <c r="AL29" s="143" t="s">
        <v>358</v>
      </c>
      <c r="AM29" s="143" t="s">
        <v>358</v>
      </c>
      <c r="AN29" s="143" t="s">
        <v>358</v>
      </c>
      <c r="AO29" s="143" t="s">
        <v>358</v>
      </c>
      <c r="AP29" s="143" t="s">
        <v>358</v>
      </c>
      <c r="AQ29" s="143" t="s">
        <v>358</v>
      </c>
      <c r="AR29" s="143" t="s">
        <v>358</v>
      </c>
      <c r="AS29" s="32"/>
      <c r="AT29" s="32"/>
      <c r="AU29" s="32"/>
      <c r="AV29" s="32"/>
      <c r="AW29" s="32"/>
      <c r="AX29" s="32"/>
      <c r="AY29" s="32"/>
      <c r="AZ29" s="32"/>
      <c r="BA29" s="32"/>
      <c r="BB29" s="143" t="s">
        <v>358</v>
      </c>
      <c r="BC29" s="32"/>
      <c r="BD29" s="32"/>
      <c r="BE29" s="32"/>
      <c r="BF29" s="32"/>
      <c r="BG29" s="32"/>
      <c r="BH29" s="3"/>
      <c r="BI29" s="143" t="s">
        <v>358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31"/>
      <c r="AD30" s="31"/>
      <c r="AE30" s="31"/>
      <c r="AF30" s="31"/>
      <c r="AG30" s="143">
        <v>0</v>
      </c>
      <c r="AH30" s="143">
        <v>0</v>
      </c>
      <c r="AI30" s="3"/>
      <c r="AJ30" s="143">
        <v>0</v>
      </c>
      <c r="AK30" s="143">
        <v>0</v>
      </c>
      <c r="AL30" s="143">
        <v>0</v>
      </c>
      <c r="AM30" s="143">
        <v>0</v>
      </c>
      <c r="AN30" s="143">
        <v>0</v>
      </c>
      <c r="AO30" s="143">
        <v>0</v>
      </c>
      <c r="AP30" s="143">
        <v>0</v>
      </c>
      <c r="AQ30" s="143">
        <v>0</v>
      </c>
      <c r="AR30" s="143">
        <v>0</v>
      </c>
      <c r="AS30" s="31"/>
      <c r="AT30" s="31"/>
      <c r="AU30" s="31"/>
      <c r="AV30" s="31"/>
      <c r="AW30" s="31"/>
      <c r="AX30" s="31"/>
      <c r="AY30" s="31"/>
      <c r="AZ30" s="31"/>
      <c r="BA30" s="31"/>
      <c r="BB30" s="143">
        <v>0</v>
      </c>
      <c r="BC30" s="31"/>
      <c r="BD30" s="31"/>
      <c r="BE30" s="31"/>
      <c r="BF30" s="31"/>
      <c r="BG30" s="31"/>
      <c r="BH30" s="3"/>
      <c r="BI30" s="143">
        <v>0</v>
      </c>
    </row>
    <row x14ac:dyDescent="0.25" r="31" customHeight="1" ht="15.75">
      <c r="A31" s="3"/>
      <c r="B31" s="2"/>
      <c r="C31" s="121" t="s">
        <v>650</v>
      </c>
      <c r="D31" s="121"/>
      <c r="E31" s="2"/>
      <c r="F31" s="2"/>
      <c r="G31" s="2"/>
      <c r="H31" s="2"/>
      <c r="I31" s="2"/>
      <c r="J31" s="2"/>
      <c r="K31" s="121" t="s">
        <v>650</v>
      </c>
      <c r="L31" s="121"/>
      <c r="M31" s="121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3"/>
      <c r="AD31" s="3"/>
      <c r="AE31" s="3"/>
      <c r="AF31" s="3"/>
      <c r="AG31" s="2"/>
      <c r="AH31" s="138" t="s">
        <v>651</v>
      </c>
      <c r="AI31" s="3"/>
      <c r="AJ31" s="121" t="s">
        <v>652</v>
      </c>
      <c r="AK31" s="121"/>
      <c r="AL31" s="121"/>
      <c r="AM31" s="121"/>
      <c r="AN31" s="121"/>
      <c r="AO31" s="121"/>
      <c r="AP31" s="121"/>
      <c r="AQ31" s="121"/>
      <c r="AR31" s="121"/>
      <c r="AS31" s="120"/>
      <c r="AT31" s="120"/>
      <c r="AU31" s="120"/>
      <c r="AV31" s="120"/>
      <c r="AW31" s="120"/>
      <c r="AX31" s="120"/>
      <c r="AY31" s="120"/>
      <c r="AZ31" s="120"/>
      <c r="BA31" s="120"/>
      <c r="BB31" s="121"/>
      <c r="BC31" s="120"/>
      <c r="BD31" s="120"/>
      <c r="BE31" s="120"/>
      <c r="BF31" s="120"/>
      <c r="BG31" s="120"/>
      <c r="BH31" s="3"/>
      <c r="BI31" s="138" t="s">
        <v>653</v>
      </c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2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3"/>
      <c r="AT32" s="3"/>
      <c r="AU32" s="3"/>
      <c r="AV32" s="3"/>
      <c r="AW32" s="3"/>
      <c r="AX32" s="3"/>
      <c r="AY32" s="3"/>
      <c r="AZ32" s="3"/>
      <c r="BA32" s="3"/>
      <c r="BB32" s="2"/>
      <c r="BC32" s="3"/>
      <c r="BD32" s="3"/>
      <c r="BE32" s="3"/>
      <c r="BF32" s="3"/>
      <c r="BG32" s="3"/>
      <c r="BH32" s="3"/>
      <c r="BI32" s="2"/>
    </row>
    <row x14ac:dyDescent="0.25" r="33" customHeight="1" ht="18.75">
      <c r="A33" s="123" t="s">
        <v>654</v>
      </c>
      <c r="B33" s="40" t="s">
        <v>640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2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3"/>
      <c r="AT33" s="3"/>
      <c r="AU33" s="3"/>
      <c r="AV33" s="3"/>
      <c r="AW33" s="3"/>
      <c r="AX33" s="3"/>
      <c r="AY33" s="3"/>
      <c r="AZ33" s="3"/>
      <c r="BA33" s="3"/>
      <c r="BB33" s="2"/>
      <c r="BC33" s="3"/>
      <c r="BD33" s="3"/>
      <c r="BE33" s="3"/>
      <c r="BF33" s="3"/>
      <c r="BG33" s="3"/>
      <c r="BH33" s="3"/>
      <c r="BI33" s="2"/>
    </row>
    <row x14ac:dyDescent="0.25" r="34" customHeight="1" ht="18.75">
      <c r="A34" s="123" t="s">
        <v>655</v>
      </c>
      <c r="B34" s="40" t="s">
        <v>642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3"/>
      <c r="AT34" s="3"/>
      <c r="AU34" s="3"/>
      <c r="AV34" s="3"/>
      <c r="AW34" s="3"/>
      <c r="AX34" s="3"/>
      <c r="AY34" s="3"/>
      <c r="AZ34" s="3"/>
      <c r="BA34" s="3"/>
      <c r="BB34" s="2"/>
      <c r="BC34" s="3"/>
      <c r="BD34" s="3"/>
      <c r="BE34" s="3"/>
      <c r="BF34" s="3"/>
      <c r="BG34" s="3"/>
      <c r="BH34" s="3"/>
      <c r="BI34" s="2"/>
    </row>
    <row x14ac:dyDescent="0.25" r="35" customHeight="1" ht="18.75">
      <c r="A35" s="123" t="s">
        <v>656</v>
      </c>
      <c r="B35" s="40" t="s">
        <v>577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2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3"/>
      <c r="AT35" s="3"/>
      <c r="AU35" s="3"/>
      <c r="AV35" s="3"/>
      <c r="AW35" s="3"/>
      <c r="AX35" s="3"/>
      <c r="AY35" s="3"/>
      <c r="AZ35" s="3"/>
      <c r="BA35" s="3"/>
      <c r="BB35" s="2"/>
      <c r="BC35" s="3"/>
      <c r="BD35" s="3"/>
      <c r="BE35" s="3"/>
      <c r="BF35" s="3"/>
      <c r="BG35" s="3"/>
      <c r="BH35" s="3"/>
      <c r="BI35" s="2"/>
    </row>
    <row x14ac:dyDescent="0.25" r="36" customHeight="1" ht="18.75">
      <c r="A36" s="123"/>
      <c r="B36" s="2"/>
      <c r="C36" s="2"/>
      <c r="D36" s="2"/>
      <c r="E36" s="2"/>
      <c r="F36" s="2"/>
      <c r="G36" s="2"/>
      <c r="H36" s="2"/>
      <c r="I36" s="2"/>
      <c r="J36" s="187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3"/>
      <c r="AT36" s="3"/>
      <c r="AU36" s="3"/>
      <c r="AV36" s="3"/>
      <c r="AW36" s="3"/>
      <c r="AX36" s="3"/>
      <c r="AY36" s="3"/>
      <c r="AZ36" s="3"/>
      <c r="BA36" s="3"/>
      <c r="BB36" s="2"/>
      <c r="BC36" s="3"/>
      <c r="BD36" s="3"/>
      <c r="BE36" s="3"/>
      <c r="BF36" s="3"/>
      <c r="BG36" s="3"/>
      <c r="BH36" s="3"/>
      <c r="BI36" s="2"/>
    </row>
    <row x14ac:dyDescent="0.25" r="37" customHeight="1" ht="18.75">
      <c r="A37" s="123" t="s">
        <v>643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2"/>
      <c r="AB37" s="3"/>
      <c r="AC37" s="3"/>
      <c r="AD37" s="3"/>
      <c r="AE37" s="3"/>
      <c r="AF37" s="3"/>
      <c r="AG37" s="2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3"/>
      <c r="AT37" s="3"/>
      <c r="AU37" s="3"/>
      <c r="AV37" s="3"/>
      <c r="AW37" s="3"/>
      <c r="AX37" s="3"/>
      <c r="AY37" s="3"/>
      <c r="AZ37" s="3"/>
      <c r="BA37" s="3"/>
      <c r="BB37" s="2"/>
      <c r="BC37" s="3"/>
      <c r="BD37" s="3"/>
      <c r="BE37" s="3"/>
      <c r="BF37" s="3"/>
      <c r="BG37" s="3"/>
      <c r="BH37" s="3"/>
      <c r="BI37" s="2"/>
    </row>
  </sheetData>
  <mergeCells count="8">
    <mergeCell ref="B3:D3"/>
    <mergeCell ref="F3:O3"/>
    <mergeCell ref="B4:D4"/>
    <mergeCell ref="F4:P5"/>
    <mergeCell ref="B5:D5"/>
    <mergeCell ref="C31:D31"/>
    <mergeCell ref="K31:M31"/>
    <mergeCell ref="AJ31:BG3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36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136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</row>
    <row x14ac:dyDescent="0.25" r="2" customHeight="1" ht="18.7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</row>
    <row x14ac:dyDescent="0.25" r="3" customHeight="1" ht="18.75">
      <c r="A3" s="1" t="s">
        <v>2</v>
      </c>
      <c r="B3" s="5">
        <v>78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</row>
    <row x14ac:dyDescent="0.25" r="4" customHeight="1" ht="18.75">
      <c r="A4" s="1" t="s">
        <v>4</v>
      </c>
      <c r="B4" s="7" t="s">
        <v>629</v>
      </c>
      <c r="C4" s="7"/>
      <c r="D4" s="7"/>
      <c r="E4" s="2"/>
      <c r="F4" s="124" t="s">
        <v>630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</row>
    <row x14ac:dyDescent="0.25" r="5" customHeight="1" ht="18.75">
      <c r="A5" s="1" t="s">
        <v>7</v>
      </c>
      <c r="B5" s="7" t="s">
        <v>561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</row>
    <row x14ac:dyDescent="0.25" r="6" customHeight="1" ht="18.7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56" t="s">
        <v>42</v>
      </c>
      <c r="AI7" s="3"/>
      <c r="AJ7" s="49" t="s">
        <v>11</v>
      </c>
      <c r="AK7" s="49" t="s">
        <v>12</v>
      </c>
    </row>
    <row x14ac:dyDescent="0.25" r="8" customHeight="1" ht="18.75">
      <c r="A8" s="30" t="s">
        <v>43</v>
      </c>
      <c r="B8" s="31" t="s">
        <v>141</v>
      </c>
      <c r="C8" s="114" t="s">
        <v>411</v>
      </c>
      <c r="D8" s="31" t="s">
        <v>411</v>
      </c>
      <c r="E8" s="31" t="s">
        <v>411</v>
      </c>
      <c r="F8" s="31" t="s">
        <v>411</v>
      </c>
      <c r="G8" s="31" t="s">
        <v>411</v>
      </c>
      <c r="H8" s="31" t="s">
        <v>411</v>
      </c>
      <c r="I8" s="31" t="s">
        <v>411</v>
      </c>
      <c r="J8" s="31" t="s">
        <v>411</v>
      </c>
      <c r="K8" s="31" t="s">
        <v>631</v>
      </c>
      <c r="L8" s="31" t="s">
        <v>631</v>
      </c>
      <c r="M8" s="31" t="s">
        <v>631</v>
      </c>
      <c r="N8" s="31" t="s">
        <v>207</v>
      </c>
      <c r="O8" s="31" t="s">
        <v>207</v>
      </c>
      <c r="P8" s="31" t="s">
        <v>207</v>
      </c>
      <c r="Q8" s="31" t="s">
        <v>207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510</v>
      </c>
      <c r="AB8" s="32"/>
      <c r="AC8" s="32"/>
      <c r="AD8" s="32"/>
      <c r="AE8" s="32"/>
      <c r="AF8" s="32"/>
      <c r="AG8" s="32"/>
      <c r="AH8" s="31" t="s">
        <v>329</v>
      </c>
      <c r="AI8" s="3"/>
      <c r="AJ8" s="31" t="s">
        <v>632</v>
      </c>
      <c r="AK8" s="31" t="s">
        <v>632</v>
      </c>
    </row>
    <row x14ac:dyDescent="0.25" r="9" customHeight="1" ht="18.75">
      <c r="A9" s="30" t="s">
        <v>45</v>
      </c>
      <c r="B9" s="33" t="s">
        <v>142</v>
      </c>
      <c r="C9" s="31" t="s">
        <v>633</v>
      </c>
      <c r="D9" s="33" t="s">
        <v>411</v>
      </c>
      <c r="E9" s="31" t="s">
        <v>289</v>
      </c>
      <c r="F9" s="31" t="s">
        <v>290</v>
      </c>
      <c r="G9" s="31" t="s">
        <v>290</v>
      </c>
      <c r="H9" s="31" t="s">
        <v>211</v>
      </c>
      <c r="I9" s="31" t="s">
        <v>207</v>
      </c>
      <c r="J9" s="31" t="s">
        <v>290</v>
      </c>
      <c r="K9" s="31" t="s">
        <v>634</v>
      </c>
      <c r="L9" s="31" t="s">
        <v>634</v>
      </c>
      <c r="M9" s="31" t="s">
        <v>634</v>
      </c>
      <c r="N9" s="31" t="s">
        <v>408</v>
      </c>
      <c r="O9" s="31" t="s">
        <v>408</v>
      </c>
      <c r="P9" s="33" t="s">
        <v>409</v>
      </c>
      <c r="Q9" s="33" t="s">
        <v>409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567</v>
      </c>
      <c r="AB9" s="34"/>
      <c r="AC9" s="34"/>
      <c r="AD9" s="34"/>
      <c r="AE9" s="34"/>
      <c r="AF9" s="34"/>
      <c r="AG9" s="34"/>
      <c r="AH9" s="31" t="s">
        <v>293</v>
      </c>
      <c r="AI9" s="3"/>
      <c r="AJ9" s="31" t="s">
        <v>288</v>
      </c>
      <c r="AK9" s="31" t="s">
        <v>207</v>
      </c>
    </row>
    <row x14ac:dyDescent="0.25" r="10" customHeight="1" ht="18.75">
      <c r="A10" s="35" t="s">
        <v>47</v>
      </c>
      <c r="B10" s="117">
        <v>5</v>
      </c>
      <c r="C10" s="117">
        <v>121</v>
      </c>
      <c r="D10" s="117">
        <v>51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17">
        <v>257</v>
      </c>
      <c r="L10" s="117">
        <v>257</v>
      </c>
      <c r="M10" s="117">
        <v>257</v>
      </c>
      <c r="N10" s="117">
        <v>53</v>
      </c>
      <c r="O10" s="117">
        <v>53</v>
      </c>
      <c r="P10" s="117">
        <v>49</v>
      </c>
      <c r="Q10" s="117">
        <v>49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180</v>
      </c>
      <c r="AB10" s="37"/>
      <c r="AC10" s="37"/>
      <c r="AD10" s="37"/>
      <c r="AE10" s="37"/>
      <c r="AF10" s="37"/>
      <c r="AG10" s="37"/>
      <c r="AH10" s="117">
        <v>26</v>
      </c>
      <c r="AI10" s="3"/>
      <c r="AJ10" s="117">
        <v>120</v>
      </c>
      <c r="AK10" s="117">
        <v>50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3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3" t="s">
        <v>635</v>
      </c>
      <c r="L11" s="33" t="s">
        <v>635</v>
      </c>
      <c r="M11" s="33" t="s">
        <v>635</v>
      </c>
      <c r="N11" s="31" t="s">
        <v>52</v>
      </c>
      <c r="O11" s="31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  <c r="AI11" s="3"/>
      <c r="AJ11" s="31" t="s">
        <v>52</v>
      </c>
      <c r="AK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3" t="s">
        <v>52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3" t="s">
        <v>635</v>
      </c>
      <c r="L12" s="33" t="s">
        <v>635</v>
      </c>
      <c r="M12" s="33" t="s">
        <v>635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  <c r="AI12" s="3"/>
      <c r="AJ12" s="31" t="s">
        <v>49</v>
      </c>
      <c r="AK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33" t="s">
        <v>635</v>
      </c>
      <c r="L13" s="33" t="s">
        <v>635</v>
      </c>
      <c r="M13" s="33" t="s">
        <v>635</v>
      </c>
      <c r="N13" s="31" t="s">
        <v>52</v>
      </c>
      <c r="O13" s="31" t="s">
        <v>52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52</v>
      </c>
      <c r="AI13" s="3"/>
      <c r="AJ13" s="31" t="s">
        <v>52</v>
      </c>
      <c r="AK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  <c r="AI15" s="3"/>
      <c r="AJ15" s="31" t="s">
        <v>143</v>
      </c>
      <c r="AK15" s="31" t="s">
        <v>143</v>
      </c>
    </row>
    <row x14ac:dyDescent="0.25" r="16" customHeight="1" ht="18.75">
      <c r="A16" s="30" t="s">
        <v>128</v>
      </c>
      <c r="B16" s="31">
        <f>5/3</f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1</v>
      </c>
      <c r="AB16" s="31"/>
      <c r="AC16" s="31"/>
      <c r="AD16" s="31"/>
      <c r="AE16" s="31"/>
      <c r="AF16" s="31"/>
      <c r="AG16" s="31"/>
      <c r="AH16" s="31">
        <f>4/3</f>
      </c>
      <c r="AI16" s="3"/>
      <c r="AJ16" s="31">
        <f>13/12</f>
      </c>
      <c r="AK16" s="31">
        <v>1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636</v>
      </c>
      <c r="L17" s="31" t="s">
        <v>636</v>
      </c>
      <c r="M17" s="31" t="s">
        <v>636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32"/>
      <c r="AF17" s="32"/>
      <c r="AG17" s="32"/>
      <c r="AH17" s="31" t="s">
        <v>274</v>
      </c>
      <c r="AI17" s="3"/>
      <c r="AJ17" s="31" t="s">
        <v>169</v>
      </c>
      <c r="AK17" s="31" t="s">
        <v>169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f>AVERAGE(0,0,2)</f>
      </c>
      <c r="L18" s="31">
        <f>AVERAGE(0,0,2)</f>
      </c>
      <c r="M18" s="31">
        <f>AVERAGE(0,0,2)</f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31"/>
      <c r="AF18" s="31"/>
      <c r="AG18" s="31"/>
      <c r="AH18" s="31">
        <v>3</v>
      </c>
      <c r="AI18" s="3"/>
      <c r="AJ18" s="31">
        <v>2</v>
      </c>
      <c r="AK18" s="31">
        <v>2</v>
      </c>
    </row>
    <row x14ac:dyDescent="0.25" r="19" customHeight="1" ht="18.7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  <c r="AI19" s="3"/>
      <c r="AJ19" s="2"/>
      <c r="AK19" s="2"/>
    </row>
    <row x14ac:dyDescent="0.25" r="20" customHeight="1" ht="18.75">
      <c r="A20" s="30" t="s">
        <v>43</v>
      </c>
      <c r="B20" s="31" t="s">
        <v>131</v>
      </c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32"/>
      <c r="AC20" s="32"/>
      <c r="AD20" s="32"/>
      <c r="AE20" s="32"/>
      <c r="AF20" s="32"/>
      <c r="AG20" s="32"/>
      <c r="AH20" s="143" t="s">
        <v>358</v>
      </c>
      <c r="AI20" s="3"/>
      <c r="AJ20" s="143" t="s">
        <v>358</v>
      </c>
      <c r="AK20" s="143" t="s">
        <v>358</v>
      </c>
    </row>
    <row x14ac:dyDescent="0.25" r="21" customHeight="1" ht="18.75">
      <c r="A21" s="30" t="s">
        <v>45</v>
      </c>
      <c r="B21" s="31" t="s">
        <v>132</v>
      </c>
      <c r="C21" s="143" t="s">
        <v>358</v>
      </c>
      <c r="D21" s="143" t="s">
        <v>358</v>
      </c>
      <c r="E21" s="143" t="s">
        <v>358</v>
      </c>
      <c r="F21" s="143" t="s">
        <v>358</v>
      </c>
      <c r="G21" s="143" t="s">
        <v>358</v>
      </c>
      <c r="H21" s="143" t="s">
        <v>358</v>
      </c>
      <c r="I21" s="143" t="s">
        <v>358</v>
      </c>
      <c r="J21" s="143" t="s">
        <v>358</v>
      </c>
      <c r="K21" s="143" t="s">
        <v>358</v>
      </c>
      <c r="L21" s="143" t="s">
        <v>358</v>
      </c>
      <c r="M21" s="143" t="s">
        <v>358</v>
      </c>
      <c r="N21" s="143" t="s">
        <v>358</v>
      </c>
      <c r="O21" s="143" t="s">
        <v>358</v>
      </c>
      <c r="P21" s="143" t="s">
        <v>358</v>
      </c>
      <c r="Q21" s="143" t="s">
        <v>358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34"/>
      <c r="AC21" s="34"/>
      <c r="AD21" s="34"/>
      <c r="AE21" s="34"/>
      <c r="AF21" s="34"/>
      <c r="AG21" s="34"/>
      <c r="AH21" s="143" t="s">
        <v>358</v>
      </c>
      <c r="AI21" s="3"/>
      <c r="AJ21" s="143" t="s">
        <v>358</v>
      </c>
      <c r="AK21" s="143" t="s">
        <v>358</v>
      </c>
    </row>
    <row x14ac:dyDescent="0.25" r="22" customHeight="1" ht="18.75">
      <c r="A22" s="35" t="s">
        <v>47</v>
      </c>
      <c r="B22" s="117">
        <v>98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37"/>
      <c r="AC22" s="37"/>
      <c r="AD22" s="37"/>
      <c r="AE22" s="37"/>
      <c r="AF22" s="37"/>
      <c r="AG22" s="37"/>
      <c r="AH22" s="144"/>
      <c r="AI22" s="3"/>
      <c r="AJ22" s="144"/>
      <c r="AK22" s="144"/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32"/>
      <c r="AC23" s="34"/>
      <c r="AD23" s="32"/>
      <c r="AE23" s="34"/>
      <c r="AF23" s="32"/>
      <c r="AG23" s="32"/>
      <c r="AH23" s="143" t="s">
        <v>49</v>
      </c>
      <c r="AI23" s="3"/>
      <c r="AJ23" s="143" t="s">
        <v>49</v>
      </c>
      <c r="AK23" s="143" t="s">
        <v>49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32"/>
      <c r="AC24" s="32"/>
      <c r="AD24" s="32"/>
      <c r="AE24" s="32"/>
      <c r="AF24" s="32"/>
      <c r="AG24" s="32"/>
      <c r="AH24" s="143" t="s">
        <v>49</v>
      </c>
      <c r="AI24" s="3"/>
      <c r="AJ24" s="143" t="s">
        <v>49</v>
      </c>
      <c r="AK24" s="143" t="s">
        <v>49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32"/>
      <c r="AC25" s="32"/>
      <c r="AD25" s="32"/>
      <c r="AE25" s="32"/>
      <c r="AF25" s="32"/>
      <c r="AG25" s="32"/>
      <c r="AH25" s="143" t="s">
        <v>49</v>
      </c>
      <c r="AI25" s="3"/>
      <c r="AJ25" s="143" t="s">
        <v>49</v>
      </c>
      <c r="AK25" s="143" t="s">
        <v>49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32"/>
      <c r="AC26" s="32"/>
      <c r="AD26" s="32"/>
      <c r="AE26" s="32"/>
      <c r="AF26" s="32"/>
      <c r="AG26" s="32"/>
      <c r="AH26" s="143" t="s">
        <v>49</v>
      </c>
      <c r="AI26" s="3"/>
      <c r="AJ26" s="143" t="s">
        <v>49</v>
      </c>
      <c r="AK26" s="143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143" t="s">
        <v>133</v>
      </c>
      <c r="E27" s="143" t="s">
        <v>133</v>
      </c>
      <c r="F27" s="143" t="s">
        <v>133</v>
      </c>
      <c r="G27" s="143" t="s">
        <v>133</v>
      </c>
      <c r="H27" s="143" t="s">
        <v>133</v>
      </c>
      <c r="I27" s="143" t="s">
        <v>133</v>
      </c>
      <c r="J27" s="143" t="s">
        <v>133</v>
      </c>
      <c r="K27" s="143" t="s">
        <v>133</v>
      </c>
      <c r="L27" s="143" t="s">
        <v>133</v>
      </c>
      <c r="M27" s="143" t="s">
        <v>133</v>
      </c>
      <c r="N27" s="143" t="s">
        <v>133</v>
      </c>
      <c r="O27" s="143" t="s">
        <v>133</v>
      </c>
      <c r="P27" s="143" t="s">
        <v>133</v>
      </c>
      <c r="Q27" s="143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32"/>
      <c r="AC27" s="32"/>
      <c r="AD27" s="32"/>
      <c r="AE27" s="32"/>
      <c r="AF27" s="32"/>
      <c r="AG27" s="32"/>
      <c r="AH27" s="143" t="s">
        <v>133</v>
      </c>
      <c r="AI27" s="3"/>
      <c r="AJ27" s="143" t="s">
        <v>133</v>
      </c>
      <c r="AK27" s="143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143">
        <v>-2</v>
      </c>
      <c r="E28" s="143">
        <v>-2</v>
      </c>
      <c r="F28" s="143">
        <v>-2</v>
      </c>
      <c r="G28" s="143">
        <v>-2</v>
      </c>
      <c r="H28" s="143">
        <v>-2</v>
      </c>
      <c r="I28" s="143">
        <v>-2</v>
      </c>
      <c r="J28" s="143">
        <v>-2</v>
      </c>
      <c r="K28" s="143">
        <v>-2</v>
      </c>
      <c r="L28" s="143">
        <v>-2</v>
      </c>
      <c r="M28" s="143">
        <v>-2</v>
      </c>
      <c r="N28" s="143">
        <v>-2</v>
      </c>
      <c r="O28" s="143">
        <v>-2</v>
      </c>
      <c r="P28" s="143">
        <v>-2</v>
      </c>
      <c r="Q28" s="143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31"/>
      <c r="AD28" s="31"/>
      <c r="AE28" s="31"/>
      <c r="AF28" s="31"/>
      <c r="AG28" s="31"/>
      <c r="AH28" s="143">
        <v>-2</v>
      </c>
      <c r="AI28" s="3"/>
      <c r="AJ28" s="143">
        <v>-2</v>
      </c>
      <c r="AK28" s="143">
        <v>-2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32"/>
      <c r="AC29" s="32"/>
      <c r="AD29" s="32"/>
      <c r="AE29" s="32"/>
      <c r="AF29" s="32"/>
      <c r="AG29" s="32"/>
      <c r="AH29" s="143" t="s">
        <v>358</v>
      </c>
      <c r="AI29" s="3"/>
      <c r="AJ29" s="143" t="s">
        <v>358</v>
      </c>
      <c r="AK29" s="143" t="s">
        <v>358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31"/>
      <c r="AD30" s="31"/>
      <c r="AE30" s="31"/>
      <c r="AF30" s="31"/>
      <c r="AG30" s="31"/>
      <c r="AH30" s="143">
        <v>0</v>
      </c>
      <c r="AI30" s="3"/>
      <c r="AJ30" s="143">
        <v>0</v>
      </c>
      <c r="AK30" s="143">
        <v>0</v>
      </c>
    </row>
    <row x14ac:dyDescent="0.25" r="31" customHeight="1" ht="18.75">
      <c r="A31" s="3"/>
      <c r="B31" s="2"/>
      <c r="C31" s="121" t="s">
        <v>637</v>
      </c>
      <c r="D31" s="12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3"/>
      <c r="AD31" s="3"/>
      <c r="AE31" s="3"/>
      <c r="AF31" s="3"/>
      <c r="AG31" s="3"/>
      <c r="AH31" s="2"/>
      <c r="AI31" s="3"/>
      <c r="AJ31" s="121" t="s">
        <v>638</v>
      </c>
      <c r="AK31" s="121"/>
    </row>
    <row x14ac:dyDescent="0.25" r="32" customHeight="1" ht="18.75">
      <c r="A32" s="38" t="s">
        <v>64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3"/>
      <c r="AH32" s="2"/>
      <c r="AI32" s="3"/>
      <c r="AJ32" s="2"/>
      <c r="AK32" s="2"/>
    </row>
    <row x14ac:dyDescent="0.25" r="33" customHeight="1" ht="18.75">
      <c r="A33" s="123" t="s">
        <v>639</v>
      </c>
      <c r="B33" s="40" t="s">
        <v>640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3"/>
      <c r="AH33" s="2"/>
      <c r="AI33" s="3"/>
      <c r="AJ33" s="2"/>
      <c r="AK33" s="2"/>
    </row>
    <row x14ac:dyDescent="0.25" r="34" customHeight="1" ht="18.75">
      <c r="A34" s="123" t="s">
        <v>641</v>
      </c>
      <c r="B34" s="40" t="s">
        <v>642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3"/>
      <c r="AH34" s="2"/>
      <c r="AI34" s="3"/>
      <c r="AJ34" s="2"/>
      <c r="AK34" s="2"/>
    </row>
    <row x14ac:dyDescent="0.25" r="35" customHeight="1" ht="18.75">
      <c r="A35" s="12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3"/>
      <c r="AH35" s="2"/>
      <c r="AI35" s="3"/>
      <c r="AJ35" s="2"/>
      <c r="AK35" s="2"/>
    </row>
    <row x14ac:dyDescent="0.25" r="36" customHeight="1" ht="18.75">
      <c r="A36" s="123" t="s">
        <v>643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3"/>
      <c r="AH36" s="2"/>
      <c r="AI36" s="3"/>
      <c r="AJ36" s="2"/>
      <c r="AK36" s="2"/>
    </row>
  </sheetData>
  <mergeCells count="6">
    <mergeCell ref="B3:D3"/>
    <mergeCell ref="F3:O3"/>
    <mergeCell ref="B4:D4"/>
    <mergeCell ref="F4:O5"/>
    <mergeCell ref="B5:D5"/>
    <mergeCell ref="AJ31:AK3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5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151" width="13.576428571428572" customWidth="1" bestFit="1"/>
    <col min="4" max="4" style="151" width="13.576428571428572" customWidth="1" bestFit="1"/>
    <col min="5" max="5" style="151" width="13.576428571428572" customWidth="1" bestFit="1"/>
    <col min="6" max="6" style="151" width="13.576428571428572" customWidth="1" bestFit="1"/>
    <col min="7" max="7" style="151" width="13.576428571428572" customWidth="1" bestFit="1"/>
    <col min="8" max="8" style="151" width="13.576428571428572" customWidth="1" bestFit="1"/>
    <col min="9" max="9" style="151" width="13.576428571428572" customWidth="1" bestFit="1"/>
    <col min="10" max="10" style="151" width="13.576428571428572" customWidth="1" bestFit="1"/>
    <col min="11" max="11" style="57" width="13.576428571428572" customWidth="1" bestFit="1"/>
    <col min="12" max="12" style="57" width="13.576428571428572" customWidth="1" bestFit="1"/>
    <col min="13" max="13" style="57" width="13.576428571428572" customWidth="1" bestFit="1"/>
    <col min="14" max="14" style="151" width="13.576428571428572" customWidth="1" bestFit="1"/>
    <col min="15" max="15" style="151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151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151" width="13.576428571428572" customWidth="1" bestFit="1"/>
    <col min="37" max="37" style="151" width="13.576428571428572" customWidth="1" bestFit="1"/>
    <col min="38" max="38" style="151" width="13.576428571428572" customWidth="1" bestFit="1"/>
    <col min="39" max="39" style="151" width="13.576428571428572" customWidth="1" bestFit="1"/>
    <col min="40" max="40" style="151" width="13.576428571428572" customWidth="1" bestFit="1"/>
    <col min="41" max="41" style="151" width="13.576428571428572" customWidth="1" bestFit="1"/>
    <col min="42" max="42" style="151" width="13.576428571428572" customWidth="1" bestFit="1"/>
    <col min="43" max="43" style="151" width="13.576428571428572" customWidth="1" bestFit="1"/>
    <col min="44" max="44" style="151" width="13.576428571428572" customWidth="1" bestFit="1"/>
    <col min="45" max="45" style="151" width="13.576428571428572" customWidth="1" bestFit="1"/>
    <col min="46" max="46" style="151" width="13.576428571428572" customWidth="1" bestFit="1"/>
    <col min="47" max="47" style="151" width="13.576428571428572" customWidth="1" bestFit="1"/>
    <col min="48" max="48" style="151" width="13.576428571428572" customWidth="1" bestFit="1"/>
    <col min="49" max="49" style="44" width="13.576428571428572" customWidth="1" bestFit="1"/>
    <col min="50" max="50" style="44" width="13.576428571428572" customWidth="1" bestFit="1"/>
    <col min="51" max="51" style="44" width="13.576428571428572" customWidth="1" bestFit="1"/>
    <col min="52" max="52" style="44" width="13.576428571428572" customWidth="1" bestFit="1"/>
    <col min="53" max="53" style="44" width="13.576428571428572" customWidth="1" bestFit="1"/>
    <col min="54" max="54" style="44" width="13.576428571428572" customWidth="1" bestFit="1"/>
    <col min="55" max="55" style="44" width="13.576428571428572" customWidth="1" bestFit="1"/>
    <col min="56" max="56" style="44" width="13.576428571428572" customWidth="1" bestFit="1"/>
    <col min="57" max="57" style="151" width="13.576428571428572" customWidth="1" bestFit="1"/>
    <col min="58" max="58" style="44" width="13.576428571428572" customWidth="1" bestFit="1"/>
    <col min="59" max="59" style="44" width="13.576428571428572" customWidth="1" bestFit="1"/>
    <col min="60" max="60" style="44" width="13.576428571428572" customWidth="1" bestFit="1"/>
    <col min="61" max="61" style="44" width="13.576428571428572" customWidth="1" bestFit="1"/>
  </cols>
  <sheetData>
    <row x14ac:dyDescent="0.25" r="1" customHeight="1" ht="18.75">
      <c r="A1" s="1" t="s">
        <v>70</v>
      </c>
      <c r="B1" s="2"/>
      <c r="C1" s="149"/>
      <c r="D1" s="45" t="s">
        <v>71</v>
      </c>
      <c r="E1" s="149"/>
      <c r="F1" s="149"/>
      <c r="G1" s="149"/>
      <c r="H1" s="149"/>
      <c r="I1" s="45" t="s">
        <v>136</v>
      </c>
      <c r="J1" s="149"/>
      <c r="K1" s="46"/>
      <c r="L1" s="46"/>
      <c r="M1" s="46"/>
      <c r="N1" s="149"/>
      <c r="O1" s="149"/>
      <c r="P1" s="149"/>
      <c r="Q1" s="149"/>
      <c r="R1" s="2"/>
      <c r="S1" s="2"/>
      <c r="T1" s="3"/>
      <c r="U1" s="3"/>
      <c r="V1" s="3"/>
      <c r="W1" s="3"/>
      <c r="X1" s="3"/>
      <c r="Y1" s="3"/>
      <c r="Z1" s="3"/>
      <c r="AA1" s="149"/>
      <c r="AB1" s="3"/>
      <c r="AC1" s="3"/>
      <c r="AD1" s="3"/>
      <c r="AE1" s="2"/>
      <c r="AF1" s="3"/>
      <c r="AG1" s="2"/>
      <c r="AH1" s="2"/>
      <c r="AI1" s="3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3"/>
      <c r="AX1" s="3"/>
      <c r="AY1" s="3"/>
      <c r="AZ1" s="3"/>
      <c r="BA1" s="3"/>
      <c r="BB1" s="3"/>
      <c r="BC1" s="3"/>
      <c r="BD1" s="3"/>
      <c r="BE1" s="149"/>
      <c r="BF1" s="3"/>
      <c r="BG1" s="3"/>
      <c r="BH1" s="3"/>
      <c r="BI1" s="3"/>
    </row>
    <row x14ac:dyDescent="0.25" r="2" customHeight="1" ht="18.75">
      <c r="A2" s="46"/>
      <c r="B2" s="2"/>
      <c r="C2" s="149"/>
      <c r="D2" s="149"/>
      <c r="E2" s="149"/>
      <c r="F2" s="149"/>
      <c r="G2" s="149"/>
      <c r="H2" s="149"/>
      <c r="I2" s="149"/>
      <c r="J2" s="149"/>
      <c r="K2" s="46"/>
      <c r="L2" s="46"/>
      <c r="M2" s="46"/>
      <c r="N2" s="149"/>
      <c r="O2" s="149"/>
      <c r="P2" s="149"/>
      <c r="Q2" s="149"/>
      <c r="R2" s="2"/>
      <c r="S2" s="2"/>
      <c r="T2" s="3"/>
      <c r="U2" s="3"/>
      <c r="V2" s="3"/>
      <c r="W2" s="3"/>
      <c r="X2" s="3"/>
      <c r="Y2" s="3"/>
      <c r="Z2" s="3"/>
      <c r="AA2" s="149"/>
      <c r="AB2" s="3"/>
      <c r="AC2" s="3"/>
      <c r="AD2" s="3"/>
      <c r="AE2" s="2"/>
      <c r="AF2" s="3"/>
      <c r="AG2" s="2"/>
      <c r="AH2" s="2"/>
      <c r="AI2" s="3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3"/>
      <c r="AX2" s="3"/>
      <c r="AY2" s="3"/>
      <c r="AZ2" s="3"/>
      <c r="BA2" s="3"/>
      <c r="BB2" s="3"/>
      <c r="BC2" s="3"/>
      <c r="BD2" s="3"/>
      <c r="BE2" s="149"/>
      <c r="BF2" s="3"/>
      <c r="BG2" s="3"/>
      <c r="BH2" s="3"/>
      <c r="BI2" s="3"/>
    </row>
    <row x14ac:dyDescent="0.25" r="3" customHeight="1" ht="18.75">
      <c r="A3" s="1" t="s">
        <v>2</v>
      </c>
      <c r="B3" s="5">
        <v>79</v>
      </c>
      <c r="C3" s="7"/>
      <c r="D3" s="7"/>
      <c r="E3" s="45"/>
      <c r="F3" s="90" t="s">
        <v>3</v>
      </c>
      <c r="G3" s="90"/>
      <c r="H3" s="90"/>
      <c r="I3" s="90"/>
      <c r="J3" s="90"/>
      <c r="K3" s="89"/>
      <c r="L3" s="89"/>
      <c r="M3" s="89"/>
      <c r="N3" s="90"/>
      <c r="O3" s="90"/>
      <c r="P3" s="149"/>
      <c r="Q3" s="149"/>
      <c r="R3" s="2"/>
      <c r="S3" s="2"/>
      <c r="T3" s="3"/>
      <c r="U3" s="3"/>
      <c r="V3" s="3"/>
      <c r="W3" s="3"/>
      <c r="X3" s="3"/>
      <c r="Y3" s="3"/>
      <c r="Z3" s="3"/>
      <c r="AA3" s="149"/>
      <c r="AB3" s="3"/>
      <c r="AC3" s="3"/>
      <c r="AD3" s="3"/>
      <c r="AE3" s="2"/>
      <c r="AF3" s="3"/>
      <c r="AG3" s="2"/>
      <c r="AH3" s="2"/>
      <c r="AI3" s="3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3"/>
      <c r="AX3" s="3"/>
      <c r="AY3" s="3"/>
      <c r="AZ3" s="3"/>
      <c r="BA3" s="3"/>
      <c r="BB3" s="3"/>
      <c r="BC3" s="3"/>
      <c r="BD3" s="3"/>
      <c r="BE3" s="149"/>
      <c r="BF3" s="3"/>
      <c r="BG3" s="3"/>
      <c r="BH3" s="3"/>
      <c r="BI3" s="3"/>
    </row>
    <row x14ac:dyDescent="0.25" r="4" customHeight="1" ht="18.75">
      <c r="A4" s="1" t="s">
        <v>4</v>
      </c>
      <c r="B4" s="7" t="s">
        <v>579</v>
      </c>
      <c r="C4" s="7"/>
      <c r="D4" s="7"/>
      <c r="E4" s="149"/>
      <c r="F4" s="124" t="s">
        <v>580</v>
      </c>
      <c r="G4" s="92"/>
      <c r="H4" s="92"/>
      <c r="I4" s="92"/>
      <c r="J4" s="92"/>
      <c r="K4" s="93"/>
      <c r="L4" s="93"/>
      <c r="M4" s="93"/>
      <c r="N4" s="92"/>
      <c r="O4" s="125"/>
      <c r="P4" s="149"/>
      <c r="Q4" s="149"/>
      <c r="R4" s="2"/>
      <c r="S4" s="2"/>
      <c r="T4" s="3"/>
      <c r="U4" s="3"/>
      <c r="V4" s="3"/>
      <c r="W4" s="3"/>
      <c r="X4" s="3"/>
      <c r="Y4" s="3"/>
      <c r="Z4" s="3"/>
      <c r="AA4" s="149"/>
      <c r="AB4" s="3"/>
      <c r="AC4" s="3"/>
      <c r="AD4" s="3"/>
      <c r="AE4" s="2"/>
      <c r="AF4" s="3"/>
      <c r="AG4" s="2"/>
      <c r="AH4" s="2"/>
      <c r="AI4" s="3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3"/>
      <c r="AX4" s="3"/>
      <c r="AY4" s="3"/>
      <c r="AZ4" s="3"/>
      <c r="BA4" s="3"/>
      <c r="BB4" s="3"/>
      <c r="BC4" s="3"/>
      <c r="BD4" s="3"/>
      <c r="BE4" s="149"/>
      <c r="BF4" s="3"/>
      <c r="BG4" s="3"/>
      <c r="BH4" s="3"/>
      <c r="BI4" s="3"/>
    </row>
    <row x14ac:dyDescent="0.25" r="5" customHeight="1" ht="18.75">
      <c r="A5" s="1" t="s">
        <v>7</v>
      </c>
      <c r="B5" s="7" t="s">
        <v>75</v>
      </c>
      <c r="C5" s="7"/>
      <c r="D5" s="7"/>
      <c r="E5" s="149"/>
      <c r="F5" s="126"/>
      <c r="G5" s="96"/>
      <c r="H5" s="96"/>
      <c r="I5" s="96"/>
      <c r="J5" s="96"/>
      <c r="K5" s="97"/>
      <c r="L5" s="97"/>
      <c r="M5" s="97"/>
      <c r="N5" s="96"/>
      <c r="O5" s="127"/>
      <c r="P5" s="149"/>
      <c r="Q5" s="149"/>
      <c r="R5" s="2"/>
      <c r="S5" s="2"/>
      <c r="T5" s="3"/>
      <c r="U5" s="3"/>
      <c r="V5" s="3"/>
      <c r="W5" s="3"/>
      <c r="X5" s="3"/>
      <c r="Y5" s="3"/>
      <c r="Z5" s="3"/>
      <c r="AA5" s="149"/>
      <c r="AB5" s="3"/>
      <c r="AC5" s="3"/>
      <c r="AD5" s="3"/>
      <c r="AE5" s="2"/>
      <c r="AF5" s="3"/>
      <c r="AG5" s="2"/>
      <c r="AH5" s="2"/>
      <c r="AI5" s="3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3"/>
      <c r="AX5" s="3"/>
      <c r="AY5" s="3"/>
      <c r="AZ5" s="3"/>
      <c r="BA5" s="3"/>
      <c r="BB5" s="3"/>
      <c r="BC5" s="3"/>
      <c r="BD5" s="3"/>
      <c r="BE5" s="149"/>
      <c r="BF5" s="3"/>
      <c r="BG5" s="3"/>
      <c r="BH5" s="3"/>
      <c r="BI5" s="3"/>
    </row>
    <row x14ac:dyDescent="0.25" r="6" customHeight="1" ht="18.75">
      <c r="A6" s="46"/>
      <c r="B6" s="2"/>
      <c r="C6" s="149"/>
      <c r="D6" s="149"/>
      <c r="E6" s="149"/>
      <c r="F6" s="149"/>
      <c r="G6" s="149"/>
      <c r="H6" s="149"/>
      <c r="I6" s="149"/>
      <c r="J6" s="149"/>
      <c r="K6" s="46"/>
      <c r="L6" s="46"/>
      <c r="M6" s="46"/>
      <c r="N6" s="149"/>
      <c r="O6" s="149"/>
      <c r="P6" s="149"/>
      <c r="Q6" s="149"/>
      <c r="R6" s="2"/>
      <c r="S6" s="2"/>
      <c r="T6" s="3"/>
      <c r="U6" s="3"/>
      <c r="V6" s="3"/>
      <c r="W6" s="3"/>
      <c r="X6" s="3"/>
      <c r="Y6" s="3"/>
      <c r="Z6" s="3"/>
      <c r="AA6" s="149"/>
      <c r="AB6" s="3"/>
      <c r="AC6" s="3"/>
      <c r="AD6" s="3"/>
      <c r="AE6" s="2"/>
      <c r="AF6" s="3"/>
      <c r="AG6" s="2"/>
      <c r="AH6" s="2"/>
      <c r="AI6" s="3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/>
      <c r="AW6" s="3"/>
      <c r="AX6" s="3"/>
      <c r="AY6" s="3"/>
      <c r="AZ6" s="3"/>
      <c r="BA6" s="3"/>
      <c r="BB6" s="3"/>
      <c r="BC6" s="3"/>
      <c r="BD6" s="3"/>
      <c r="BE6" s="149"/>
      <c r="BF6" s="3"/>
      <c r="BG6" s="3"/>
      <c r="BH6" s="3"/>
      <c r="BI6" s="3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6" t="s">
        <v>18</v>
      </c>
      <c r="K7" s="17" t="s">
        <v>19</v>
      </c>
      <c r="L7" s="17" t="s">
        <v>20</v>
      </c>
      <c r="M7" s="17" t="s">
        <v>21</v>
      </c>
      <c r="N7" s="136" t="s">
        <v>22</v>
      </c>
      <c r="O7" s="136" t="s">
        <v>23</v>
      </c>
      <c r="P7" s="54" t="s">
        <v>24</v>
      </c>
      <c r="Q7" s="54" t="s">
        <v>25</v>
      </c>
      <c r="R7" s="172" t="s">
        <v>26</v>
      </c>
      <c r="S7" s="173" t="s">
        <v>27</v>
      </c>
      <c r="T7" s="22" t="s">
        <v>28</v>
      </c>
      <c r="U7" s="22" t="s">
        <v>29</v>
      </c>
      <c r="V7" s="23" t="s">
        <v>30</v>
      </c>
      <c r="W7" s="23" t="s">
        <v>31</v>
      </c>
      <c r="X7" s="24" t="s">
        <v>32</v>
      </c>
      <c r="Y7" s="24" t="s">
        <v>33</v>
      </c>
      <c r="Z7" s="25" t="s">
        <v>34</v>
      </c>
      <c r="AA7" s="55" t="s">
        <v>35</v>
      </c>
      <c r="AB7" s="26" t="s">
        <v>36</v>
      </c>
      <c r="AC7" s="26" t="s">
        <v>37</v>
      </c>
      <c r="AD7" s="26" t="s">
        <v>38</v>
      </c>
      <c r="AE7" s="174" t="s">
        <v>39</v>
      </c>
      <c r="AF7" s="28" t="s">
        <v>40</v>
      </c>
      <c r="AG7" s="56" t="s">
        <v>41</v>
      </c>
      <c r="AH7" s="56" t="s">
        <v>42</v>
      </c>
      <c r="AI7" s="3"/>
      <c r="AJ7" s="49" t="s">
        <v>11</v>
      </c>
      <c r="AK7" s="49" t="s">
        <v>12</v>
      </c>
      <c r="AL7" s="50" t="s">
        <v>13</v>
      </c>
      <c r="AM7" s="51" t="s">
        <v>14</v>
      </c>
      <c r="AN7" s="52" t="s">
        <v>15</v>
      </c>
      <c r="AO7" s="52" t="s">
        <v>16</v>
      </c>
      <c r="AP7" s="52" t="s">
        <v>17</v>
      </c>
      <c r="AQ7" s="166" t="s">
        <v>18</v>
      </c>
      <c r="AR7" s="53" t="s">
        <v>19</v>
      </c>
      <c r="AS7" s="53" t="s">
        <v>20</v>
      </c>
      <c r="AT7" s="53" t="s">
        <v>21</v>
      </c>
      <c r="AU7" s="136" t="s">
        <v>22</v>
      </c>
      <c r="AV7" s="136" t="s">
        <v>23</v>
      </c>
      <c r="AW7" s="21" t="s">
        <v>27</v>
      </c>
      <c r="AX7" s="22" t="s">
        <v>28</v>
      </c>
      <c r="AY7" s="22" t="s">
        <v>29</v>
      </c>
      <c r="AZ7" s="23" t="s">
        <v>30</v>
      </c>
      <c r="BA7" s="23" t="s">
        <v>31</v>
      </c>
      <c r="BB7" s="24" t="s">
        <v>32</v>
      </c>
      <c r="BC7" s="24" t="s">
        <v>33</v>
      </c>
      <c r="BD7" s="25" t="s">
        <v>34</v>
      </c>
      <c r="BE7" s="55" t="s">
        <v>35</v>
      </c>
      <c r="BF7" s="26" t="s">
        <v>36</v>
      </c>
      <c r="BG7" s="26" t="s">
        <v>37</v>
      </c>
      <c r="BH7" s="26" t="s">
        <v>38</v>
      </c>
      <c r="BI7" s="28" t="s">
        <v>40</v>
      </c>
    </row>
    <row x14ac:dyDescent="0.25" r="8" customHeight="1" ht="18.75">
      <c r="A8" s="30" t="s">
        <v>43</v>
      </c>
      <c r="B8" s="31" t="s">
        <v>143</v>
      </c>
      <c r="C8" s="143" t="s">
        <v>358</v>
      </c>
      <c r="D8" s="143" t="s">
        <v>358</v>
      </c>
      <c r="E8" s="143" t="s">
        <v>358</v>
      </c>
      <c r="F8" s="143" t="s">
        <v>358</v>
      </c>
      <c r="G8" s="143" t="s">
        <v>358</v>
      </c>
      <c r="H8" s="143" t="s">
        <v>358</v>
      </c>
      <c r="I8" s="143" t="s">
        <v>358</v>
      </c>
      <c r="J8" s="143" t="s">
        <v>358</v>
      </c>
      <c r="K8" s="175"/>
      <c r="L8" s="175"/>
      <c r="M8" s="175"/>
      <c r="N8" s="143" t="s">
        <v>358</v>
      </c>
      <c r="O8" s="143" t="s">
        <v>358</v>
      </c>
      <c r="P8" s="143" t="s">
        <v>358</v>
      </c>
      <c r="Q8" s="143" t="s">
        <v>358</v>
      </c>
      <c r="R8" s="143" t="s">
        <v>358</v>
      </c>
      <c r="S8" s="143" t="s">
        <v>358</v>
      </c>
      <c r="T8" s="32"/>
      <c r="U8" s="32"/>
      <c r="V8" s="32"/>
      <c r="W8" s="32"/>
      <c r="X8" s="32"/>
      <c r="Y8" s="32"/>
      <c r="Z8" s="32"/>
      <c r="AA8" s="31" t="s">
        <v>510</v>
      </c>
      <c r="AB8" s="32"/>
      <c r="AC8" s="32"/>
      <c r="AD8" s="32"/>
      <c r="AE8" s="143" t="s">
        <v>358</v>
      </c>
      <c r="AF8" s="32"/>
      <c r="AG8" s="31" t="s">
        <v>581</v>
      </c>
      <c r="AH8" s="31" t="s">
        <v>411</v>
      </c>
      <c r="AI8" s="3"/>
      <c r="AJ8" s="143" t="s">
        <v>358</v>
      </c>
      <c r="AK8" s="143" t="s">
        <v>358</v>
      </c>
      <c r="AL8" s="143" t="s">
        <v>358</v>
      </c>
      <c r="AM8" s="143" t="s">
        <v>358</v>
      </c>
      <c r="AN8" s="143" t="s">
        <v>358</v>
      </c>
      <c r="AO8" s="143" t="s">
        <v>358</v>
      </c>
      <c r="AP8" s="143" t="s">
        <v>358</v>
      </c>
      <c r="AQ8" s="143" t="s">
        <v>358</v>
      </c>
      <c r="AR8" s="143" t="s">
        <v>358</v>
      </c>
      <c r="AS8" s="143" t="s">
        <v>358</v>
      </c>
      <c r="AT8" s="143" t="s">
        <v>358</v>
      </c>
      <c r="AU8" s="143" t="s">
        <v>358</v>
      </c>
      <c r="AV8" s="143" t="s">
        <v>358</v>
      </c>
      <c r="AW8" s="32"/>
      <c r="AX8" s="32"/>
      <c r="AY8" s="32"/>
      <c r="AZ8" s="32"/>
      <c r="BA8" s="32"/>
      <c r="BB8" s="32"/>
      <c r="BC8" s="32"/>
      <c r="BD8" s="32"/>
      <c r="BE8" s="143" t="s">
        <v>358</v>
      </c>
      <c r="BF8" s="32"/>
      <c r="BG8" s="32"/>
      <c r="BH8" s="32"/>
      <c r="BI8" s="32"/>
    </row>
    <row x14ac:dyDescent="0.25" r="9" customHeight="1" ht="15.75">
      <c r="A9" s="30" t="s">
        <v>45</v>
      </c>
      <c r="B9" s="31" t="s">
        <v>315</v>
      </c>
      <c r="C9" s="143" t="s">
        <v>358</v>
      </c>
      <c r="D9" s="143" t="s">
        <v>358</v>
      </c>
      <c r="E9" s="143" t="s">
        <v>358</v>
      </c>
      <c r="F9" s="143" t="s">
        <v>358</v>
      </c>
      <c r="G9" s="143" t="s">
        <v>358</v>
      </c>
      <c r="H9" s="143" t="s">
        <v>358</v>
      </c>
      <c r="I9" s="143" t="s">
        <v>358</v>
      </c>
      <c r="J9" s="143" t="s">
        <v>358</v>
      </c>
      <c r="K9" s="175"/>
      <c r="L9" s="175"/>
      <c r="M9" s="175"/>
      <c r="N9" s="143" t="s">
        <v>358</v>
      </c>
      <c r="O9" s="143" t="s">
        <v>358</v>
      </c>
      <c r="P9" s="143" t="s">
        <v>358</v>
      </c>
      <c r="Q9" s="143" t="s">
        <v>358</v>
      </c>
      <c r="R9" s="143" t="s">
        <v>358</v>
      </c>
      <c r="S9" s="143" t="s">
        <v>358</v>
      </c>
      <c r="T9" s="32"/>
      <c r="U9" s="32"/>
      <c r="V9" s="32"/>
      <c r="W9" s="32"/>
      <c r="X9" s="32"/>
      <c r="Y9" s="32"/>
      <c r="Z9" s="32"/>
      <c r="AA9" s="31" t="s">
        <v>512</v>
      </c>
      <c r="AB9" s="32"/>
      <c r="AC9" s="32"/>
      <c r="AD9" s="32"/>
      <c r="AE9" s="143" t="s">
        <v>358</v>
      </c>
      <c r="AF9" s="32"/>
      <c r="AG9" s="31" t="s">
        <v>582</v>
      </c>
      <c r="AH9" s="31" t="s">
        <v>409</v>
      </c>
      <c r="AI9" s="3"/>
      <c r="AJ9" s="143" t="s">
        <v>358</v>
      </c>
      <c r="AK9" s="143" t="s">
        <v>358</v>
      </c>
      <c r="AL9" s="143" t="s">
        <v>358</v>
      </c>
      <c r="AM9" s="143" t="s">
        <v>358</v>
      </c>
      <c r="AN9" s="143" t="s">
        <v>358</v>
      </c>
      <c r="AO9" s="143" t="s">
        <v>358</v>
      </c>
      <c r="AP9" s="143" t="s">
        <v>358</v>
      </c>
      <c r="AQ9" s="143" t="s">
        <v>358</v>
      </c>
      <c r="AR9" s="143" t="s">
        <v>358</v>
      </c>
      <c r="AS9" s="143" t="s">
        <v>358</v>
      </c>
      <c r="AT9" s="143" t="s">
        <v>358</v>
      </c>
      <c r="AU9" s="143" t="s">
        <v>358</v>
      </c>
      <c r="AV9" s="143" t="s">
        <v>358</v>
      </c>
      <c r="AW9" s="32"/>
      <c r="AX9" s="32"/>
      <c r="AY9" s="32"/>
      <c r="AZ9" s="32"/>
      <c r="BA9" s="32"/>
      <c r="BB9" s="32"/>
      <c r="BC9" s="32"/>
      <c r="BD9" s="32"/>
      <c r="BE9" s="143" t="s">
        <v>358</v>
      </c>
      <c r="BF9" s="32"/>
      <c r="BG9" s="32"/>
      <c r="BH9" s="32"/>
      <c r="BI9" s="32"/>
    </row>
    <row x14ac:dyDescent="0.25" r="10" customHeight="1" ht="18.75">
      <c r="A10" s="35" t="s">
        <v>47</v>
      </c>
      <c r="B10" s="117">
        <v>6</v>
      </c>
      <c r="C10" s="144"/>
      <c r="D10" s="144"/>
      <c r="E10" s="144"/>
      <c r="F10" s="144"/>
      <c r="G10" s="144"/>
      <c r="H10" s="144"/>
      <c r="I10" s="144"/>
      <c r="J10" s="144"/>
      <c r="K10" s="176"/>
      <c r="L10" s="176"/>
      <c r="M10" s="176"/>
      <c r="N10" s="144"/>
      <c r="O10" s="144"/>
      <c r="P10" s="144"/>
      <c r="Q10" s="144"/>
      <c r="R10" s="144"/>
      <c r="S10" s="144"/>
      <c r="T10" s="37"/>
      <c r="U10" s="37"/>
      <c r="V10" s="37"/>
      <c r="W10" s="37"/>
      <c r="X10" s="37"/>
      <c r="Y10" s="37"/>
      <c r="Z10" s="37"/>
      <c r="AA10" s="117">
        <v>181</v>
      </c>
      <c r="AB10" s="37"/>
      <c r="AC10" s="37"/>
      <c r="AD10" s="37"/>
      <c r="AE10" s="144"/>
      <c r="AF10" s="37"/>
      <c r="AG10" s="117">
        <v>27</v>
      </c>
      <c r="AH10" s="117">
        <v>49</v>
      </c>
      <c r="AI10" s="3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37"/>
      <c r="AX10" s="37"/>
      <c r="AY10" s="37"/>
      <c r="AZ10" s="37"/>
      <c r="BA10" s="37"/>
      <c r="BB10" s="37"/>
      <c r="BC10" s="37"/>
      <c r="BD10" s="37"/>
      <c r="BE10" s="144"/>
      <c r="BF10" s="37"/>
      <c r="BG10" s="37"/>
      <c r="BH10" s="37"/>
      <c r="BI10" s="37"/>
    </row>
    <row x14ac:dyDescent="0.25" r="11" customHeight="1" ht="18.75">
      <c r="A11" s="30" t="s">
        <v>123</v>
      </c>
      <c r="B11" s="31" t="s">
        <v>52</v>
      </c>
      <c r="C11" s="143" t="s">
        <v>49</v>
      </c>
      <c r="D11" s="143" t="s">
        <v>49</v>
      </c>
      <c r="E11" s="143" t="s">
        <v>49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143" t="s">
        <v>49</v>
      </c>
      <c r="K11" s="175"/>
      <c r="L11" s="175"/>
      <c r="M11" s="175"/>
      <c r="N11" s="143" t="s">
        <v>49</v>
      </c>
      <c r="O11" s="143" t="s">
        <v>49</v>
      </c>
      <c r="P11" s="143" t="s">
        <v>49</v>
      </c>
      <c r="Q11" s="143" t="s">
        <v>49</v>
      </c>
      <c r="R11" s="143" t="s">
        <v>49</v>
      </c>
      <c r="S11" s="143" t="s">
        <v>49</v>
      </c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2"/>
      <c r="AD11" s="32"/>
      <c r="AE11" s="143" t="s">
        <v>49</v>
      </c>
      <c r="AF11" s="32"/>
      <c r="AG11" s="31" t="s">
        <v>52</v>
      </c>
      <c r="AH11" s="31" t="s">
        <v>52</v>
      </c>
      <c r="AI11" s="3"/>
      <c r="AJ11" s="143" t="s">
        <v>49</v>
      </c>
      <c r="AK11" s="143" t="s">
        <v>49</v>
      </c>
      <c r="AL11" s="143" t="s">
        <v>49</v>
      </c>
      <c r="AM11" s="143" t="s">
        <v>49</v>
      </c>
      <c r="AN11" s="143" t="s">
        <v>49</v>
      </c>
      <c r="AO11" s="143" t="s">
        <v>49</v>
      </c>
      <c r="AP11" s="143" t="s">
        <v>49</v>
      </c>
      <c r="AQ11" s="143" t="s">
        <v>49</v>
      </c>
      <c r="AR11" s="143" t="s">
        <v>49</v>
      </c>
      <c r="AS11" s="143" t="s">
        <v>49</v>
      </c>
      <c r="AT11" s="143" t="s">
        <v>49</v>
      </c>
      <c r="AU11" s="143" t="s">
        <v>49</v>
      </c>
      <c r="AV11" s="143" t="s">
        <v>49</v>
      </c>
      <c r="AW11" s="32"/>
      <c r="AX11" s="32"/>
      <c r="AY11" s="32"/>
      <c r="AZ11" s="32"/>
      <c r="BA11" s="32"/>
      <c r="BB11" s="32"/>
      <c r="BC11" s="32"/>
      <c r="BD11" s="32"/>
      <c r="BE11" s="143" t="s">
        <v>49</v>
      </c>
      <c r="BF11" s="32"/>
      <c r="BG11" s="32"/>
      <c r="BH11" s="32"/>
      <c r="BI11" s="32"/>
    </row>
    <row x14ac:dyDescent="0.25" r="12" customHeight="1" ht="18.75">
      <c r="A12" s="30" t="s">
        <v>124</v>
      </c>
      <c r="B12" s="31" t="s">
        <v>52</v>
      </c>
      <c r="C12" s="143" t="s">
        <v>49</v>
      </c>
      <c r="D12" s="143" t="s">
        <v>49</v>
      </c>
      <c r="E12" s="143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143" t="s">
        <v>49</v>
      </c>
      <c r="K12" s="175"/>
      <c r="L12" s="175"/>
      <c r="M12" s="175"/>
      <c r="N12" s="143" t="s">
        <v>49</v>
      </c>
      <c r="O12" s="143" t="s">
        <v>49</v>
      </c>
      <c r="P12" s="143" t="s">
        <v>49</v>
      </c>
      <c r="Q12" s="143" t="s">
        <v>49</v>
      </c>
      <c r="R12" s="143" t="s">
        <v>49</v>
      </c>
      <c r="S12" s="143" t="s">
        <v>49</v>
      </c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143" t="s">
        <v>49</v>
      </c>
      <c r="AF12" s="32"/>
      <c r="AG12" s="31" t="s">
        <v>52</v>
      </c>
      <c r="AH12" s="31" t="s">
        <v>52</v>
      </c>
      <c r="AI12" s="3"/>
      <c r="AJ12" s="143" t="s">
        <v>49</v>
      </c>
      <c r="AK12" s="143" t="s">
        <v>49</v>
      </c>
      <c r="AL12" s="143" t="s">
        <v>49</v>
      </c>
      <c r="AM12" s="143" t="s">
        <v>49</v>
      </c>
      <c r="AN12" s="143" t="s">
        <v>49</v>
      </c>
      <c r="AO12" s="143" t="s">
        <v>49</v>
      </c>
      <c r="AP12" s="143" t="s">
        <v>49</v>
      </c>
      <c r="AQ12" s="143" t="s">
        <v>49</v>
      </c>
      <c r="AR12" s="143" t="s">
        <v>49</v>
      </c>
      <c r="AS12" s="143" t="s">
        <v>49</v>
      </c>
      <c r="AT12" s="143" t="s">
        <v>49</v>
      </c>
      <c r="AU12" s="143" t="s">
        <v>49</v>
      </c>
      <c r="AV12" s="143" t="s">
        <v>49</v>
      </c>
      <c r="AW12" s="32"/>
      <c r="AX12" s="32"/>
      <c r="AY12" s="32"/>
      <c r="AZ12" s="32"/>
      <c r="BA12" s="32"/>
      <c r="BB12" s="32"/>
      <c r="BC12" s="32"/>
      <c r="BD12" s="32"/>
      <c r="BE12" s="143" t="s">
        <v>49</v>
      </c>
      <c r="BF12" s="32"/>
      <c r="BG12" s="32"/>
      <c r="BH12" s="32"/>
      <c r="BI12" s="32"/>
    </row>
    <row x14ac:dyDescent="0.25" r="13" customHeight="1" ht="18.75">
      <c r="A13" s="30" t="s">
        <v>125</v>
      </c>
      <c r="B13" s="33" t="s">
        <v>49</v>
      </c>
      <c r="C13" s="143" t="s">
        <v>49</v>
      </c>
      <c r="D13" s="143" t="s">
        <v>49</v>
      </c>
      <c r="E13" s="143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143" t="s">
        <v>49</v>
      </c>
      <c r="K13" s="175"/>
      <c r="L13" s="175"/>
      <c r="M13" s="175"/>
      <c r="N13" s="143" t="s">
        <v>49</v>
      </c>
      <c r="O13" s="143" t="s">
        <v>49</v>
      </c>
      <c r="P13" s="143" t="s">
        <v>49</v>
      </c>
      <c r="Q13" s="143" t="s">
        <v>49</v>
      </c>
      <c r="R13" s="143" t="s">
        <v>49</v>
      </c>
      <c r="S13" s="143" t="s">
        <v>49</v>
      </c>
      <c r="T13" s="34"/>
      <c r="U13" s="34"/>
      <c r="V13" s="34"/>
      <c r="W13" s="34"/>
      <c r="X13" s="34"/>
      <c r="Y13" s="34"/>
      <c r="Z13" s="34"/>
      <c r="AA13" s="31" t="s">
        <v>52</v>
      </c>
      <c r="AB13" s="34"/>
      <c r="AC13" s="34"/>
      <c r="AD13" s="34"/>
      <c r="AE13" s="143" t="s">
        <v>49</v>
      </c>
      <c r="AF13" s="34"/>
      <c r="AG13" s="33" t="s">
        <v>52</v>
      </c>
      <c r="AH13" s="33" t="s">
        <v>52</v>
      </c>
      <c r="AI13" s="3"/>
      <c r="AJ13" s="143" t="s">
        <v>49</v>
      </c>
      <c r="AK13" s="143" t="s">
        <v>49</v>
      </c>
      <c r="AL13" s="143" t="s">
        <v>49</v>
      </c>
      <c r="AM13" s="143" t="s">
        <v>49</v>
      </c>
      <c r="AN13" s="143" t="s">
        <v>49</v>
      </c>
      <c r="AO13" s="143" t="s">
        <v>49</v>
      </c>
      <c r="AP13" s="143" t="s">
        <v>49</v>
      </c>
      <c r="AQ13" s="143" t="s">
        <v>49</v>
      </c>
      <c r="AR13" s="143" t="s">
        <v>49</v>
      </c>
      <c r="AS13" s="143" t="s">
        <v>49</v>
      </c>
      <c r="AT13" s="143" t="s">
        <v>49</v>
      </c>
      <c r="AU13" s="143" t="s">
        <v>49</v>
      </c>
      <c r="AV13" s="143" t="s">
        <v>49</v>
      </c>
      <c r="AW13" s="34"/>
      <c r="AX13" s="34"/>
      <c r="AY13" s="34"/>
      <c r="AZ13" s="34"/>
      <c r="BA13" s="34"/>
      <c r="BB13" s="34"/>
      <c r="BC13" s="34"/>
      <c r="BD13" s="34"/>
      <c r="BE13" s="143" t="s">
        <v>49</v>
      </c>
      <c r="BF13" s="34"/>
      <c r="BG13" s="34"/>
      <c r="BH13" s="34"/>
      <c r="BI13" s="34"/>
    </row>
    <row x14ac:dyDescent="0.25" r="14" customHeight="1" ht="18.75">
      <c r="A14" s="30" t="s">
        <v>126</v>
      </c>
      <c r="B14" s="31" t="s">
        <v>49</v>
      </c>
      <c r="C14" s="143" t="s">
        <v>49</v>
      </c>
      <c r="D14" s="143" t="s">
        <v>49</v>
      </c>
      <c r="E14" s="143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143" t="s">
        <v>49</v>
      </c>
      <c r="K14" s="175"/>
      <c r="L14" s="175"/>
      <c r="M14" s="175"/>
      <c r="N14" s="143" t="s">
        <v>49</v>
      </c>
      <c r="O14" s="143" t="s">
        <v>49</v>
      </c>
      <c r="P14" s="143" t="s">
        <v>49</v>
      </c>
      <c r="Q14" s="143" t="s">
        <v>49</v>
      </c>
      <c r="R14" s="143" t="s">
        <v>49</v>
      </c>
      <c r="S14" s="143" t="s">
        <v>49</v>
      </c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143" t="s">
        <v>49</v>
      </c>
      <c r="AF14" s="32"/>
      <c r="AG14" s="31" t="s">
        <v>49</v>
      </c>
      <c r="AH14" s="31" t="s">
        <v>49</v>
      </c>
      <c r="AI14" s="3"/>
      <c r="AJ14" s="143" t="s">
        <v>49</v>
      </c>
      <c r="AK14" s="143" t="s">
        <v>49</v>
      </c>
      <c r="AL14" s="143" t="s">
        <v>49</v>
      </c>
      <c r="AM14" s="143" t="s">
        <v>49</v>
      </c>
      <c r="AN14" s="143" t="s">
        <v>49</v>
      </c>
      <c r="AO14" s="143" t="s">
        <v>49</v>
      </c>
      <c r="AP14" s="143" t="s">
        <v>49</v>
      </c>
      <c r="AQ14" s="143" t="s">
        <v>49</v>
      </c>
      <c r="AR14" s="143" t="s">
        <v>49</v>
      </c>
      <c r="AS14" s="143" t="s">
        <v>49</v>
      </c>
      <c r="AT14" s="143" t="s">
        <v>49</v>
      </c>
      <c r="AU14" s="143" t="s">
        <v>49</v>
      </c>
      <c r="AV14" s="143" t="s">
        <v>49</v>
      </c>
      <c r="AW14" s="32"/>
      <c r="AX14" s="32"/>
      <c r="AY14" s="32"/>
      <c r="AZ14" s="32"/>
      <c r="BA14" s="32"/>
      <c r="BB14" s="32"/>
      <c r="BC14" s="32"/>
      <c r="BD14" s="32"/>
      <c r="BE14" s="143" t="s">
        <v>49</v>
      </c>
      <c r="BF14" s="32"/>
      <c r="BG14" s="32"/>
      <c r="BH14" s="32"/>
      <c r="BI14" s="32"/>
    </row>
    <row x14ac:dyDescent="0.25" r="15" customHeight="1" ht="18.75">
      <c r="A15" s="30" t="s">
        <v>127</v>
      </c>
      <c r="B15" s="31" t="s">
        <v>143</v>
      </c>
      <c r="C15" s="143" t="s">
        <v>133</v>
      </c>
      <c r="D15" s="143" t="s">
        <v>133</v>
      </c>
      <c r="E15" s="143" t="s">
        <v>133</v>
      </c>
      <c r="F15" s="143" t="s">
        <v>133</v>
      </c>
      <c r="G15" s="143" t="s">
        <v>133</v>
      </c>
      <c r="H15" s="143" t="s">
        <v>133</v>
      </c>
      <c r="I15" s="143" t="s">
        <v>133</v>
      </c>
      <c r="J15" s="143" t="s">
        <v>133</v>
      </c>
      <c r="K15" s="175"/>
      <c r="L15" s="175"/>
      <c r="M15" s="175"/>
      <c r="N15" s="143" t="s">
        <v>133</v>
      </c>
      <c r="O15" s="143" t="s">
        <v>133</v>
      </c>
      <c r="P15" s="143" t="s">
        <v>133</v>
      </c>
      <c r="Q15" s="143" t="s">
        <v>133</v>
      </c>
      <c r="R15" s="143" t="s">
        <v>133</v>
      </c>
      <c r="S15" s="143" t="s">
        <v>133</v>
      </c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143" t="s">
        <v>133</v>
      </c>
      <c r="AF15" s="32"/>
      <c r="AG15" s="31" t="s">
        <v>143</v>
      </c>
      <c r="AH15" s="31" t="s">
        <v>143</v>
      </c>
      <c r="AI15" s="3"/>
      <c r="AJ15" s="143" t="s">
        <v>133</v>
      </c>
      <c r="AK15" s="143" t="s">
        <v>133</v>
      </c>
      <c r="AL15" s="143" t="s">
        <v>133</v>
      </c>
      <c r="AM15" s="143" t="s">
        <v>133</v>
      </c>
      <c r="AN15" s="143" t="s">
        <v>133</v>
      </c>
      <c r="AO15" s="143" t="s">
        <v>133</v>
      </c>
      <c r="AP15" s="143" t="s">
        <v>133</v>
      </c>
      <c r="AQ15" s="143" t="s">
        <v>133</v>
      </c>
      <c r="AR15" s="143" t="s">
        <v>133</v>
      </c>
      <c r="AS15" s="143" t="s">
        <v>133</v>
      </c>
      <c r="AT15" s="143" t="s">
        <v>133</v>
      </c>
      <c r="AU15" s="143" t="s">
        <v>133</v>
      </c>
      <c r="AV15" s="143" t="s">
        <v>133</v>
      </c>
      <c r="AW15" s="32"/>
      <c r="AX15" s="32"/>
      <c r="AY15" s="32"/>
      <c r="AZ15" s="32"/>
      <c r="BA15" s="32"/>
      <c r="BB15" s="32"/>
      <c r="BC15" s="32"/>
      <c r="BD15" s="32"/>
      <c r="BE15" s="143" t="s">
        <v>133</v>
      </c>
      <c r="BF15" s="32"/>
      <c r="BG15" s="32"/>
      <c r="BH15" s="32"/>
      <c r="BI15" s="32"/>
    </row>
    <row x14ac:dyDescent="0.25" r="16" customHeight="1" ht="18.75">
      <c r="A16" s="30" t="s">
        <v>128</v>
      </c>
      <c r="B16" s="31">
        <f>5/3</f>
      </c>
      <c r="C16" s="143">
        <v>-2</v>
      </c>
      <c r="D16" s="143">
        <v>-2</v>
      </c>
      <c r="E16" s="143">
        <v>-2</v>
      </c>
      <c r="F16" s="143">
        <v>-2</v>
      </c>
      <c r="G16" s="143">
        <v>-2</v>
      </c>
      <c r="H16" s="143">
        <v>-2</v>
      </c>
      <c r="I16" s="143">
        <v>-2</v>
      </c>
      <c r="J16" s="143">
        <v>-2</v>
      </c>
      <c r="K16" s="177"/>
      <c r="L16" s="177"/>
      <c r="M16" s="177"/>
      <c r="N16" s="143">
        <v>-2</v>
      </c>
      <c r="O16" s="143">
        <v>-2</v>
      </c>
      <c r="P16" s="143">
        <v>-2</v>
      </c>
      <c r="Q16" s="143">
        <v>-2</v>
      </c>
      <c r="R16" s="143">
        <v>-2</v>
      </c>
      <c r="S16" s="143">
        <v>-2</v>
      </c>
      <c r="T16" s="31"/>
      <c r="U16" s="31"/>
      <c r="V16" s="31"/>
      <c r="W16" s="31"/>
      <c r="X16" s="31"/>
      <c r="Y16" s="31"/>
      <c r="Z16" s="31"/>
      <c r="AA16" s="31">
        <v>1</v>
      </c>
      <c r="AB16" s="31"/>
      <c r="AC16" s="31"/>
      <c r="AD16" s="31"/>
      <c r="AE16" s="143">
        <v>-2</v>
      </c>
      <c r="AF16" s="31"/>
      <c r="AG16" s="31">
        <f>4/3</f>
      </c>
      <c r="AH16" s="31">
        <f>4/3</f>
      </c>
      <c r="AI16" s="3"/>
      <c r="AJ16" s="143">
        <v>-2</v>
      </c>
      <c r="AK16" s="143">
        <v>-2</v>
      </c>
      <c r="AL16" s="143">
        <v>-2</v>
      </c>
      <c r="AM16" s="143">
        <v>-2</v>
      </c>
      <c r="AN16" s="143">
        <v>-2</v>
      </c>
      <c r="AO16" s="143">
        <v>-2</v>
      </c>
      <c r="AP16" s="143">
        <v>-2</v>
      </c>
      <c r="AQ16" s="143">
        <v>-2</v>
      </c>
      <c r="AR16" s="143">
        <v>-2</v>
      </c>
      <c r="AS16" s="143">
        <v>-2</v>
      </c>
      <c r="AT16" s="143">
        <v>-2</v>
      </c>
      <c r="AU16" s="143">
        <v>-2</v>
      </c>
      <c r="AV16" s="143">
        <v>-2</v>
      </c>
      <c r="AW16" s="31"/>
      <c r="AX16" s="31"/>
      <c r="AY16" s="31"/>
      <c r="AZ16" s="31"/>
      <c r="BA16" s="31"/>
      <c r="BB16" s="31"/>
      <c r="BC16" s="31"/>
      <c r="BD16" s="31"/>
      <c r="BE16" s="143">
        <v>-2</v>
      </c>
      <c r="BF16" s="31"/>
      <c r="BG16" s="31"/>
      <c r="BH16" s="31"/>
      <c r="BI16" s="31"/>
    </row>
    <row x14ac:dyDescent="0.25" r="17" customHeight="1" ht="18.75">
      <c r="A17" s="30" t="s">
        <v>129</v>
      </c>
      <c r="B17" s="31" t="s">
        <v>138</v>
      </c>
      <c r="C17" s="143" t="s">
        <v>358</v>
      </c>
      <c r="D17" s="143" t="s">
        <v>358</v>
      </c>
      <c r="E17" s="143" t="s">
        <v>358</v>
      </c>
      <c r="F17" s="143" t="s">
        <v>358</v>
      </c>
      <c r="G17" s="143" t="s">
        <v>358</v>
      </c>
      <c r="H17" s="143" t="s">
        <v>358</v>
      </c>
      <c r="I17" s="143" t="s">
        <v>358</v>
      </c>
      <c r="J17" s="143" t="s">
        <v>358</v>
      </c>
      <c r="K17" s="175"/>
      <c r="L17" s="175"/>
      <c r="M17" s="175"/>
      <c r="N17" s="143" t="s">
        <v>358</v>
      </c>
      <c r="O17" s="143" t="s">
        <v>358</v>
      </c>
      <c r="P17" s="143" t="s">
        <v>358</v>
      </c>
      <c r="Q17" s="143" t="s">
        <v>358</v>
      </c>
      <c r="R17" s="143" t="s">
        <v>358</v>
      </c>
      <c r="S17" s="143" t="s">
        <v>358</v>
      </c>
      <c r="T17" s="32"/>
      <c r="U17" s="32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143" t="s">
        <v>358</v>
      </c>
      <c r="AF17" s="32"/>
      <c r="AG17" s="31" t="s">
        <v>274</v>
      </c>
      <c r="AH17" s="31" t="s">
        <v>169</v>
      </c>
      <c r="AI17" s="3"/>
      <c r="AJ17" s="143" t="s">
        <v>358</v>
      </c>
      <c r="AK17" s="143" t="s">
        <v>358</v>
      </c>
      <c r="AL17" s="143" t="s">
        <v>358</v>
      </c>
      <c r="AM17" s="143" t="s">
        <v>358</v>
      </c>
      <c r="AN17" s="143" t="s">
        <v>358</v>
      </c>
      <c r="AO17" s="143" t="s">
        <v>358</v>
      </c>
      <c r="AP17" s="143" t="s">
        <v>358</v>
      </c>
      <c r="AQ17" s="143" t="s">
        <v>358</v>
      </c>
      <c r="AR17" s="143" t="s">
        <v>358</v>
      </c>
      <c r="AS17" s="143" t="s">
        <v>358</v>
      </c>
      <c r="AT17" s="143" t="s">
        <v>358</v>
      </c>
      <c r="AU17" s="143" t="s">
        <v>358</v>
      </c>
      <c r="AV17" s="143" t="s">
        <v>358</v>
      </c>
      <c r="AW17" s="32"/>
      <c r="AX17" s="32"/>
      <c r="AY17" s="32"/>
      <c r="AZ17" s="32"/>
      <c r="BA17" s="32"/>
      <c r="BB17" s="32"/>
      <c r="BC17" s="32"/>
      <c r="BD17" s="32"/>
      <c r="BE17" s="143" t="s">
        <v>358</v>
      </c>
      <c r="BF17" s="32"/>
      <c r="BG17" s="32"/>
      <c r="BH17" s="32"/>
      <c r="BI17" s="32"/>
    </row>
    <row x14ac:dyDescent="0.25" r="18" customHeight="1" ht="18.75">
      <c r="A18" s="30" t="s">
        <v>130</v>
      </c>
      <c r="B18" s="31">
        <v>4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3">
        <v>0</v>
      </c>
      <c r="I18" s="143">
        <v>0</v>
      </c>
      <c r="J18" s="143">
        <v>0</v>
      </c>
      <c r="K18" s="177"/>
      <c r="L18" s="177"/>
      <c r="M18" s="177"/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31"/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143">
        <v>0</v>
      </c>
      <c r="AF18" s="31"/>
      <c r="AG18" s="31">
        <v>3</v>
      </c>
      <c r="AH18" s="31">
        <v>2</v>
      </c>
      <c r="AI18" s="3"/>
      <c r="AJ18" s="143">
        <v>0</v>
      </c>
      <c r="AK18" s="143">
        <v>0</v>
      </c>
      <c r="AL18" s="143">
        <v>0</v>
      </c>
      <c r="AM18" s="143">
        <v>0</v>
      </c>
      <c r="AN18" s="143">
        <v>0</v>
      </c>
      <c r="AO18" s="143">
        <v>0</v>
      </c>
      <c r="AP18" s="143">
        <v>0</v>
      </c>
      <c r="AQ18" s="143">
        <v>0</v>
      </c>
      <c r="AR18" s="143">
        <v>0</v>
      </c>
      <c r="AS18" s="143">
        <v>0</v>
      </c>
      <c r="AT18" s="143">
        <v>0</v>
      </c>
      <c r="AU18" s="143">
        <v>0</v>
      </c>
      <c r="AV18" s="143">
        <v>0</v>
      </c>
      <c r="AW18" s="33"/>
      <c r="AX18" s="33"/>
      <c r="AY18" s="33"/>
      <c r="AZ18" s="31"/>
      <c r="BA18" s="31"/>
      <c r="BB18" s="31"/>
      <c r="BC18" s="31"/>
      <c r="BD18" s="31"/>
      <c r="BE18" s="143">
        <v>0</v>
      </c>
      <c r="BF18" s="31"/>
      <c r="BG18" s="31"/>
      <c r="BH18" s="31"/>
      <c r="BI18" s="31"/>
    </row>
    <row x14ac:dyDescent="0.25" r="19" customHeight="1" ht="18.75">
      <c r="A19" s="46"/>
      <c r="B19" s="2"/>
      <c r="C19" s="149"/>
      <c r="D19" s="149"/>
      <c r="E19" s="149"/>
      <c r="F19" s="149"/>
      <c r="G19" s="149"/>
      <c r="H19" s="149"/>
      <c r="I19" s="149"/>
      <c r="J19" s="149"/>
      <c r="K19" s="46"/>
      <c r="L19" s="46"/>
      <c r="M19" s="46"/>
      <c r="N19" s="149"/>
      <c r="O19" s="149"/>
      <c r="P19" s="149"/>
      <c r="Q19" s="149"/>
      <c r="R19" s="2"/>
      <c r="S19" s="2"/>
      <c r="T19" s="3"/>
      <c r="U19" s="3"/>
      <c r="V19" s="3"/>
      <c r="W19" s="3"/>
      <c r="X19" s="3"/>
      <c r="Y19" s="3"/>
      <c r="Z19" s="3"/>
      <c r="AA19" s="149"/>
      <c r="AB19" s="3"/>
      <c r="AC19" s="3"/>
      <c r="AD19" s="3"/>
      <c r="AE19" s="2"/>
      <c r="AF19" s="3"/>
      <c r="AG19" s="2"/>
      <c r="AH19" s="2"/>
      <c r="AI19" s="3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3"/>
      <c r="AX19" s="3"/>
      <c r="AY19" s="3"/>
      <c r="AZ19" s="3"/>
      <c r="BA19" s="3"/>
      <c r="BB19" s="3"/>
      <c r="BC19" s="3"/>
      <c r="BD19" s="3"/>
      <c r="BE19" s="149"/>
      <c r="BF19" s="3"/>
      <c r="BG19" s="3"/>
      <c r="BH19" s="3"/>
      <c r="BI19" s="3"/>
    </row>
    <row x14ac:dyDescent="0.25" r="20" customHeight="1" ht="18.75">
      <c r="A20" s="30" t="s">
        <v>43</v>
      </c>
      <c r="B20" s="31" t="s">
        <v>131</v>
      </c>
      <c r="C20" s="31" t="s">
        <v>367</v>
      </c>
      <c r="D20" s="31" t="s">
        <v>367</v>
      </c>
      <c r="E20" s="31" t="s">
        <v>367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31" t="s">
        <v>367</v>
      </c>
      <c r="K20" s="175"/>
      <c r="L20" s="175"/>
      <c r="M20" s="175"/>
      <c r="N20" s="31" t="s">
        <v>68</v>
      </c>
      <c r="O20" s="31" t="s">
        <v>68</v>
      </c>
      <c r="P20" s="31" t="s">
        <v>513</v>
      </c>
      <c r="Q20" s="139" t="s">
        <v>513</v>
      </c>
      <c r="R20" s="31" t="s">
        <v>367</v>
      </c>
      <c r="S20" s="31" t="s">
        <v>367</v>
      </c>
      <c r="T20" s="115"/>
      <c r="U20" s="32"/>
      <c r="V20" s="32"/>
      <c r="W20" s="32"/>
      <c r="X20" s="32"/>
      <c r="Y20" s="32"/>
      <c r="Z20" s="32"/>
      <c r="AA20" s="143" t="s">
        <v>358</v>
      </c>
      <c r="AB20" s="32"/>
      <c r="AC20" s="32"/>
      <c r="AD20" s="32"/>
      <c r="AE20" s="31" t="s">
        <v>132</v>
      </c>
      <c r="AF20" s="32"/>
      <c r="AG20" s="143" t="s">
        <v>358</v>
      </c>
      <c r="AH20" s="143" t="s">
        <v>358</v>
      </c>
      <c r="AI20" s="3"/>
      <c r="AJ20" s="31" t="s">
        <v>132</v>
      </c>
      <c r="AK20" s="31" t="s">
        <v>132</v>
      </c>
      <c r="AL20" s="31" t="s">
        <v>220</v>
      </c>
      <c r="AM20" s="31" t="s">
        <v>514</v>
      </c>
      <c r="AN20" s="31" t="s">
        <v>515</v>
      </c>
      <c r="AO20" s="31" t="s">
        <v>515</v>
      </c>
      <c r="AP20" s="139" t="s">
        <v>515</v>
      </c>
      <c r="AQ20" s="31" t="s">
        <v>515</v>
      </c>
      <c r="AR20" s="31" t="s">
        <v>132</v>
      </c>
      <c r="AS20" s="31" t="s">
        <v>132</v>
      </c>
      <c r="AT20" s="139" t="s">
        <v>132</v>
      </c>
      <c r="AU20" s="31" t="s">
        <v>516</v>
      </c>
      <c r="AV20" s="31" t="s">
        <v>516</v>
      </c>
      <c r="AW20" s="32"/>
      <c r="AX20" s="32"/>
      <c r="AY20" s="32"/>
      <c r="AZ20" s="32"/>
      <c r="BA20" s="32"/>
      <c r="BB20" s="32"/>
      <c r="BC20" s="32"/>
      <c r="BD20" s="32"/>
      <c r="BE20" s="31" t="s">
        <v>517</v>
      </c>
      <c r="BF20" s="32"/>
      <c r="BG20" s="32"/>
      <c r="BH20" s="32"/>
      <c r="BI20" s="32"/>
    </row>
    <row x14ac:dyDescent="0.25" r="21" customHeight="1" ht="15.75">
      <c r="A21" s="30" t="s">
        <v>45</v>
      </c>
      <c r="B21" s="31" t="s">
        <v>132</v>
      </c>
      <c r="C21" s="31" t="s">
        <v>368</v>
      </c>
      <c r="D21" s="31" t="s">
        <v>368</v>
      </c>
      <c r="E21" s="31" t="s">
        <v>368</v>
      </c>
      <c r="F21" s="143" t="s">
        <v>358</v>
      </c>
      <c r="G21" s="143" t="s">
        <v>358</v>
      </c>
      <c r="H21" s="143" t="s">
        <v>358</v>
      </c>
      <c r="I21" s="143" t="s">
        <v>358</v>
      </c>
      <c r="J21" s="31" t="s">
        <v>368</v>
      </c>
      <c r="K21" s="175"/>
      <c r="L21" s="175"/>
      <c r="M21" s="175"/>
      <c r="N21" s="33" t="s">
        <v>132</v>
      </c>
      <c r="O21" s="33" t="s">
        <v>132</v>
      </c>
      <c r="P21" s="31" t="s">
        <v>132</v>
      </c>
      <c r="Q21" s="31" t="s">
        <v>132</v>
      </c>
      <c r="R21" s="33" t="s">
        <v>368</v>
      </c>
      <c r="S21" s="33" t="s">
        <v>368</v>
      </c>
      <c r="T21" s="34"/>
      <c r="U21" s="34"/>
      <c r="V21" s="34"/>
      <c r="W21" s="34"/>
      <c r="X21" s="34"/>
      <c r="Y21" s="34"/>
      <c r="Z21" s="34"/>
      <c r="AA21" s="143" t="s">
        <v>358</v>
      </c>
      <c r="AB21" s="34"/>
      <c r="AC21" s="34"/>
      <c r="AD21" s="34"/>
      <c r="AE21" s="31" t="s">
        <v>132</v>
      </c>
      <c r="AF21" s="34"/>
      <c r="AG21" s="143" t="s">
        <v>358</v>
      </c>
      <c r="AH21" s="143" t="s">
        <v>358</v>
      </c>
      <c r="AI21" s="3"/>
      <c r="AJ21" s="31" t="s">
        <v>271</v>
      </c>
      <c r="AK21" s="31" t="s">
        <v>271</v>
      </c>
      <c r="AL21" s="31" t="s">
        <v>227</v>
      </c>
      <c r="AM21" s="31" t="s">
        <v>518</v>
      </c>
      <c r="AN21" s="31" t="s">
        <v>158</v>
      </c>
      <c r="AO21" s="31" t="s">
        <v>158</v>
      </c>
      <c r="AP21" s="139" t="s">
        <v>158</v>
      </c>
      <c r="AQ21" s="31" t="s">
        <v>158</v>
      </c>
      <c r="AR21" s="31" t="s">
        <v>271</v>
      </c>
      <c r="AS21" s="31" t="s">
        <v>272</v>
      </c>
      <c r="AT21" s="31" t="s">
        <v>271</v>
      </c>
      <c r="AU21" s="119" t="s">
        <v>519</v>
      </c>
      <c r="AV21" s="31" t="s">
        <v>271</v>
      </c>
      <c r="AW21" s="32"/>
      <c r="AX21" s="32"/>
      <c r="AY21" s="32"/>
      <c r="AZ21" s="34"/>
      <c r="BA21" s="34"/>
      <c r="BB21" s="34"/>
      <c r="BC21" s="34"/>
      <c r="BD21" s="34"/>
      <c r="BE21" s="31" t="s">
        <v>273</v>
      </c>
      <c r="BF21" s="34"/>
      <c r="BG21" s="34"/>
      <c r="BH21" s="34"/>
      <c r="BI21" s="34"/>
    </row>
    <row x14ac:dyDescent="0.25" r="22" customHeight="1" ht="18.75">
      <c r="A22" s="35" t="s">
        <v>47</v>
      </c>
      <c r="B22" s="117">
        <v>98</v>
      </c>
      <c r="C22" s="117">
        <v>151</v>
      </c>
      <c r="D22" s="117">
        <v>151</v>
      </c>
      <c r="E22" s="117">
        <v>151</v>
      </c>
      <c r="F22" s="144"/>
      <c r="G22" s="144"/>
      <c r="H22" s="144"/>
      <c r="I22" s="144"/>
      <c r="J22" s="117">
        <v>151</v>
      </c>
      <c r="K22" s="176"/>
      <c r="L22" s="176"/>
      <c r="M22" s="176"/>
      <c r="N22" s="117">
        <v>98</v>
      </c>
      <c r="O22" s="117">
        <v>98</v>
      </c>
      <c r="P22" s="117">
        <v>98</v>
      </c>
      <c r="Q22" s="117">
        <v>98</v>
      </c>
      <c r="R22" s="117">
        <v>151</v>
      </c>
      <c r="S22" s="117">
        <v>151</v>
      </c>
      <c r="T22" s="37"/>
      <c r="U22" s="37"/>
      <c r="V22" s="37"/>
      <c r="W22" s="37"/>
      <c r="X22" s="37"/>
      <c r="Y22" s="37"/>
      <c r="Z22" s="37"/>
      <c r="AA22" s="144"/>
      <c r="AB22" s="37"/>
      <c r="AC22" s="37"/>
      <c r="AD22" s="37"/>
      <c r="AE22" s="117">
        <v>98</v>
      </c>
      <c r="AF22" s="37"/>
      <c r="AG22" s="144"/>
      <c r="AH22" s="144"/>
      <c r="AI22" s="3"/>
      <c r="AJ22" s="117">
        <v>57</v>
      </c>
      <c r="AK22" s="117">
        <v>57</v>
      </c>
      <c r="AL22" s="117">
        <v>56</v>
      </c>
      <c r="AM22" s="117">
        <v>193</v>
      </c>
      <c r="AN22" s="117">
        <v>61</v>
      </c>
      <c r="AO22" s="117">
        <v>61</v>
      </c>
      <c r="AP22" s="167">
        <v>61</v>
      </c>
      <c r="AQ22" s="117">
        <v>61</v>
      </c>
      <c r="AR22" s="117">
        <v>57</v>
      </c>
      <c r="AS22" s="117">
        <v>35</v>
      </c>
      <c r="AT22" s="117">
        <v>57</v>
      </c>
      <c r="AU22" s="117">
        <v>194</v>
      </c>
      <c r="AV22" s="117">
        <v>57</v>
      </c>
      <c r="AW22" s="37"/>
      <c r="AX22" s="37"/>
      <c r="AY22" s="37"/>
      <c r="AZ22" s="37"/>
      <c r="BA22" s="37"/>
      <c r="BB22" s="37"/>
      <c r="BC22" s="37"/>
      <c r="BD22" s="37"/>
      <c r="BE22" s="117">
        <v>187</v>
      </c>
      <c r="BF22" s="37"/>
      <c r="BG22" s="37"/>
      <c r="BH22" s="37"/>
      <c r="BI22" s="37"/>
    </row>
    <row x14ac:dyDescent="0.25" r="23" customHeight="1" ht="18.75">
      <c r="A23" s="30" t="s">
        <v>123</v>
      </c>
      <c r="B23" s="31" t="s">
        <v>52</v>
      </c>
      <c r="C23" s="31" t="s">
        <v>162</v>
      </c>
      <c r="D23" s="31" t="s">
        <v>162</v>
      </c>
      <c r="E23" s="31" t="s">
        <v>162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31" t="s">
        <v>162</v>
      </c>
      <c r="K23" s="175"/>
      <c r="L23" s="175"/>
      <c r="M23" s="175"/>
      <c r="N23" s="31" t="s">
        <v>52</v>
      </c>
      <c r="O23" s="31" t="s">
        <v>52</v>
      </c>
      <c r="P23" s="31" t="s">
        <v>52</v>
      </c>
      <c r="Q23" s="31" t="s">
        <v>52</v>
      </c>
      <c r="R23" s="33" t="s">
        <v>162</v>
      </c>
      <c r="S23" s="33" t="s">
        <v>162</v>
      </c>
      <c r="T23" s="32"/>
      <c r="U23" s="32"/>
      <c r="V23" s="32"/>
      <c r="W23" s="32"/>
      <c r="X23" s="32"/>
      <c r="Y23" s="32"/>
      <c r="Z23" s="32"/>
      <c r="AA23" s="143" t="s">
        <v>49</v>
      </c>
      <c r="AB23" s="32"/>
      <c r="AC23" s="34"/>
      <c r="AD23" s="32"/>
      <c r="AE23" s="31" t="s">
        <v>52</v>
      </c>
      <c r="AF23" s="32"/>
      <c r="AG23" s="143" t="s">
        <v>49</v>
      </c>
      <c r="AH23" s="143" t="s">
        <v>49</v>
      </c>
      <c r="AI23" s="3"/>
      <c r="AJ23" s="33" t="s">
        <v>52</v>
      </c>
      <c r="AK23" s="33" t="s">
        <v>52</v>
      </c>
      <c r="AL23" s="33" t="s">
        <v>52</v>
      </c>
      <c r="AM23" s="33" t="s">
        <v>52</v>
      </c>
      <c r="AN23" s="33" t="s">
        <v>52</v>
      </c>
      <c r="AO23" s="33" t="s">
        <v>52</v>
      </c>
      <c r="AP23" s="140" t="s">
        <v>52</v>
      </c>
      <c r="AQ23" s="31" t="s">
        <v>52</v>
      </c>
      <c r="AR23" s="31" t="s">
        <v>52</v>
      </c>
      <c r="AS23" s="31" t="s">
        <v>52</v>
      </c>
      <c r="AT23" s="31" t="s">
        <v>52</v>
      </c>
      <c r="AU23" s="31" t="s">
        <v>52</v>
      </c>
      <c r="AV23" s="31" t="s">
        <v>52</v>
      </c>
      <c r="AW23" s="32"/>
      <c r="AX23" s="32"/>
      <c r="AY23" s="32"/>
      <c r="AZ23" s="32"/>
      <c r="BA23" s="32"/>
      <c r="BB23" s="32"/>
      <c r="BC23" s="32"/>
      <c r="BD23" s="32"/>
      <c r="BE23" s="33" t="s">
        <v>52</v>
      </c>
      <c r="BF23" s="32"/>
      <c r="BG23" s="34"/>
      <c r="BH23" s="32"/>
      <c r="BI23" s="32"/>
    </row>
    <row x14ac:dyDescent="0.25" r="24" customHeight="1" ht="18.75">
      <c r="A24" s="30" t="s">
        <v>124</v>
      </c>
      <c r="B24" s="33" t="s">
        <v>52</v>
      </c>
      <c r="C24" s="33" t="s">
        <v>162</v>
      </c>
      <c r="D24" s="33" t="s">
        <v>162</v>
      </c>
      <c r="E24" s="33" t="s">
        <v>162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33" t="s">
        <v>162</v>
      </c>
      <c r="K24" s="175"/>
      <c r="L24" s="175"/>
      <c r="M24" s="175"/>
      <c r="N24" s="31" t="s">
        <v>52</v>
      </c>
      <c r="O24" s="31" t="s">
        <v>52</v>
      </c>
      <c r="P24" s="31" t="s">
        <v>52</v>
      </c>
      <c r="Q24" s="31" t="s">
        <v>52</v>
      </c>
      <c r="R24" s="31" t="s">
        <v>162</v>
      </c>
      <c r="S24" s="31" t="s">
        <v>162</v>
      </c>
      <c r="T24" s="32"/>
      <c r="U24" s="32"/>
      <c r="V24" s="32"/>
      <c r="W24" s="32"/>
      <c r="X24" s="32"/>
      <c r="Y24" s="32"/>
      <c r="Z24" s="32"/>
      <c r="AA24" s="143" t="s">
        <v>49</v>
      </c>
      <c r="AB24" s="32"/>
      <c r="AC24" s="32"/>
      <c r="AD24" s="32"/>
      <c r="AE24" s="33" t="s">
        <v>52</v>
      </c>
      <c r="AF24" s="32"/>
      <c r="AG24" s="143" t="s">
        <v>49</v>
      </c>
      <c r="AH24" s="143" t="s">
        <v>49</v>
      </c>
      <c r="AI24" s="3"/>
      <c r="AJ24" s="31" t="s">
        <v>52</v>
      </c>
      <c r="AK24" s="31" t="s">
        <v>52</v>
      </c>
      <c r="AL24" s="33" t="s">
        <v>49</v>
      </c>
      <c r="AM24" s="31" t="s">
        <v>162</v>
      </c>
      <c r="AN24" s="31" t="s">
        <v>52</v>
      </c>
      <c r="AO24" s="31" t="s">
        <v>52</v>
      </c>
      <c r="AP24" s="139" t="s">
        <v>52</v>
      </c>
      <c r="AQ24" s="31" t="s">
        <v>52</v>
      </c>
      <c r="AR24" s="31" t="s">
        <v>52</v>
      </c>
      <c r="AS24" s="31" t="s">
        <v>52</v>
      </c>
      <c r="AT24" s="31" t="s">
        <v>52</v>
      </c>
      <c r="AU24" s="31" t="s">
        <v>52</v>
      </c>
      <c r="AV24" s="31" t="s">
        <v>52</v>
      </c>
      <c r="AW24" s="32"/>
      <c r="AX24" s="32"/>
      <c r="AY24" s="32"/>
      <c r="AZ24" s="32"/>
      <c r="BA24" s="32"/>
      <c r="BB24" s="32"/>
      <c r="BC24" s="32"/>
      <c r="BD24" s="32"/>
      <c r="BE24" s="31" t="s">
        <v>52</v>
      </c>
      <c r="BF24" s="32"/>
      <c r="BG24" s="32"/>
      <c r="BH24" s="32"/>
      <c r="BI24" s="32"/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31" t="s">
        <v>49</v>
      </c>
      <c r="K25" s="175"/>
      <c r="L25" s="175"/>
      <c r="M25" s="175"/>
      <c r="N25" s="31" t="s">
        <v>49</v>
      </c>
      <c r="O25" s="31" t="s">
        <v>49</v>
      </c>
      <c r="P25" s="31" t="s">
        <v>49</v>
      </c>
      <c r="Q25" s="31" t="s">
        <v>49</v>
      </c>
      <c r="R25" s="31" t="s">
        <v>49</v>
      </c>
      <c r="S25" s="31" t="s">
        <v>49</v>
      </c>
      <c r="T25" s="32"/>
      <c r="U25" s="32"/>
      <c r="V25" s="32"/>
      <c r="W25" s="32"/>
      <c r="X25" s="32"/>
      <c r="Y25" s="32"/>
      <c r="Z25" s="32"/>
      <c r="AA25" s="143" t="s">
        <v>49</v>
      </c>
      <c r="AB25" s="32"/>
      <c r="AC25" s="32"/>
      <c r="AD25" s="32"/>
      <c r="AE25" s="31" t="s">
        <v>49</v>
      </c>
      <c r="AF25" s="32"/>
      <c r="AG25" s="143" t="s">
        <v>49</v>
      </c>
      <c r="AH25" s="143" t="s">
        <v>49</v>
      </c>
      <c r="AI25" s="3"/>
      <c r="AJ25" s="31" t="s">
        <v>52</v>
      </c>
      <c r="AK25" s="31" t="s">
        <v>52</v>
      </c>
      <c r="AL25" s="31" t="s">
        <v>52</v>
      </c>
      <c r="AM25" s="31" t="s">
        <v>295</v>
      </c>
      <c r="AN25" s="31" t="s">
        <v>49</v>
      </c>
      <c r="AO25" s="31" t="s">
        <v>49</v>
      </c>
      <c r="AP25" s="31" t="s">
        <v>49</v>
      </c>
      <c r="AQ25" s="33" t="s">
        <v>49</v>
      </c>
      <c r="AR25" s="31" t="s">
        <v>52</v>
      </c>
      <c r="AS25" s="31" t="s">
        <v>52</v>
      </c>
      <c r="AT25" s="31" t="s">
        <v>52</v>
      </c>
      <c r="AU25" s="31" t="s">
        <v>52</v>
      </c>
      <c r="AV25" s="31" t="s">
        <v>52</v>
      </c>
      <c r="AW25" s="34"/>
      <c r="AX25" s="34"/>
      <c r="AY25" s="34"/>
      <c r="AZ25" s="32"/>
      <c r="BA25" s="32"/>
      <c r="BB25" s="32"/>
      <c r="BC25" s="32"/>
      <c r="BD25" s="32"/>
      <c r="BE25" s="31" t="s">
        <v>52</v>
      </c>
      <c r="BF25" s="32"/>
      <c r="BG25" s="32"/>
      <c r="BH25" s="32"/>
      <c r="BI25" s="32"/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31" t="s">
        <v>49</v>
      </c>
      <c r="K26" s="175"/>
      <c r="L26" s="175"/>
      <c r="M26" s="175"/>
      <c r="N26" s="31" t="s">
        <v>49</v>
      </c>
      <c r="O26" s="31" t="s">
        <v>49</v>
      </c>
      <c r="P26" s="31" t="s">
        <v>49</v>
      </c>
      <c r="Q26" s="31" t="s">
        <v>49</v>
      </c>
      <c r="R26" s="31" t="s">
        <v>49</v>
      </c>
      <c r="S26" s="31" t="s">
        <v>49</v>
      </c>
      <c r="T26" s="32"/>
      <c r="U26" s="32"/>
      <c r="V26" s="32"/>
      <c r="W26" s="32"/>
      <c r="X26" s="32"/>
      <c r="Y26" s="32"/>
      <c r="Z26" s="32"/>
      <c r="AA26" s="143" t="s">
        <v>49</v>
      </c>
      <c r="AB26" s="32"/>
      <c r="AC26" s="32"/>
      <c r="AD26" s="32"/>
      <c r="AE26" s="31" t="s">
        <v>49</v>
      </c>
      <c r="AF26" s="32"/>
      <c r="AG26" s="143" t="s">
        <v>49</v>
      </c>
      <c r="AH26" s="143" t="s">
        <v>49</v>
      </c>
      <c r="AI26" s="3"/>
      <c r="AJ26" s="31" t="s">
        <v>49</v>
      </c>
      <c r="AK26" s="31" t="s">
        <v>49</v>
      </c>
      <c r="AL26" s="31" t="s">
        <v>49</v>
      </c>
      <c r="AM26" s="31" t="s">
        <v>49</v>
      </c>
      <c r="AN26" s="31" t="s">
        <v>49</v>
      </c>
      <c r="AO26" s="31" t="s">
        <v>49</v>
      </c>
      <c r="AP26" s="31" t="s">
        <v>49</v>
      </c>
      <c r="AQ26" s="31" t="s">
        <v>49</v>
      </c>
      <c r="AR26" s="31" t="s">
        <v>49</v>
      </c>
      <c r="AS26" s="31" t="s">
        <v>49</v>
      </c>
      <c r="AT26" s="31" t="s">
        <v>49</v>
      </c>
      <c r="AU26" s="31" t="s">
        <v>49</v>
      </c>
      <c r="AV26" s="31" t="s">
        <v>49</v>
      </c>
      <c r="AW26" s="32"/>
      <c r="AX26" s="32"/>
      <c r="AY26" s="32"/>
      <c r="AZ26" s="32"/>
      <c r="BA26" s="32"/>
      <c r="BB26" s="32"/>
      <c r="BC26" s="32"/>
      <c r="BD26" s="32"/>
      <c r="BE26" s="31" t="s">
        <v>49</v>
      </c>
      <c r="BF26" s="32"/>
      <c r="BG26" s="32"/>
      <c r="BH26" s="32"/>
      <c r="BI26" s="32"/>
    </row>
    <row x14ac:dyDescent="0.25" r="27" customHeight="1" ht="18.75">
      <c r="A27" s="30" t="s">
        <v>127</v>
      </c>
      <c r="B27" s="31" t="s">
        <v>133</v>
      </c>
      <c r="C27" s="31" t="s">
        <v>133</v>
      </c>
      <c r="D27" s="31" t="s">
        <v>133</v>
      </c>
      <c r="E27" s="31" t="s">
        <v>133</v>
      </c>
      <c r="F27" s="143" t="s">
        <v>133</v>
      </c>
      <c r="G27" s="143" t="s">
        <v>133</v>
      </c>
      <c r="H27" s="143" t="s">
        <v>133</v>
      </c>
      <c r="I27" s="143" t="s">
        <v>133</v>
      </c>
      <c r="J27" s="31" t="s">
        <v>133</v>
      </c>
      <c r="K27" s="175"/>
      <c r="L27" s="175"/>
      <c r="M27" s="175"/>
      <c r="N27" s="31" t="s">
        <v>133</v>
      </c>
      <c r="O27" s="31" t="s">
        <v>133</v>
      </c>
      <c r="P27" s="31" t="s">
        <v>133</v>
      </c>
      <c r="Q27" s="31" t="s">
        <v>133</v>
      </c>
      <c r="R27" s="31" t="s">
        <v>133</v>
      </c>
      <c r="S27" s="31" t="s">
        <v>133</v>
      </c>
      <c r="T27" s="32"/>
      <c r="U27" s="32"/>
      <c r="V27" s="32"/>
      <c r="W27" s="32"/>
      <c r="X27" s="32"/>
      <c r="Y27" s="32"/>
      <c r="Z27" s="32"/>
      <c r="AA27" s="143" t="s">
        <v>133</v>
      </c>
      <c r="AB27" s="32"/>
      <c r="AC27" s="32"/>
      <c r="AD27" s="32"/>
      <c r="AE27" s="31" t="s">
        <v>133</v>
      </c>
      <c r="AF27" s="32"/>
      <c r="AG27" s="143" t="s">
        <v>133</v>
      </c>
      <c r="AH27" s="143" t="s">
        <v>133</v>
      </c>
      <c r="AI27" s="3"/>
      <c r="AJ27" s="31" t="s">
        <v>133</v>
      </c>
      <c r="AK27" s="31" t="s">
        <v>133</v>
      </c>
      <c r="AL27" s="31" t="s">
        <v>133</v>
      </c>
      <c r="AM27" s="31" t="s">
        <v>133</v>
      </c>
      <c r="AN27" s="31" t="s">
        <v>133</v>
      </c>
      <c r="AO27" s="31" t="s">
        <v>133</v>
      </c>
      <c r="AP27" s="31" t="s">
        <v>133</v>
      </c>
      <c r="AQ27" s="31" t="s">
        <v>133</v>
      </c>
      <c r="AR27" s="31" t="s">
        <v>133</v>
      </c>
      <c r="AS27" s="31" t="s">
        <v>133</v>
      </c>
      <c r="AT27" s="31" t="s">
        <v>133</v>
      </c>
      <c r="AU27" s="31" t="s">
        <v>520</v>
      </c>
      <c r="AV27" s="31" t="s">
        <v>133</v>
      </c>
      <c r="AW27" s="32"/>
      <c r="AX27" s="32"/>
      <c r="AY27" s="32"/>
      <c r="AZ27" s="32"/>
      <c r="BA27" s="32"/>
      <c r="BB27" s="32"/>
      <c r="BC27" s="32"/>
      <c r="BD27" s="32"/>
      <c r="BE27" s="31" t="s">
        <v>133</v>
      </c>
      <c r="BF27" s="32"/>
      <c r="BG27" s="32"/>
      <c r="BH27" s="32"/>
      <c r="BI27" s="32"/>
    </row>
    <row x14ac:dyDescent="0.25" r="28" customHeight="1" ht="18.75">
      <c r="A28" s="30" t="s">
        <v>128</v>
      </c>
      <c r="B28" s="31">
        <v>-2</v>
      </c>
      <c r="C28" s="31">
        <v>-2</v>
      </c>
      <c r="D28" s="31">
        <v>-2</v>
      </c>
      <c r="E28" s="31">
        <v>-2</v>
      </c>
      <c r="F28" s="143">
        <v>-2</v>
      </c>
      <c r="G28" s="143">
        <v>-2</v>
      </c>
      <c r="H28" s="143">
        <v>-2</v>
      </c>
      <c r="I28" s="143">
        <v>-2</v>
      </c>
      <c r="J28" s="31">
        <v>-2</v>
      </c>
      <c r="K28" s="177"/>
      <c r="L28" s="177"/>
      <c r="M28" s="177"/>
      <c r="N28" s="31">
        <v>-2</v>
      </c>
      <c r="O28" s="31">
        <v>-2</v>
      </c>
      <c r="P28" s="31">
        <v>-2</v>
      </c>
      <c r="Q28" s="31">
        <v>-2</v>
      </c>
      <c r="R28" s="31">
        <v>-2</v>
      </c>
      <c r="S28" s="31">
        <v>-2</v>
      </c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31"/>
      <c r="AD28" s="31"/>
      <c r="AE28" s="31">
        <v>-2</v>
      </c>
      <c r="AF28" s="31"/>
      <c r="AG28" s="143">
        <v>-2</v>
      </c>
      <c r="AH28" s="143">
        <v>-2</v>
      </c>
      <c r="AI28" s="3"/>
      <c r="AJ28" s="31">
        <v>-0.5</v>
      </c>
      <c r="AK28" s="31">
        <v>-0.5</v>
      </c>
      <c r="AL28" s="31">
        <v>-0.5</v>
      </c>
      <c r="AM28" s="31">
        <f>AVERAGE(-2,-0.5)</f>
      </c>
      <c r="AN28" s="31">
        <v>-2</v>
      </c>
      <c r="AO28" s="31">
        <v>-2</v>
      </c>
      <c r="AP28" s="31">
        <v>-2</v>
      </c>
      <c r="AQ28" s="31">
        <v>-2</v>
      </c>
      <c r="AR28" s="31">
        <v>-0.5</v>
      </c>
      <c r="AS28" s="31">
        <v>-0.5</v>
      </c>
      <c r="AT28" s="31">
        <v>-0.5</v>
      </c>
      <c r="AU28" s="31">
        <f>AVERAGE(-0.5,-0.5,0.5)</f>
      </c>
      <c r="AV28" s="31">
        <v>-0.5</v>
      </c>
      <c r="AW28" s="31"/>
      <c r="AX28" s="31"/>
      <c r="AY28" s="31"/>
      <c r="AZ28" s="31"/>
      <c r="BA28" s="31"/>
      <c r="BB28" s="31"/>
      <c r="BC28" s="31"/>
      <c r="BD28" s="31"/>
      <c r="BE28" s="31">
        <v>-0.5</v>
      </c>
      <c r="BF28" s="31"/>
      <c r="BG28" s="31"/>
      <c r="BH28" s="31"/>
      <c r="BI28" s="31"/>
    </row>
    <row x14ac:dyDescent="0.25" r="29" customHeight="1" ht="18.75">
      <c r="A29" s="30" t="s">
        <v>129</v>
      </c>
      <c r="B29" s="31" t="s">
        <v>134</v>
      </c>
      <c r="C29" s="33" t="s">
        <v>369</v>
      </c>
      <c r="D29" s="33" t="s">
        <v>369</v>
      </c>
      <c r="E29" s="33" t="s">
        <v>369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33" t="s">
        <v>369</v>
      </c>
      <c r="K29" s="175"/>
      <c r="L29" s="175"/>
      <c r="M29" s="175"/>
      <c r="N29" s="31" t="s">
        <v>134</v>
      </c>
      <c r="O29" s="31" t="s">
        <v>134</v>
      </c>
      <c r="P29" s="31" t="s">
        <v>134</v>
      </c>
      <c r="Q29" s="31" t="s">
        <v>134</v>
      </c>
      <c r="R29" s="33" t="s">
        <v>369</v>
      </c>
      <c r="S29" s="33" t="s">
        <v>369</v>
      </c>
      <c r="T29" s="32"/>
      <c r="U29" s="32"/>
      <c r="V29" s="32"/>
      <c r="W29" s="32"/>
      <c r="X29" s="32"/>
      <c r="Y29" s="32"/>
      <c r="Z29" s="32"/>
      <c r="AA29" s="143" t="s">
        <v>358</v>
      </c>
      <c r="AB29" s="32"/>
      <c r="AC29" s="32"/>
      <c r="AD29" s="32"/>
      <c r="AE29" s="31" t="s">
        <v>134</v>
      </c>
      <c r="AF29" s="32"/>
      <c r="AG29" s="143" t="s">
        <v>358</v>
      </c>
      <c r="AH29" s="143" t="s">
        <v>358</v>
      </c>
      <c r="AI29" s="3"/>
      <c r="AJ29" s="31" t="s">
        <v>169</v>
      </c>
      <c r="AK29" s="31" t="s">
        <v>169</v>
      </c>
      <c r="AL29" s="31" t="s">
        <v>169</v>
      </c>
      <c r="AM29" s="31" t="s">
        <v>169</v>
      </c>
      <c r="AN29" s="31" t="s">
        <v>169</v>
      </c>
      <c r="AO29" s="31" t="s">
        <v>169</v>
      </c>
      <c r="AP29" s="31" t="s">
        <v>169</v>
      </c>
      <c r="AQ29" s="31" t="s">
        <v>169</v>
      </c>
      <c r="AR29" s="31" t="s">
        <v>169</v>
      </c>
      <c r="AS29" s="31" t="s">
        <v>274</v>
      </c>
      <c r="AT29" s="31" t="s">
        <v>169</v>
      </c>
      <c r="AU29" s="31" t="s">
        <v>274</v>
      </c>
      <c r="AV29" s="31" t="s">
        <v>169</v>
      </c>
      <c r="AW29" s="32"/>
      <c r="AX29" s="32"/>
      <c r="AY29" s="32"/>
      <c r="AZ29" s="32"/>
      <c r="BA29" s="32"/>
      <c r="BB29" s="32"/>
      <c r="BC29" s="32"/>
      <c r="BD29" s="32"/>
      <c r="BE29" s="31" t="s">
        <v>275</v>
      </c>
      <c r="BF29" s="32"/>
      <c r="BG29" s="32"/>
      <c r="BH29" s="32"/>
      <c r="BI29" s="32"/>
    </row>
    <row x14ac:dyDescent="0.25" r="30" customHeight="1" ht="18.75">
      <c r="A30" s="30" t="s">
        <v>130</v>
      </c>
      <c r="B30" s="31">
        <f>1/3</f>
      </c>
      <c r="C30" s="31">
        <f>AVERAGE(1/3,0)</f>
      </c>
      <c r="D30" s="31">
        <f>AVERAGE(1/3,0)</f>
      </c>
      <c r="E30" s="31">
        <f>AVERAGE(1/3,0)</f>
      </c>
      <c r="F30" s="143">
        <v>0</v>
      </c>
      <c r="G30" s="143">
        <v>0</v>
      </c>
      <c r="H30" s="143">
        <v>0</v>
      </c>
      <c r="I30" s="143">
        <v>0</v>
      </c>
      <c r="J30" s="31">
        <f>AVERAGE(1/3,0)</f>
      </c>
      <c r="K30" s="177"/>
      <c r="L30" s="177"/>
      <c r="M30" s="177"/>
      <c r="N30" s="31">
        <f>1/3</f>
      </c>
      <c r="O30" s="31">
        <f>1/3</f>
      </c>
      <c r="P30" s="31">
        <f>1/3</f>
      </c>
      <c r="Q30" s="31">
        <f>1/3</f>
      </c>
      <c r="R30" s="31">
        <f>AVERAGE(1/3,0)</f>
      </c>
      <c r="S30" s="31">
        <f>AVERAGE(1/3,0)</f>
      </c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31"/>
      <c r="AD30" s="31"/>
      <c r="AE30" s="31">
        <f>1/3</f>
      </c>
      <c r="AF30" s="31"/>
      <c r="AG30" s="143">
        <v>0</v>
      </c>
      <c r="AH30" s="143">
        <v>0</v>
      </c>
      <c r="AI30" s="3"/>
      <c r="AJ30" s="31">
        <v>2</v>
      </c>
      <c r="AK30" s="31">
        <v>2</v>
      </c>
      <c r="AL30" s="31">
        <v>2</v>
      </c>
      <c r="AM30" s="31">
        <v>2</v>
      </c>
      <c r="AN30" s="31">
        <v>2</v>
      </c>
      <c r="AO30" s="31">
        <v>2</v>
      </c>
      <c r="AP30" s="31">
        <v>2</v>
      </c>
      <c r="AQ30" s="31">
        <v>2</v>
      </c>
      <c r="AR30" s="33">
        <v>2</v>
      </c>
      <c r="AS30" s="33">
        <v>3</v>
      </c>
      <c r="AT30" s="33">
        <v>2</v>
      </c>
      <c r="AU30" s="33">
        <v>3</v>
      </c>
      <c r="AV30" s="33">
        <v>2</v>
      </c>
      <c r="AW30" s="33"/>
      <c r="AX30" s="33"/>
      <c r="AY30" s="33"/>
      <c r="AZ30" s="31"/>
      <c r="BA30" s="31"/>
      <c r="BB30" s="31"/>
      <c r="BC30" s="31"/>
      <c r="BD30" s="31"/>
      <c r="BE30" s="31">
        <v>3.75</v>
      </c>
      <c r="BF30" s="31"/>
      <c r="BG30" s="31"/>
      <c r="BH30" s="31"/>
      <c r="BI30" s="31"/>
    </row>
    <row x14ac:dyDescent="0.25" r="31" customHeight="1" ht="15.75">
      <c r="A31" s="46"/>
      <c r="B31" s="2"/>
      <c r="C31" s="121" t="s">
        <v>583</v>
      </c>
      <c r="D31" s="121"/>
      <c r="E31" s="121"/>
      <c r="F31" s="121"/>
      <c r="G31" s="121"/>
      <c r="H31" s="121"/>
      <c r="I31" s="121"/>
      <c r="J31" s="121"/>
      <c r="K31" s="120"/>
      <c r="L31" s="120"/>
      <c r="M31" s="120"/>
      <c r="N31" s="121"/>
      <c r="O31" s="121"/>
      <c r="P31" s="149"/>
      <c r="Q31" s="149"/>
      <c r="R31" s="2"/>
      <c r="S31" s="2"/>
      <c r="T31" s="3"/>
      <c r="U31" s="3"/>
      <c r="V31" s="3"/>
      <c r="W31" s="3"/>
      <c r="X31" s="3"/>
      <c r="Y31" s="3"/>
      <c r="Z31" s="3"/>
      <c r="AA31" s="149"/>
      <c r="AB31" s="3"/>
      <c r="AC31" s="3"/>
      <c r="AD31" s="3"/>
      <c r="AE31" s="2"/>
      <c r="AF31" s="3"/>
      <c r="AG31" s="2"/>
      <c r="AH31" s="2"/>
      <c r="AI31" s="3"/>
      <c r="AJ31" s="138" t="s">
        <v>584</v>
      </c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3"/>
      <c r="AX31" s="3"/>
      <c r="AY31" s="3"/>
      <c r="AZ31" s="3"/>
      <c r="BA31" s="3"/>
      <c r="BB31" s="3"/>
      <c r="BC31" s="3"/>
      <c r="BD31" s="3"/>
      <c r="BE31" s="149"/>
      <c r="BF31" s="3"/>
      <c r="BG31" s="3"/>
      <c r="BH31" s="3"/>
      <c r="BI31" s="3"/>
    </row>
    <row x14ac:dyDescent="0.25" r="32" customHeight="1" ht="18.75">
      <c r="A32" s="38" t="s">
        <v>64</v>
      </c>
      <c r="B32" s="2"/>
      <c r="C32" s="149"/>
      <c r="D32" s="149"/>
      <c r="E32" s="149"/>
      <c r="F32" s="149"/>
      <c r="G32" s="149"/>
      <c r="H32" s="149"/>
      <c r="I32" s="149"/>
      <c r="J32" s="149"/>
      <c r="K32" s="46"/>
      <c r="L32" s="46"/>
      <c r="M32" s="46"/>
      <c r="N32" s="149"/>
      <c r="O32" s="149"/>
      <c r="P32" s="149"/>
      <c r="Q32" s="149"/>
      <c r="R32" s="2"/>
      <c r="S32" s="2"/>
      <c r="T32" s="3"/>
      <c r="U32" s="3"/>
      <c r="V32" s="3"/>
      <c r="W32" s="3"/>
      <c r="X32" s="3"/>
      <c r="Y32" s="3"/>
      <c r="Z32" s="3"/>
      <c r="AA32" s="149"/>
      <c r="AB32" s="3"/>
      <c r="AC32" s="3"/>
      <c r="AD32" s="3"/>
      <c r="AE32" s="2"/>
      <c r="AF32" s="3"/>
      <c r="AG32" s="2"/>
      <c r="AH32" s="2"/>
      <c r="AI32" s="3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3"/>
      <c r="AX32" s="3"/>
      <c r="AY32" s="3"/>
      <c r="AZ32" s="3"/>
      <c r="BA32" s="3"/>
      <c r="BB32" s="3"/>
      <c r="BC32" s="3"/>
      <c r="BD32" s="3"/>
      <c r="BE32" s="149"/>
      <c r="BF32" s="3"/>
      <c r="BG32" s="3"/>
      <c r="BH32" s="3"/>
      <c r="BI32" s="3"/>
    </row>
    <row x14ac:dyDescent="0.25" r="33" customHeight="1" ht="18.75">
      <c r="A33" s="164" t="s">
        <v>585</v>
      </c>
      <c r="B33" s="40"/>
      <c r="C33" s="149"/>
      <c r="D33" s="149"/>
      <c r="E33" s="149"/>
      <c r="F33" s="149"/>
      <c r="G33" s="149"/>
      <c r="H33" s="149"/>
      <c r="I33" s="149"/>
      <c r="J33" s="149"/>
      <c r="K33" s="46"/>
      <c r="L33" s="46"/>
      <c r="M33" s="46"/>
      <c r="N33" s="149"/>
      <c r="O33" s="149"/>
      <c r="P33" s="149"/>
      <c r="Q33" s="149"/>
      <c r="R33" s="2"/>
      <c r="S33" s="2"/>
      <c r="T33" s="3"/>
      <c r="U33" s="3"/>
      <c r="V33" s="3"/>
      <c r="W33" s="3"/>
      <c r="X33" s="3"/>
      <c r="Y33" s="3"/>
      <c r="Z33" s="3"/>
      <c r="AA33" s="149"/>
      <c r="AB33" s="3"/>
      <c r="AC33" s="3"/>
      <c r="AD33" s="3"/>
      <c r="AE33" s="2"/>
      <c r="AF33" s="3"/>
      <c r="AG33" s="2"/>
      <c r="AH33" s="2"/>
      <c r="AI33" s="3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3"/>
      <c r="AX33" s="3"/>
      <c r="AY33" s="3"/>
      <c r="AZ33" s="3"/>
      <c r="BA33" s="3"/>
      <c r="BB33" s="3"/>
      <c r="BC33" s="3"/>
      <c r="BD33" s="3"/>
      <c r="BE33" s="149"/>
      <c r="BF33" s="3"/>
      <c r="BG33" s="3"/>
      <c r="BH33" s="3"/>
      <c r="BI33" s="3"/>
    </row>
    <row x14ac:dyDescent="0.25" r="34" customHeight="1" ht="18.75" customFormat="1" s="159">
      <c r="A34" s="164" t="s">
        <v>586</v>
      </c>
      <c r="B34" s="162"/>
      <c r="C34" s="168"/>
      <c r="D34" s="168"/>
      <c r="E34" s="168"/>
      <c r="F34" s="168"/>
      <c r="G34" s="168"/>
      <c r="H34" s="168"/>
      <c r="I34" s="168"/>
      <c r="J34" s="168"/>
      <c r="K34" s="178"/>
      <c r="L34" s="178"/>
      <c r="M34" s="178"/>
      <c r="N34" s="168"/>
      <c r="O34" s="168"/>
      <c r="P34" s="168"/>
      <c r="Q34" s="168"/>
      <c r="R34" s="162"/>
      <c r="S34" s="162"/>
      <c r="T34" s="163"/>
      <c r="U34" s="163"/>
      <c r="V34" s="163"/>
      <c r="W34" s="163"/>
      <c r="X34" s="163"/>
      <c r="Y34" s="163"/>
      <c r="Z34" s="163"/>
      <c r="AA34" s="168"/>
      <c r="AB34" s="163"/>
      <c r="AC34" s="163"/>
      <c r="AD34" s="163"/>
      <c r="AE34" s="162"/>
      <c r="AF34" s="163"/>
      <c r="AG34" s="162"/>
      <c r="AH34" s="162"/>
      <c r="AI34" s="163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3"/>
      <c r="AX34" s="163"/>
      <c r="AY34" s="163"/>
      <c r="AZ34" s="163"/>
      <c r="BA34" s="163"/>
      <c r="BB34" s="163"/>
      <c r="BC34" s="163"/>
      <c r="BD34" s="163"/>
      <c r="BE34" s="168"/>
      <c r="BF34" s="163"/>
      <c r="BG34" s="163"/>
      <c r="BH34" s="163"/>
      <c r="BI34" s="163"/>
    </row>
    <row x14ac:dyDescent="0.25" r="35" customHeight="1" ht="18.75">
      <c r="A35" s="46"/>
      <c r="B35" s="2"/>
      <c r="C35" s="149"/>
      <c r="D35" s="149"/>
      <c r="E35" s="149"/>
      <c r="F35" s="149"/>
      <c r="G35" s="149"/>
      <c r="H35" s="149"/>
      <c r="I35" s="149"/>
      <c r="J35" s="149"/>
      <c r="K35" s="46"/>
      <c r="L35" s="46"/>
      <c r="M35" s="46"/>
      <c r="N35" s="149"/>
      <c r="O35" s="149"/>
      <c r="P35" s="149"/>
      <c r="Q35" s="149"/>
      <c r="R35" s="2"/>
      <c r="S35" s="2"/>
      <c r="T35" s="3"/>
      <c r="U35" s="3"/>
      <c r="V35" s="3"/>
      <c r="W35" s="3"/>
      <c r="X35" s="3"/>
      <c r="Y35" s="3"/>
      <c r="Z35" s="3"/>
      <c r="AA35" s="149"/>
      <c r="AB35" s="3"/>
      <c r="AC35" s="3"/>
      <c r="AD35" s="3"/>
      <c r="AE35" s="2"/>
      <c r="AF35" s="3"/>
      <c r="AG35" s="2"/>
      <c r="AH35" s="2"/>
      <c r="AI35" s="3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3"/>
      <c r="AX35" s="3"/>
      <c r="AY35" s="3"/>
      <c r="AZ35" s="3"/>
      <c r="BA35" s="3"/>
      <c r="BB35" s="3"/>
      <c r="BC35" s="3"/>
      <c r="BD35" s="3"/>
      <c r="BE35" s="149"/>
      <c r="BF35" s="3"/>
      <c r="BG35" s="3"/>
      <c r="BH35" s="3"/>
      <c r="BI35" s="3"/>
    </row>
    <row x14ac:dyDescent="0.25" r="36" customHeight="1" ht="18.75">
      <c r="A36" s="1" t="s">
        <v>416</v>
      </c>
      <c r="B36" s="2"/>
      <c r="C36" s="149"/>
      <c r="D36" s="149"/>
      <c r="E36" s="149"/>
      <c r="F36" s="149"/>
      <c r="G36" s="149"/>
      <c r="H36" s="149"/>
      <c r="I36" s="149"/>
      <c r="J36" s="149"/>
      <c r="K36" s="46"/>
      <c r="L36" s="46"/>
      <c r="M36" s="46"/>
      <c r="N36" s="149"/>
      <c r="O36" s="149"/>
      <c r="P36" s="149"/>
      <c r="Q36" s="149"/>
      <c r="R36" s="2"/>
      <c r="S36" s="2"/>
      <c r="T36" s="3"/>
      <c r="U36" s="3"/>
      <c r="V36" s="3"/>
      <c r="W36" s="3"/>
      <c r="X36" s="3"/>
      <c r="Y36" s="3"/>
      <c r="Z36" s="3"/>
      <c r="AA36" s="149"/>
      <c r="AB36" s="3"/>
      <c r="AC36" s="3"/>
      <c r="AD36" s="3"/>
      <c r="AE36" s="2"/>
      <c r="AF36" s="3"/>
      <c r="AG36" s="2"/>
      <c r="AH36" s="2"/>
      <c r="AI36" s="3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3"/>
      <c r="AX36" s="3"/>
      <c r="AY36" s="3"/>
      <c r="AZ36" s="3"/>
      <c r="BA36" s="3"/>
      <c r="BB36" s="3"/>
      <c r="BC36" s="3"/>
      <c r="BD36" s="3"/>
      <c r="BE36" s="149"/>
      <c r="BF36" s="3"/>
      <c r="BG36" s="3"/>
      <c r="BH36" s="3"/>
      <c r="BI36" s="3"/>
    </row>
    <row x14ac:dyDescent="0.25" r="37" customHeight="1" ht="15.75">
      <c r="A37" s="30" t="s">
        <v>587</v>
      </c>
      <c r="B37" s="2"/>
      <c r="C37" s="150" t="s">
        <v>527</v>
      </c>
      <c r="D37" s="150"/>
      <c r="E37" s="150" t="s">
        <v>527</v>
      </c>
      <c r="F37" s="150" t="s">
        <v>527</v>
      </c>
      <c r="G37" s="150" t="s">
        <v>527</v>
      </c>
      <c r="H37" s="150"/>
      <c r="I37" s="150"/>
      <c r="J37" s="150" t="s">
        <v>527</v>
      </c>
      <c r="K37" s="30" t="s">
        <v>527</v>
      </c>
      <c r="L37" s="30"/>
      <c r="M37" s="30"/>
      <c r="N37" s="150" t="s">
        <v>527</v>
      </c>
      <c r="O37" s="150" t="s">
        <v>588</v>
      </c>
      <c r="P37" s="150" t="s">
        <v>542</v>
      </c>
      <c r="Q37" s="150"/>
      <c r="R37" s="2"/>
      <c r="S37" s="2"/>
      <c r="T37" s="3"/>
      <c r="U37" s="3"/>
      <c r="V37" s="3"/>
      <c r="W37" s="3"/>
      <c r="X37" s="3"/>
      <c r="Y37" s="3"/>
      <c r="Z37" s="3"/>
      <c r="AA37" s="154" t="s">
        <v>132</v>
      </c>
      <c r="AB37" s="3"/>
      <c r="AC37" s="3"/>
      <c r="AD37" s="3"/>
      <c r="AE37" s="2"/>
      <c r="AF37" s="3"/>
      <c r="AG37" s="2"/>
      <c r="AH37" s="2"/>
      <c r="AI37" s="3"/>
      <c r="AJ37" s="150" t="s">
        <v>271</v>
      </c>
      <c r="AK37" s="150"/>
      <c r="AL37" s="150" t="s">
        <v>227</v>
      </c>
      <c r="AM37" s="150" t="s">
        <v>158</v>
      </c>
      <c r="AN37" s="150" t="s">
        <v>158</v>
      </c>
      <c r="AO37" s="150"/>
      <c r="AP37" s="150"/>
      <c r="AQ37" s="150" t="s">
        <v>158</v>
      </c>
      <c r="AR37" s="150" t="s">
        <v>271</v>
      </c>
      <c r="AS37" s="150" t="s">
        <v>272</v>
      </c>
      <c r="AT37" s="150" t="s">
        <v>271</v>
      </c>
      <c r="AU37" s="150" t="s">
        <v>589</v>
      </c>
      <c r="AV37" s="170" t="s">
        <v>590</v>
      </c>
      <c r="AW37" s="3"/>
      <c r="AX37" s="3"/>
      <c r="AY37" s="3"/>
      <c r="AZ37" s="3"/>
      <c r="BA37" s="3"/>
      <c r="BB37" s="3"/>
      <c r="BC37" s="3"/>
      <c r="BD37" s="3"/>
      <c r="BE37" s="150" t="s">
        <v>530</v>
      </c>
      <c r="BF37" s="3"/>
      <c r="BG37" s="3"/>
      <c r="BH37" s="3"/>
      <c r="BI37" s="3"/>
    </row>
    <row x14ac:dyDescent="0.25" r="38" customHeight="1" ht="15.75">
      <c r="A38" s="30" t="s">
        <v>591</v>
      </c>
      <c r="B38" s="2"/>
      <c r="C38" s="150" t="s">
        <v>592</v>
      </c>
      <c r="D38" s="150"/>
      <c r="E38" s="150" t="s">
        <v>592</v>
      </c>
      <c r="F38" s="150" t="s">
        <v>527</v>
      </c>
      <c r="G38" s="150" t="s">
        <v>527</v>
      </c>
      <c r="H38" s="150"/>
      <c r="I38" s="150"/>
      <c r="J38" s="150" t="s">
        <v>527</v>
      </c>
      <c r="K38" s="30" t="s">
        <v>527</v>
      </c>
      <c r="L38" s="30"/>
      <c r="M38" s="30"/>
      <c r="N38" s="150" t="s">
        <v>132</v>
      </c>
      <c r="O38" s="150"/>
      <c r="P38" s="150" t="s">
        <v>132</v>
      </c>
      <c r="Q38" s="150"/>
      <c r="R38" s="2"/>
      <c r="S38" s="2"/>
      <c r="T38" s="3"/>
      <c r="U38" s="3"/>
      <c r="V38" s="3"/>
      <c r="W38" s="3"/>
      <c r="X38" s="3"/>
      <c r="Y38" s="3"/>
      <c r="Z38" s="3"/>
      <c r="AA38" s="150" t="s">
        <v>527</v>
      </c>
      <c r="AB38" s="3"/>
      <c r="AC38" s="3"/>
      <c r="AD38" s="3"/>
      <c r="AE38" s="2"/>
      <c r="AF38" s="3"/>
      <c r="AG38" s="2"/>
      <c r="AH38" s="2"/>
      <c r="AI38" s="3"/>
      <c r="AJ38" s="150" t="s">
        <v>593</v>
      </c>
      <c r="AK38" s="150"/>
      <c r="AL38" s="150" t="s">
        <v>594</v>
      </c>
      <c r="AM38" s="150" t="s">
        <v>158</v>
      </c>
      <c r="AN38" s="150" t="s">
        <v>158</v>
      </c>
      <c r="AO38" s="150"/>
      <c r="AP38" s="150"/>
      <c r="AQ38" s="150" t="s">
        <v>158</v>
      </c>
      <c r="AR38" s="150" t="s">
        <v>271</v>
      </c>
      <c r="AS38" s="150" t="s">
        <v>272</v>
      </c>
      <c r="AT38" s="150" t="s">
        <v>271</v>
      </c>
      <c r="AU38" s="150" t="s">
        <v>530</v>
      </c>
      <c r="AV38" s="150" t="s">
        <v>530</v>
      </c>
      <c r="AW38" s="3"/>
      <c r="AX38" s="3"/>
      <c r="AY38" s="3"/>
      <c r="AZ38" s="3"/>
      <c r="BA38" s="3"/>
      <c r="BB38" s="3"/>
      <c r="BC38" s="3"/>
      <c r="BD38" s="3"/>
      <c r="BE38" s="150" t="s">
        <v>533</v>
      </c>
      <c r="BF38" s="3"/>
      <c r="BG38" s="3"/>
      <c r="BH38" s="3"/>
      <c r="BI38" s="3"/>
    </row>
    <row x14ac:dyDescent="0.25" r="39" customHeight="1" ht="15.75">
      <c r="A39" s="30" t="s">
        <v>595</v>
      </c>
      <c r="B39" s="2"/>
      <c r="C39" s="150" t="s">
        <v>431</v>
      </c>
      <c r="D39" s="150"/>
      <c r="E39" s="150" t="s">
        <v>431</v>
      </c>
      <c r="F39" s="150" t="s">
        <v>431</v>
      </c>
      <c r="G39" s="150" t="s">
        <v>431</v>
      </c>
      <c r="H39" s="150"/>
      <c r="I39" s="150"/>
      <c r="J39" s="150" t="s">
        <v>527</v>
      </c>
      <c r="K39" s="30"/>
      <c r="L39" s="30"/>
      <c r="M39" s="30"/>
      <c r="N39" s="149"/>
      <c r="O39" s="149"/>
      <c r="P39" s="150" t="s">
        <v>132</v>
      </c>
      <c r="Q39" s="150"/>
      <c r="R39" s="2"/>
      <c r="S39" s="2"/>
      <c r="T39" s="3"/>
      <c r="U39" s="3"/>
      <c r="V39" s="3"/>
      <c r="W39" s="3"/>
      <c r="X39" s="3"/>
      <c r="Y39" s="3"/>
      <c r="Z39" s="3"/>
      <c r="AA39" s="154" t="s">
        <v>132</v>
      </c>
      <c r="AB39" s="3"/>
      <c r="AC39" s="3"/>
      <c r="AD39" s="3"/>
      <c r="AE39" s="2"/>
      <c r="AF39" s="3"/>
      <c r="AG39" s="2"/>
      <c r="AH39" s="2"/>
      <c r="AI39" s="3"/>
      <c r="AJ39" s="150" t="s">
        <v>431</v>
      </c>
      <c r="AK39" s="150"/>
      <c r="AL39" s="150" t="s">
        <v>431</v>
      </c>
      <c r="AM39" s="150" t="s">
        <v>431</v>
      </c>
      <c r="AN39" s="150" t="s">
        <v>431</v>
      </c>
      <c r="AO39" s="150"/>
      <c r="AP39" s="150"/>
      <c r="AQ39" s="150" t="s">
        <v>158</v>
      </c>
      <c r="AR39" s="149"/>
      <c r="AS39" s="149"/>
      <c r="AT39" s="149"/>
      <c r="AU39" s="149"/>
      <c r="AV39" s="149"/>
      <c r="AW39" s="3"/>
      <c r="AX39" s="3"/>
      <c r="AY39" s="3"/>
      <c r="AZ39" s="3"/>
      <c r="BA39" s="3"/>
      <c r="BB39" s="3"/>
      <c r="BC39" s="3"/>
      <c r="BD39" s="3"/>
      <c r="BE39" s="150" t="s">
        <v>530</v>
      </c>
      <c r="BF39" s="3"/>
      <c r="BG39" s="3"/>
      <c r="BH39" s="3"/>
      <c r="BI39" s="3"/>
    </row>
    <row x14ac:dyDescent="0.25" r="40" customHeight="1" ht="15.75">
      <c r="A40" s="30" t="s">
        <v>596</v>
      </c>
      <c r="B40" s="2"/>
      <c r="C40" s="150" t="s">
        <v>527</v>
      </c>
      <c r="D40" s="150"/>
      <c r="E40" s="150" t="s">
        <v>527</v>
      </c>
      <c r="F40" s="165" t="s">
        <v>542</v>
      </c>
      <c r="G40" s="165" t="s">
        <v>542</v>
      </c>
      <c r="H40" s="165"/>
      <c r="I40" s="165"/>
      <c r="J40" s="150" t="s">
        <v>597</v>
      </c>
      <c r="K40" s="179" t="s">
        <v>132</v>
      </c>
      <c r="L40" s="179"/>
      <c r="M40" s="179"/>
      <c r="N40" s="150" t="s">
        <v>542</v>
      </c>
      <c r="O40" s="150"/>
      <c r="P40" s="150" t="s">
        <v>542</v>
      </c>
      <c r="Q40" s="150"/>
      <c r="R40" s="2"/>
      <c r="S40" s="2"/>
      <c r="T40" s="3"/>
      <c r="U40" s="3"/>
      <c r="V40" s="3"/>
      <c r="W40" s="3"/>
      <c r="X40" s="3"/>
      <c r="Y40" s="3"/>
      <c r="Z40" s="3"/>
      <c r="AA40" s="150" t="s">
        <v>527</v>
      </c>
      <c r="AB40" s="3"/>
      <c r="AC40" s="3"/>
      <c r="AD40" s="3"/>
      <c r="AE40" s="2"/>
      <c r="AF40" s="3"/>
      <c r="AG40" s="2"/>
      <c r="AH40" s="2"/>
      <c r="AI40" s="3"/>
      <c r="AJ40" s="150" t="s">
        <v>271</v>
      </c>
      <c r="AK40" s="150"/>
      <c r="AL40" s="150" t="s">
        <v>227</v>
      </c>
      <c r="AM40" s="150" t="s">
        <v>530</v>
      </c>
      <c r="AN40" s="150" t="s">
        <v>530</v>
      </c>
      <c r="AO40" s="150"/>
      <c r="AP40" s="150"/>
      <c r="AQ40" s="150" t="s">
        <v>530</v>
      </c>
      <c r="AR40" s="150" t="s">
        <v>530</v>
      </c>
      <c r="AS40" s="150"/>
      <c r="AT40" s="150"/>
      <c r="AU40" s="150" t="s">
        <v>530</v>
      </c>
      <c r="AV40" s="150" t="s">
        <v>530</v>
      </c>
      <c r="AW40" s="3"/>
      <c r="AX40" s="3"/>
      <c r="AY40" s="3"/>
      <c r="AZ40" s="3"/>
      <c r="BA40" s="3"/>
      <c r="BB40" s="3"/>
      <c r="BC40" s="3"/>
      <c r="BD40" s="3"/>
      <c r="BE40" s="150" t="s">
        <v>533</v>
      </c>
      <c r="BF40" s="3"/>
      <c r="BG40" s="3"/>
      <c r="BH40" s="3"/>
      <c r="BI40" s="3"/>
    </row>
    <row x14ac:dyDescent="0.25" r="41" customHeight="1" ht="15.75">
      <c r="A41" s="30" t="s">
        <v>598</v>
      </c>
      <c r="B41" s="2"/>
      <c r="C41" s="150" t="s">
        <v>599</v>
      </c>
      <c r="D41" s="150"/>
      <c r="E41" s="150" t="s">
        <v>527</v>
      </c>
      <c r="F41" s="150" t="s">
        <v>527</v>
      </c>
      <c r="G41" s="150" t="s">
        <v>358</v>
      </c>
      <c r="H41" s="150"/>
      <c r="I41" s="150"/>
      <c r="J41" s="150" t="s">
        <v>600</v>
      </c>
      <c r="K41" s="30" t="s">
        <v>527</v>
      </c>
      <c r="L41" s="30"/>
      <c r="M41" s="30"/>
      <c r="N41" s="150" t="s">
        <v>527</v>
      </c>
      <c r="O41" s="150" t="s">
        <v>601</v>
      </c>
      <c r="P41" s="150" t="s">
        <v>132</v>
      </c>
      <c r="Q41" s="150"/>
      <c r="R41" s="2"/>
      <c r="S41" s="2"/>
      <c r="T41" s="3"/>
      <c r="U41" s="3"/>
      <c r="V41" s="3"/>
      <c r="W41" s="3"/>
      <c r="X41" s="3"/>
      <c r="Y41" s="3"/>
      <c r="Z41" s="3"/>
      <c r="AA41" s="150" t="s">
        <v>527</v>
      </c>
      <c r="AB41" s="3"/>
      <c r="AC41" s="3"/>
      <c r="AD41" s="3"/>
      <c r="AE41" s="2"/>
      <c r="AF41" s="3"/>
      <c r="AG41" s="2"/>
      <c r="AH41" s="2"/>
      <c r="AI41" s="3"/>
      <c r="AJ41" s="150" t="s">
        <v>602</v>
      </c>
      <c r="AK41" s="150"/>
      <c r="AL41" s="150" t="s">
        <v>227</v>
      </c>
      <c r="AM41" s="150" t="s">
        <v>227</v>
      </c>
      <c r="AN41" s="150" t="s">
        <v>530</v>
      </c>
      <c r="AO41" s="150"/>
      <c r="AP41" s="150"/>
      <c r="AQ41" s="150" t="s">
        <v>530</v>
      </c>
      <c r="AR41" s="150" t="s">
        <v>271</v>
      </c>
      <c r="AS41" s="150" t="s">
        <v>272</v>
      </c>
      <c r="AT41" s="150" t="s">
        <v>271</v>
      </c>
      <c r="AU41" s="150" t="s">
        <v>589</v>
      </c>
      <c r="AV41" s="150" t="s">
        <v>602</v>
      </c>
      <c r="AW41" s="3"/>
      <c r="AX41" s="3"/>
      <c r="AY41" s="3"/>
      <c r="AZ41" s="3"/>
      <c r="BA41" s="3"/>
      <c r="BB41" s="3"/>
      <c r="BC41" s="3"/>
      <c r="BD41" s="3"/>
      <c r="BE41" s="150" t="s">
        <v>533</v>
      </c>
      <c r="BF41" s="3"/>
      <c r="BG41" s="3"/>
      <c r="BH41" s="3"/>
      <c r="BI41" s="3"/>
    </row>
    <row x14ac:dyDescent="0.25" r="42" customHeight="1" ht="15.75">
      <c r="A42" s="30" t="s">
        <v>603</v>
      </c>
      <c r="B42" s="2"/>
      <c r="C42" s="150" t="s">
        <v>527</v>
      </c>
      <c r="D42" s="150"/>
      <c r="E42" s="150" t="s">
        <v>527</v>
      </c>
      <c r="F42" s="150" t="s">
        <v>527</v>
      </c>
      <c r="G42" s="150" t="s">
        <v>527</v>
      </c>
      <c r="H42" s="150"/>
      <c r="I42" s="150"/>
      <c r="J42" s="150" t="s">
        <v>527</v>
      </c>
      <c r="K42" s="30"/>
      <c r="L42" s="30"/>
      <c r="M42" s="30"/>
      <c r="N42" s="149"/>
      <c r="O42" s="149"/>
      <c r="P42" s="150" t="s">
        <v>132</v>
      </c>
      <c r="Q42" s="150"/>
      <c r="R42" s="2"/>
      <c r="S42" s="2"/>
      <c r="T42" s="3"/>
      <c r="U42" s="3"/>
      <c r="V42" s="3"/>
      <c r="W42" s="3"/>
      <c r="X42" s="3"/>
      <c r="Y42" s="3"/>
      <c r="Z42" s="3"/>
      <c r="AA42" s="154" t="s">
        <v>132</v>
      </c>
      <c r="AB42" s="3"/>
      <c r="AC42" s="3"/>
      <c r="AD42" s="3"/>
      <c r="AE42" s="2"/>
      <c r="AF42" s="3"/>
      <c r="AG42" s="2"/>
      <c r="AH42" s="2"/>
      <c r="AI42" s="3"/>
      <c r="AJ42" s="150" t="s">
        <v>271</v>
      </c>
      <c r="AK42" s="150"/>
      <c r="AL42" s="150" t="s">
        <v>227</v>
      </c>
      <c r="AM42" s="150" t="s">
        <v>604</v>
      </c>
      <c r="AN42" s="150" t="s">
        <v>220</v>
      </c>
      <c r="AO42" s="150"/>
      <c r="AP42" s="150"/>
      <c r="AQ42" s="150" t="s">
        <v>158</v>
      </c>
      <c r="AR42" s="149"/>
      <c r="AS42" s="149"/>
      <c r="AT42" s="149"/>
      <c r="AU42" s="149"/>
      <c r="AV42" s="149"/>
      <c r="AW42" s="3"/>
      <c r="AX42" s="3"/>
      <c r="AY42" s="3"/>
      <c r="AZ42" s="3"/>
      <c r="BA42" s="3"/>
      <c r="BB42" s="3"/>
      <c r="BC42" s="3"/>
      <c r="BD42" s="3"/>
      <c r="BE42" s="150" t="s">
        <v>530</v>
      </c>
      <c r="BF42" s="3"/>
      <c r="BG42" s="3"/>
      <c r="BH42" s="3"/>
      <c r="BI42" s="3"/>
    </row>
    <row x14ac:dyDescent="0.25" r="43" customHeight="1" ht="15.75">
      <c r="A43" s="30" t="s">
        <v>605</v>
      </c>
      <c r="B43" s="2"/>
      <c r="C43" s="150" t="s">
        <v>527</v>
      </c>
      <c r="D43" s="150"/>
      <c r="E43" s="150" t="s">
        <v>527</v>
      </c>
      <c r="F43" s="150" t="s">
        <v>527</v>
      </c>
      <c r="G43" s="165" t="s">
        <v>606</v>
      </c>
      <c r="H43" s="165"/>
      <c r="I43" s="165"/>
      <c r="J43" s="165" t="s">
        <v>606</v>
      </c>
      <c r="K43" s="30" t="s">
        <v>527</v>
      </c>
      <c r="L43" s="30"/>
      <c r="M43" s="30"/>
      <c r="N43" s="150" t="s">
        <v>527</v>
      </c>
      <c r="O43" s="150" t="s">
        <v>557</v>
      </c>
      <c r="P43" s="150" t="s">
        <v>529</v>
      </c>
      <c r="Q43" s="150"/>
      <c r="R43" s="2"/>
      <c r="S43" s="2"/>
      <c r="T43" s="3"/>
      <c r="U43" s="3"/>
      <c r="V43" s="3"/>
      <c r="W43" s="3"/>
      <c r="X43" s="3"/>
      <c r="Y43" s="3"/>
      <c r="Z43" s="3"/>
      <c r="AA43" s="165" t="s">
        <v>607</v>
      </c>
      <c r="AB43" s="3"/>
      <c r="AC43" s="3"/>
      <c r="AD43" s="3"/>
      <c r="AE43" s="2"/>
      <c r="AF43" s="3"/>
      <c r="AG43" s="2"/>
      <c r="AH43" s="2"/>
      <c r="AI43" s="3"/>
      <c r="AJ43" s="150" t="s">
        <v>271</v>
      </c>
      <c r="AK43" s="150"/>
      <c r="AL43" s="150" t="s">
        <v>227</v>
      </c>
      <c r="AM43" s="150" t="s">
        <v>158</v>
      </c>
      <c r="AN43" s="165" t="s">
        <v>606</v>
      </c>
      <c r="AO43" s="165"/>
      <c r="AP43" s="165"/>
      <c r="AQ43" s="165" t="s">
        <v>606</v>
      </c>
      <c r="AR43" s="150" t="s">
        <v>271</v>
      </c>
      <c r="AS43" s="150" t="s">
        <v>272</v>
      </c>
      <c r="AT43" s="150" t="s">
        <v>271</v>
      </c>
      <c r="AU43" s="150" t="s">
        <v>589</v>
      </c>
      <c r="AV43" s="170" t="s">
        <v>608</v>
      </c>
      <c r="AW43" s="3"/>
      <c r="AX43" s="3"/>
      <c r="AY43" s="3"/>
      <c r="AZ43" s="3"/>
      <c r="BA43" s="3"/>
      <c r="BB43" s="3"/>
      <c r="BC43" s="3"/>
      <c r="BD43" s="3"/>
      <c r="BE43" s="165" t="s">
        <v>607</v>
      </c>
      <c r="BF43" s="3"/>
      <c r="BG43" s="3"/>
      <c r="BH43" s="3"/>
      <c r="BI43" s="3"/>
    </row>
    <row x14ac:dyDescent="0.25" r="44" customHeight="1" ht="15.75">
      <c r="A44" s="30" t="s">
        <v>609</v>
      </c>
      <c r="B44" s="2"/>
      <c r="C44" s="150" t="s">
        <v>430</v>
      </c>
      <c r="D44" s="150"/>
      <c r="E44" s="150" t="s">
        <v>430</v>
      </c>
      <c r="F44" s="150" t="s">
        <v>430</v>
      </c>
      <c r="G44" s="150" t="s">
        <v>430</v>
      </c>
      <c r="H44" s="150"/>
      <c r="I44" s="150"/>
      <c r="J44" s="150" t="s">
        <v>430</v>
      </c>
      <c r="K44" s="30" t="s">
        <v>430</v>
      </c>
      <c r="L44" s="30"/>
      <c r="M44" s="30"/>
      <c r="N44" s="149"/>
      <c r="O44" s="149"/>
      <c r="P44" s="150"/>
      <c r="Q44" s="150"/>
      <c r="R44" s="2"/>
      <c r="S44" s="2"/>
      <c r="T44" s="3"/>
      <c r="U44" s="3"/>
      <c r="V44" s="3"/>
      <c r="W44" s="3"/>
      <c r="X44" s="3"/>
      <c r="Y44" s="3"/>
      <c r="Z44" s="3"/>
      <c r="AA44" s="150" t="s">
        <v>545</v>
      </c>
      <c r="AB44" s="3"/>
      <c r="AC44" s="3"/>
      <c r="AD44" s="3"/>
      <c r="AE44" s="2"/>
      <c r="AF44" s="3"/>
      <c r="AG44" s="2"/>
      <c r="AH44" s="2"/>
      <c r="AI44" s="3"/>
      <c r="AJ44" s="150" t="s">
        <v>430</v>
      </c>
      <c r="AK44" s="150"/>
      <c r="AL44" s="150" t="s">
        <v>430</v>
      </c>
      <c r="AM44" s="150" t="s">
        <v>430</v>
      </c>
      <c r="AN44" s="150" t="s">
        <v>430</v>
      </c>
      <c r="AO44" s="150"/>
      <c r="AP44" s="150"/>
      <c r="AQ44" s="150" t="s">
        <v>430</v>
      </c>
      <c r="AR44" s="150" t="s">
        <v>430</v>
      </c>
      <c r="AS44" s="150" t="s">
        <v>430</v>
      </c>
      <c r="AT44" s="150" t="s">
        <v>430</v>
      </c>
      <c r="AU44" s="149"/>
      <c r="AV44" s="149"/>
      <c r="AW44" s="3"/>
      <c r="AX44" s="3"/>
      <c r="AY44" s="3"/>
      <c r="AZ44" s="3"/>
      <c r="BA44" s="3"/>
      <c r="BB44" s="3"/>
      <c r="BC44" s="3"/>
      <c r="BD44" s="3"/>
      <c r="BE44" s="150" t="s">
        <v>546</v>
      </c>
      <c r="BF44" s="3"/>
      <c r="BG44" s="3"/>
      <c r="BH44" s="3"/>
      <c r="BI44" s="3"/>
    </row>
    <row x14ac:dyDescent="0.25" r="45" customHeight="1" ht="15.75">
      <c r="A45" s="30" t="s">
        <v>610</v>
      </c>
      <c r="B45" s="2"/>
      <c r="C45" s="150" t="s">
        <v>368</v>
      </c>
      <c r="D45" s="150"/>
      <c r="E45" s="150" t="s">
        <v>358</v>
      </c>
      <c r="F45" s="150" t="s">
        <v>358</v>
      </c>
      <c r="G45" s="150" t="s">
        <v>220</v>
      </c>
      <c r="H45" s="150"/>
      <c r="I45" s="150"/>
      <c r="J45" s="150" t="s">
        <v>527</v>
      </c>
      <c r="K45" s="30" t="s">
        <v>527</v>
      </c>
      <c r="L45" s="30"/>
      <c r="M45" s="30"/>
      <c r="N45" s="150" t="s">
        <v>611</v>
      </c>
      <c r="O45" s="150" t="s">
        <v>588</v>
      </c>
      <c r="P45" s="150" t="s">
        <v>529</v>
      </c>
      <c r="Q45" s="150"/>
      <c r="R45" s="2"/>
      <c r="S45" s="2"/>
      <c r="T45" s="3"/>
      <c r="U45" s="3"/>
      <c r="V45" s="3"/>
      <c r="W45" s="3"/>
      <c r="X45" s="3"/>
      <c r="Y45" s="3"/>
      <c r="Z45" s="3"/>
      <c r="AA45" s="150" t="s">
        <v>512</v>
      </c>
      <c r="AB45" s="3"/>
      <c r="AC45" s="3"/>
      <c r="AD45" s="3"/>
      <c r="AE45" s="2"/>
      <c r="AF45" s="3"/>
      <c r="AG45" s="2"/>
      <c r="AH45" s="2"/>
      <c r="AI45" s="3"/>
      <c r="AJ45" s="150" t="s">
        <v>530</v>
      </c>
      <c r="AK45" s="150"/>
      <c r="AL45" s="150" t="s">
        <v>530</v>
      </c>
      <c r="AM45" s="150" t="s">
        <v>530</v>
      </c>
      <c r="AN45" s="150" t="s">
        <v>220</v>
      </c>
      <c r="AO45" s="150"/>
      <c r="AP45" s="150"/>
      <c r="AQ45" s="150" t="s">
        <v>612</v>
      </c>
      <c r="AR45" s="150" t="s">
        <v>271</v>
      </c>
      <c r="AS45" s="150" t="s">
        <v>272</v>
      </c>
      <c r="AT45" s="150" t="s">
        <v>271</v>
      </c>
      <c r="AU45" s="150" t="s">
        <v>611</v>
      </c>
      <c r="AV45" s="170" t="s">
        <v>590</v>
      </c>
      <c r="AW45" s="3"/>
      <c r="AX45" s="3"/>
      <c r="AY45" s="3"/>
      <c r="AZ45" s="3"/>
      <c r="BA45" s="3"/>
      <c r="BB45" s="3"/>
      <c r="BC45" s="3"/>
      <c r="BD45" s="3"/>
      <c r="BE45" s="150" t="s">
        <v>530</v>
      </c>
      <c r="BF45" s="3"/>
      <c r="BG45" s="3"/>
      <c r="BH45" s="3"/>
      <c r="BI45" s="3"/>
    </row>
    <row x14ac:dyDescent="0.25" r="46" customHeight="1" ht="15.75">
      <c r="A46" s="30" t="s">
        <v>613</v>
      </c>
      <c r="B46" s="2"/>
      <c r="C46" s="150" t="s">
        <v>132</v>
      </c>
      <c r="D46" s="150"/>
      <c r="E46" s="150" t="s">
        <v>132</v>
      </c>
      <c r="F46" s="149"/>
      <c r="G46" s="150" t="s">
        <v>527</v>
      </c>
      <c r="H46" s="150"/>
      <c r="I46" s="150"/>
      <c r="J46" s="149"/>
      <c r="K46" s="30" t="s">
        <v>527</v>
      </c>
      <c r="L46" s="30"/>
      <c r="M46" s="30"/>
      <c r="N46" s="150" t="s">
        <v>611</v>
      </c>
      <c r="O46" s="149"/>
      <c r="P46" s="150" t="s">
        <v>132</v>
      </c>
      <c r="Q46" s="150"/>
      <c r="R46" s="2"/>
      <c r="S46" s="2"/>
      <c r="T46" s="3"/>
      <c r="U46" s="3"/>
      <c r="V46" s="3"/>
      <c r="W46" s="3"/>
      <c r="X46" s="3"/>
      <c r="Y46" s="3"/>
      <c r="Z46" s="3"/>
      <c r="AA46" s="150" t="s">
        <v>545</v>
      </c>
      <c r="AB46" s="3"/>
      <c r="AC46" s="3"/>
      <c r="AD46" s="3"/>
      <c r="AE46" s="2"/>
      <c r="AF46" s="3"/>
      <c r="AG46" s="2"/>
      <c r="AH46" s="2"/>
      <c r="AI46" s="3"/>
      <c r="AJ46" s="150" t="s">
        <v>530</v>
      </c>
      <c r="AK46" s="150"/>
      <c r="AL46" s="150" t="s">
        <v>530</v>
      </c>
      <c r="AM46" s="149"/>
      <c r="AN46" s="150" t="s">
        <v>158</v>
      </c>
      <c r="AO46" s="150"/>
      <c r="AP46" s="150"/>
      <c r="AQ46" s="149"/>
      <c r="AR46" s="150" t="s">
        <v>271</v>
      </c>
      <c r="AS46" s="150" t="s">
        <v>272</v>
      </c>
      <c r="AT46" s="150" t="s">
        <v>271</v>
      </c>
      <c r="AU46" s="150" t="s">
        <v>611</v>
      </c>
      <c r="AV46" s="149"/>
      <c r="AW46" s="3"/>
      <c r="AX46" s="3"/>
      <c r="AY46" s="3"/>
      <c r="AZ46" s="3"/>
      <c r="BA46" s="3"/>
      <c r="BB46" s="3"/>
      <c r="BC46" s="3"/>
      <c r="BD46" s="3"/>
      <c r="BE46" s="150" t="s">
        <v>546</v>
      </c>
      <c r="BF46" s="3"/>
      <c r="BG46" s="3"/>
      <c r="BH46" s="3"/>
      <c r="BI46" s="3"/>
    </row>
    <row x14ac:dyDescent="0.25" r="47" customHeight="1" ht="15.75">
      <c r="A47" s="30" t="s">
        <v>614</v>
      </c>
      <c r="B47" s="2"/>
      <c r="C47" s="150" t="s">
        <v>132</v>
      </c>
      <c r="D47" s="150"/>
      <c r="E47" s="150" t="s">
        <v>592</v>
      </c>
      <c r="F47" s="150" t="s">
        <v>527</v>
      </c>
      <c r="G47" s="150" t="s">
        <v>527</v>
      </c>
      <c r="H47" s="150"/>
      <c r="I47" s="150"/>
      <c r="J47" s="150" t="s">
        <v>527</v>
      </c>
      <c r="K47" s="30" t="s">
        <v>527</v>
      </c>
      <c r="L47" s="30"/>
      <c r="M47" s="30"/>
      <c r="N47" s="150" t="s">
        <v>611</v>
      </c>
      <c r="O47" s="150" t="s">
        <v>132</v>
      </c>
      <c r="P47" s="150" t="s">
        <v>132</v>
      </c>
      <c r="Q47" s="150"/>
      <c r="R47" s="2"/>
      <c r="S47" s="2"/>
      <c r="T47" s="3"/>
      <c r="U47" s="3"/>
      <c r="V47" s="3"/>
      <c r="W47" s="3"/>
      <c r="X47" s="3"/>
      <c r="Y47" s="3"/>
      <c r="Z47" s="3"/>
      <c r="AA47" s="150" t="s">
        <v>545</v>
      </c>
      <c r="AB47" s="3"/>
      <c r="AC47" s="3"/>
      <c r="AD47" s="3"/>
      <c r="AE47" s="2"/>
      <c r="AF47" s="3"/>
      <c r="AG47" s="2"/>
      <c r="AH47" s="2"/>
      <c r="AI47" s="3"/>
      <c r="AJ47" s="150" t="s">
        <v>530</v>
      </c>
      <c r="AK47" s="150"/>
      <c r="AL47" s="150" t="s">
        <v>594</v>
      </c>
      <c r="AM47" s="150" t="s">
        <v>158</v>
      </c>
      <c r="AN47" s="150" t="s">
        <v>615</v>
      </c>
      <c r="AO47" s="150"/>
      <c r="AP47" s="150"/>
      <c r="AQ47" s="150" t="s">
        <v>158</v>
      </c>
      <c r="AR47" s="150" t="s">
        <v>271</v>
      </c>
      <c r="AS47" s="150" t="s">
        <v>272</v>
      </c>
      <c r="AT47" s="150" t="s">
        <v>271</v>
      </c>
      <c r="AU47" s="150" t="s">
        <v>611</v>
      </c>
      <c r="AV47" s="150" t="s">
        <v>530</v>
      </c>
      <c r="AW47" s="3"/>
      <c r="AX47" s="3"/>
      <c r="AY47" s="3"/>
      <c r="AZ47" s="3"/>
      <c r="BA47" s="3"/>
      <c r="BB47" s="3"/>
      <c r="BC47" s="3"/>
      <c r="BD47" s="3"/>
      <c r="BE47" s="150" t="s">
        <v>546</v>
      </c>
      <c r="BF47" s="3"/>
      <c r="BG47" s="3"/>
      <c r="BH47" s="3"/>
      <c r="BI47" s="3"/>
    </row>
    <row x14ac:dyDescent="0.25" r="48" customHeight="1" ht="15.75">
      <c r="A48" s="30" t="s">
        <v>616</v>
      </c>
      <c r="B48" s="2"/>
      <c r="C48" s="150" t="s">
        <v>529</v>
      </c>
      <c r="D48" s="150"/>
      <c r="E48" s="150" t="s">
        <v>529</v>
      </c>
      <c r="F48" s="150" t="s">
        <v>529</v>
      </c>
      <c r="G48" s="150" t="s">
        <v>529</v>
      </c>
      <c r="H48" s="150"/>
      <c r="I48" s="150"/>
      <c r="J48" s="149"/>
      <c r="K48" s="179" t="s">
        <v>617</v>
      </c>
      <c r="L48" s="179"/>
      <c r="M48" s="179"/>
      <c r="N48" s="165" t="s">
        <v>618</v>
      </c>
      <c r="O48" s="149"/>
      <c r="P48" s="150" t="s">
        <v>542</v>
      </c>
      <c r="Q48" s="150"/>
      <c r="R48" s="2"/>
      <c r="S48" s="2"/>
      <c r="T48" s="3"/>
      <c r="U48" s="3"/>
      <c r="V48" s="3"/>
      <c r="W48" s="3"/>
      <c r="X48" s="3"/>
      <c r="Y48" s="3"/>
      <c r="Z48" s="3"/>
      <c r="AA48" s="165" t="s">
        <v>312</v>
      </c>
      <c r="AB48" s="3"/>
      <c r="AC48" s="3"/>
      <c r="AD48" s="3"/>
      <c r="AE48" s="2"/>
      <c r="AF48" s="3"/>
      <c r="AG48" s="2"/>
      <c r="AH48" s="2"/>
      <c r="AI48" s="3"/>
      <c r="AJ48" s="150" t="s">
        <v>530</v>
      </c>
      <c r="AK48" s="150"/>
      <c r="AL48" s="150" t="s">
        <v>530</v>
      </c>
      <c r="AM48" s="150" t="s">
        <v>530</v>
      </c>
      <c r="AN48" s="150" t="s">
        <v>530</v>
      </c>
      <c r="AO48" s="150"/>
      <c r="AP48" s="150"/>
      <c r="AQ48" s="149"/>
      <c r="AR48" s="165" t="s">
        <v>617</v>
      </c>
      <c r="AS48" s="165" t="s">
        <v>617</v>
      </c>
      <c r="AT48" s="165" t="s">
        <v>617</v>
      </c>
      <c r="AU48" s="165" t="s">
        <v>618</v>
      </c>
      <c r="AV48" s="149"/>
      <c r="AW48" s="3"/>
      <c r="AX48" s="3"/>
      <c r="AY48" s="3"/>
      <c r="AZ48" s="3"/>
      <c r="BA48" s="3"/>
      <c r="BB48" s="3"/>
      <c r="BC48" s="3"/>
      <c r="BD48" s="3"/>
      <c r="BE48" s="165" t="s">
        <v>312</v>
      </c>
      <c r="BF48" s="3"/>
      <c r="BG48" s="3"/>
      <c r="BH48" s="3"/>
      <c r="BI48" s="3"/>
    </row>
    <row x14ac:dyDescent="0.25" r="49" customHeight="1" ht="15.75">
      <c r="A49" s="30" t="s">
        <v>619</v>
      </c>
      <c r="B49" s="2"/>
      <c r="C49" s="150"/>
      <c r="D49" s="150"/>
      <c r="E49" s="149"/>
      <c r="F49" s="149"/>
      <c r="G49" s="154" t="s">
        <v>220</v>
      </c>
      <c r="H49" s="154"/>
      <c r="I49" s="154"/>
      <c r="J49" s="149"/>
      <c r="K49" s="179" t="s">
        <v>227</v>
      </c>
      <c r="L49" s="179"/>
      <c r="M49" s="179"/>
      <c r="N49" s="149"/>
      <c r="O49" s="149"/>
      <c r="P49" s="165" t="s">
        <v>132</v>
      </c>
      <c r="Q49" s="165"/>
      <c r="R49" s="2"/>
      <c r="S49" s="2"/>
      <c r="T49" s="3"/>
      <c r="U49" s="3"/>
      <c r="V49" s="3"/>
      <c r="W49" s="3"/>
      <c r="X49" s="3"/>
      <c r="Y49" s="3"/>
      <c r="Z49" s="3"/>
      <c r="AA49" s="165" t="s">
        <v>533</v>
      </c>
      <c r="AB49" s="3"/>
      <c r="AC49" s="3"/>
      <c r="AD49" s="3"/>
      <c r="AE49" s="2"/>
      <c r="AF49" s="3"/>
      <c r="AG49" s="2"/>
      <c r="AH49" s="2"/>
      <c r="AI49" s="3"/>
      <c r="AJ49" s="150"/>
      <c r="AK49" s="150"/>
      <c r="AL49" s="149"/>
      <c r="AM49" s="149"/>
      <c r="AN49" s="154" t="s">
        <v>220</v>
      </c>
      <c r="AO49" s="154"/>
      <c r="AP49" s="154"/>
      <c r="AQ49" s="149"/>
      <c r="AR49" s="165" t="s">
        <v>227</v>
      </c>
      <c r="AS49" s="165" t="s">
        <v>227</v>
      </c>
      <c r="AT49" s="165" t="s">
        <v>227</v>
      </c>
      <c r="AU49" s="149"/>
      <c r="AV49" s="149"/>
      <c r="AW49" s="3"/>
      <c r="AX49" s="3"/>
      <c r="AY49" s="3"/>
      <c r="AZ49" s="3"/>
      <c r="BA49" s="3"/>
      <c r="BB49" s="3"/>
      <c r="BC49" s="3"/>
      <c r="BD49" s="3"/>
      <c r="BE49" s="165" t="s">
        <v>533</v>
      </c>
      <c r="BF49" s="3"/>
      <c r="BG49" s="3"/>
      <c r="BH49" s="3"/>
      <c r="BI49" s="3"/>
    </row>
    <row x14ac:dyDescent="0.25" r="50" customHeight="1" ht="15.75">
      <c r="A50" s="30" t="s">
        <v>620</v>
      </c>
      <c r="B50" s="2"/>
      <c r="C50" s="150" t="s">
        <v>527</v>
      </c>
      <c r="D50" s="150"/>
      <c r="E50" s="150" t="s">
        <v>621</v>
      </c>
      <c r="F50" s="170" t="s">
        <v>622</v>
      </c>
      <c r="G50" s="150" t="s">
        <v>358</v>
      </c>
      <c r="H50" s="150"/>
      <c r="I50" s="150"/>
      <c r="J50" s="165" t="s">
        <v>541</v>
      </c>
      <c r="K50" s="179" t="s">
        <v>617</v>
      </c>
      <c r="L50" s="179"/>
      <c r="M50" s="179"/>
      <c r="N50" s="165" t="s">
        <v>618</v>
      </c>
      <c r="O50" s="165" t="s">
        <v>623</v>
      </c>
      <c r="P50" s="150" t="s">
        <v>542</v>
      </c>
      <c r="Q50" s="150"/>
      <c r="R50" s="2"/>
      <c r="S50" s="2"/>
      <c r="T50" s="3"/>
      <c r="U50" s="3"/>
      <c r="V50" s="3"/>
      <c r="W50" s="3"/>
      <c r="X50" s="3"/>
      <c r="Y50" s="3"/>
      <c r="Z50" s="3"/>
      <c r="AA50" s="150" t="s">
        <v>527</v>
      </c>
      <c r="AB50" s="3"/>
      <c r="AC50" s="3"/>
      <c r="AD50" s="3"/>
      <c r="AE50" s="2"/>
      <c r="AF50" s="3"/>
      <c r="AG50" s="2"/>
      <c r="AH50" s="2"/>
      <c r="AI50" s="3"/>
      <c r="AJ50" s="150" t="s">
        <v>271</v>
      </c>
      <c r="AK50" s="150"/>
      <c r="AL50" s="150" t="s">
        <v>594</v>
      </c>
      <c r="AM50" s="150" t="s">
        <v>624</v>
      </c>
      <c r="AN50" s="150" t="s">
        <v>530</v>
      </c>
      <c r="AO50" s="150"/>
      <c r="AP50" s="150"/>
      <c r="AQ50" s="165" t="s">
        <v>541</v>
      </c>
      <c r="AR50" s="165" t="s">
        <v>617</v>
      </c>
      <c r="AS50" s="165" t="s">
        <v>617</v>
      </c>
      <c r="AT50" s="165" t="s">
        <v>617</v>
      </c>
      <c r="AU50" s="165" t="s">
        <v>618</v>
      </c>
      <c r="AV50" s="165" t="s">
        <v>623</v>
      </c>
      <c r="AW50" s="3"/>
      <c r="AX50" s="3"/>
      <c r="AY50" s="3"/>
      <c r="AZ50" s="3"/>
      <c r="BA50" s="3"/>
      <c r="BB50" s="3"/>
      <c r="BC50" s="3"/>
      <c r="BD50" s="3"/>
      <c r="BE50" s="150" t="s">
        <v>533</v>
      </c>
      <c r="BF50" s="3"/>
      <c r="BG50" s="3"/>
      <c r="BH50" s="3"/>
      <c r="BI50" s="3"/>
    </row>
    <row x14ac:dyDescent="0.25" r="51" customHeight="1" ht="15.75">
      <c r="A51" s="30" t="s">
        <v>625</v>
      </c>
      <c r="B51" s="2"/>
      <c r="C51" s="150" t="s">
        <v>431</v>
      </c>
      <c r="D51" s="150"/>
      <c r="E51" s="150" t="s">
        <v>132</v>
      </c>
      <c r="F51" s="150" t="s">
        <v>527</v>
      </c>
      <c r="G51" s="150" t="s">
        <v>527</v>
      </c>
      <c r="H51" s="150"/>
      <c r="I51" s="150"/>
      <c r="J51" s="165" t="s">
        <v>541</v>
      </c>
      <c r="K51" s="30" t="s">
        <v>527</v>
      </c>
      <c r="L51" s="30"/>
      <c r="M51" s="30"/>
      <c r="N51" s="165" t="s">
        <v>626</v>
      </c>
      <c r="O51" s="150" t="s">
        <v>431</v>
      </c>
      <c r="P51" s="150" t="s">
        <v>431</v>
      </c>
      <c r="Q51" s="150"/>
      <c r="R51" s="2"/>
      <c r="S51" s="2"/>
      <c r="T51" s="3"/>
      <c r="U51" s="3"/>
      <c r="V51" s="3"/>
      <c r="W51" s="3"/>
      <c r="X51" s="3"/>
      <c r="Y51" s="3"/>
      <c r="Z51" s="3"/>
      <c r="AA51" s="165" t="s">
        <v>312</v>
      </c>
      <c r="AB51" s="3"/>
      <c r="AC51" s="3"/>
      <c r="AD51" s="3"/>
      <c r="AE51" s="2"/>
      <c r="AF51" s="3"/>
      <c r="AG51" s="2"/>
      <c r="AH51" s="2"/>
      <c r="AI51" s="3"/>
      <c r="AJ51" s="150" t="s">
        <v>431</v>
      </c>
      <c r="AK51" s="150"/>
      <c r="AL51" s="150" t="s">
        <v>530</v>
      </c>
      <c r="AM51" s="150" t="s">
        <v>158</v>
      </c>
      <c r="AN51" s="150" t="s">
        <v>158</v>
      </c>
      <c r="AO51" s="150"/>
      <c r="AP51" s="150"/>
      <c r="AQ51" s="165" t="s">
        <v>541</v>
      </c>
      <c r="AR51" s="150" t="s">
        <v>271</v>
      </c>
      <c r="AS51" s="150" t="s">
        <v>272</v>
      </c>
      <c r="AT51" s="150" t="s">
        <v>271</v>
      </c>
      <c r="AU51" s="165" t="s">
        <v>626</v>
      </c>
      <c r="AV51" s="150" t="s">
        <v>431</v>
      </c>
      <c r="AW51" s="3"/>
      <c r="AX51" s="3"/>
      <c r="AY51" s="3"/>
      <c r="AZ51" s="3"/>
      <c r="BA51" s="3"/>
      <c r="BB51" s="3"/>
      <c r="BC51" s="3"/>
      <c r="BD51" s="3"/>
      <c r="BE51" s="165" t="s">
        <v>312</v>
      </c>
      <c r="BF51" s="3"/>
      <c r="BG51" s="3"/>
      <c r="BH51" s="3"/>
      <c r="BI51" s="3"/>
    </row>
    <row x14ac:dyDescent="0.25" r="52" customHeight="1" ht="15.75">
      <c r="A52" s="30" t="s">
        <v>627</v>
      </c>
      <c r="B52" s="2"/>
      <c r="C52" s="150" t="s">
        <v>527</v>
      </c>
      <c r="D52" s="150"/>
      <c r="E52" s="150" t="s">
        <v>527</v>
      </c>
      <c r="F52" s="150" t="s">
        <v>358</v>
      </c>
      <c r="G52" s="150" t="s">
        <v>358</v>
      </c>
      <c r="H52" s="150"/>
      <c r="I52" s="150"/>
      <c r="J52" s="165" t="s">
        <v>541</v>
      </c>
      <c r="K52" s="30" t="s">
        <v>527</v>
      </c>
      <c r="L52" s="30"/>
      <c r="M52" s="30"/>
      <c r="N52" s="150" t="s">
        <v>628</v>
      </c>
      <c r="O52" s="150" t="s">
        <v>557</v>
      </c>
      <c r="P52" s="150" t="s">
        <v>529</v>
      </c>
      <c r="Q52" s="150"/>
      <c r="R52" s="2"/>
      <c r="S52" s="2"/>
      <c r="T52" s="3"/>
      <c r="U52" s="3"/>
      <c r="V52" s="3"/>
      <c r="W52" s="3"/>
      <c r="X52" s="3"/>
      <c r="Y52" s="3"/>
      <c r="Z52" s="3"/>
      <c r="AA52" s="165" t="s">
        <v>312</v>
      </c>
      <c r="AB52" s="3"/>
      <c r="AC52" s="3"/>
      <c r="AD52" s="3"/>
      <c r="AE52" s="2"/>
      <c r="AF52" s="3"/>
      <c r="AG52" s="2"/>
      <c r="AH52" s="2"/>
      <c r="AI52" s="3"/>
      <c r="AJ52" s="150" t="s">
        <v>271</v>
      </c>
      <c r="AK52" s="150"/>
      <c r="AL52" s="150" t="s">
        <v>227</v>
      </c>
      <c r="AM52" s="150" t="s">
        <v>530</v>
      </c>
      <c r="AN52" s="150" t="s">
        <v>530</v>
      </c>
      <c r="AO52" s="150"/>
      <c r="AP52" s="150"/>
      <c r="AQ52" s="165" t="s">
        <v>541</v>
      </c>
      <c r="AR52" s="150" t="s">
        <v>271</v>
      </c>
      <c r="AS52" s="150" t="s">
        <v>272</v>
      </c>
      <c r="AT52" s="150" t="s">
        <v>271</v>
      </c>
      <c r="AU52" s="150" t="s">
        <v>628</v>
      </c>
      <c r="AV52" s="170" t="s">
        <v>608</v>
      </c>
      <c r="AW52" s="3"/>
      <c r="AX52" s="3"/>
      <c r="AY52" s="3"/>
      <c r="AZ52" s="3"/>
      <c r="BA52" s="3"/>
      <c r="BB52" s="3"/>
      <c r="BC52" s="3"/>
      <c r="BD52" s="3"/>
      <c r="BE52" s="165" t="s">
        <v>312</v>
      </c>
      <c r="BF52" s="3"/>
      <c r="BG52" s="3"/>
      <c r="BH52" s="3"/>
      <c r="BI52" s="3"/>
    </row>
  </sheetData>
  <mergeCells count="105">
    <mergeCell ref="B3:D3"/>
    <mergeCell ref="F3:O3"/>
    <mergeCell ref="B4:D4"/>
    <mergeCell ref="F4:O5"/>
    <mergeCell ref="B5:D5"/>
    <mergeCell ref="C31:O31"/>
    <mergeCell ref="C37:D37"/>
    <mergeCell ref="G37:I37"/>
    <mergeCell ref="K37:M37"/>
    <mergeCell ref="P37:Q37"/>
    <mergeCell ref="AJ37:AK37"/>
    <mergeCell ref="AN37:AP37"/>
    <mergeCell ref="C38:D38"/>
    <mergeCell ref="G38:I38"/>
    <mergeCell ref="K38:M38"/>
    <mergeCell ref="N38:O38"/>
    <mergeCell ref="P38:Q38"/>
    <mergeCell ref="AJ38:AK38"/>
    <mergeCell ref="AN38:AP38"/>
    <mergeCell ref="C39:D39"/>
    <mergeCell ref="G39:I39"/>
    <mergeCell ref="K39:M39"/>
    <mergeCell ref="P39:Q39"/>
    <mergeCell ref="AJ39:AK39"/>
    <mergeCell ref="AN39:AP39"/>
    <mergeCell ref="C40:D40"/>
    <mergeCell ref="G40:I40"/>
    <mergeCell ref="K40:M40"/>
    <mergeCell ref="N40:O40"/>
    <mergeCell ref="P40:Q40"/>
    <mergeCell ref="AJ40:AK40"/>
    <mergeCell ref="AN40:AP40"/>
    <mergeCell ref="AR40:AT40"/>
    <mergeCell ref="C41:D41"/>
    <mergeCell ref="G41:I41"/>
    <mergeCell ref="K41:M41"/>
    <mergeCell ref="P41:Q41"/>
    <mergeCell ref="AJ41:AK41"/>
    <mergeCell ref="AN41:AP41"/>
    <mergeCell ref="C42:D42"/>
    <mergeCell ref="G42:I42"/>
    <mergeCell ref="K42:M42"/>
    <mergeCell ref="P42:Q42"/>
    <mergeCell ref="AJ42:AK42"/>
    <mergeCell ref="AN42:AP42"/>
    <mergeCell ref="C43:D43"/>
    <mergeCell ref="G43:I43"/>
    <mergeCell ref="K43:M43"/>
    <mergeCell ref="P43:Q43"/>
    <mergeCell ref="AJ43:AK43"/>
    <mergeCell ref="AN43:AP43"/>
    <mergeCell ref="C44:D44"/>
    <mergeCell ref="G44:I44"/>
    <mergeCell ref="K44:M44"/>
    <mergeCell ref="P44:Q44"/>
    <mergeCell ref="AJ44:AK44"/>
    <mergeCell ref="AN44:AP44"/>
    <mergeCell ref="C45:D45"/>
    <mergeCell ref="G45:I45"/>
    <mergeCell ref="K45:M45"/>
    <mergeCell ref="P45:Q45"/>
    <mergeCell ref="AJ45:AK45"/>
    <mergeCell ref="AN45:AP45"/>
    <mergeCell ref="C46:D46"/>
    <mergeCell ref="G46:I46"/>
    <mergeCell ref="K46:M46"/>
    <mergeCell ref="P46:Q46"/>
    <mergeCell ref="AJ46:AK46"/>
    <mergeCell ref="AN46:AP46"/>
    <mergeCell ref="C47:D47"/>
    <mergeCell ref="G47:I47"/>
    <mergeCell ref="K47:M47"/>
    <mergeCell ref="P47:Q47"/>
    <mergeCell ref="AJ47:AK47"/>
    <mergeCell ref="AN47:AP47"/>
    <mergeCell ref="C48:D48"/>
    <mergeCell ref="G48:I48"/>
    <mergeCell ref="K48:M48"/>
    <mergeCell ref="P48:Q48"/>
    <mergeCell ref="AJ48:AK48"/>
    <mergeCell ref="AN48:AP48"/>
    <mergeCell ref="C49:D49"/>
    <mergeCell ref="G49:I49"/>
    <mergeCell ref="K49:M49"/>
    <mergeCell ref="P49:Q49"/>
    <mergeCell ref="AJ49:AK49"/>
    <mergeCell ref="AN49:AP49"/>
    <mergeCell ref="C50:D50"/>
    <mergeCell ref="G50:I50"/>
    <mergeCell ref="K50:M50"/>
    <mergeCell ref="P50:Q50"/>
    <mergeCell ref="AJ50:AK50"/>
    <mergeCell ref="AN50:AP50"/>
    <mergeCell ref="C51:D51"/>
    <mergeCell ref="G51:I51"/>
    <mergeCell ref="K51:M51"/>
    <mergeCell ref="P51:Q51"/>
    <mergeCell ref="AJ51:AK51"/>
    <mergeCell ref="AN51:AP51"/>
    <mergeCell ref="C52:D52"/>
    <mergeCell ref="G52:I52"/>
    <mergeCell ref="K52:M52"/>
    <mergeCell ref="P52:Q52"/>
    <mergeCell ref="AJ52:AK52"/>
    <mergeCell ref="AN52:AP5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7"/>
  <sheetViews>
    <sheetView workbookViewId="0"/>
  </sheetViews>
  <sheetFormatPr defaultRowHeight="15" x14ac:dyDescent="0.25"/>
  <cols>
    <col min="1" max="1" style="44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136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2"/>
      <c r="AC1" s="2"/>
      <c r="AD1" s="2"/>
      <c r="AE1" s="2"/>
      <c r="AF1" s="3"/>
      <c r="AG1" s="2"/>
      <c r="AH1" s="2"/>
      <c r="AI1" s="3"/>
      <c r="AJ1" s="2"/>
    </row>
    <row x14ac:dyDescent="0.25" r="2" customHeight="1" ht="18.75">
      <c r="A2" s="3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2"/>
      <c r="AC2" s="2"/>
      <c r="AD2" s="2"/>
      <c r="AE2" s="2"/>
      <c r="AF2" s="3"/>
      <c r="AG2" s="2"/>
      <c r="AH2" s="2"/>
      <c r="AI2" s="3"/>
      <c r="AJ2" s="2"/>
    </row>
    <row x14ac:dyDescent="0.25" r="3" customHeight="1" ht="18.75">
      <c r="A3" s="1" t="s">
        <v>2</v>
      </c>
      <c r="B3" s="5">
        <v>80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2"/>
      <c r="AC3" s="2"/>
      <c r="AD3" s="2"/>
      <c r="AE3" s="2"/>
      <c r="AF3" s="3"/>
      <c r="AG3" s="2"/>
      <c r="AH3" s="2"/>
      <c r="AI3" s="3"/>
      <c r="AJ3" s="2"/>
    </row>
    <row x14ac:dyDescent="0.25" r="4" customHeight="1" ht="18.75">
      <c r="A4" s="1" t="s">
        <v>4</v>
      </c>
      <c r="B4" s="7" t="s">
        <v>559</v>
      </c>
      <c r="C4" s="7"/>
      <c r="D4" s="7"/>
      <c r="E4" s="2"/>
      <c r="F4" s="124" t="s">
        <v>569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2"/>
      <c r="AC4" s="2"/>
      <c r="AD4" s="2"/>
      <c r="AE4" s="2"/>
      <c r="AF4" s="3"/>
      <c r="AG4" s="2"/>
      <c r="AH4" s="2"/>
      <c r="AI4" s="3"/>
      <c r="AJ4" s="2"/>
    </row>
    <row x14ac:dyDescent="0.25" r="5" customHeight="1" ht="18.75">
      <c r="A5" s="1" t="s">
        <v>7</v>
      </c>
      <c r="B5" s="7" t="s">
        <v>570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3"/>
      <c r="AG5" s="2"/>
      <c r="AH5" s="2"/>
      <c r="AI5" s="3"/>
      <c r="AJ5" s="2"/>
    </row>
    <row x14ac:dyDescent="0.25" r="6" customHeight="1" ht="18.75">
      <c r="A6" s="3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2"/>
      <c r="AC6" s="2"/>
      <c r="AD6" s="2"/>
      <c r="AE6" s="2"/>
      <c r="AF6" s="3"/>
      <c r="AG6" s="2"/>
      <c r="AH6" s="2"/>
      <c r="AI6" s="3"/>
      <c r="AJ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110" t="s">
        <v>40</v>
      </c>
      <c r="AG7" s="112" t="s">
        <v>41</v>
      </c>
      <c r="AH7" s="112" t="s">
        <v>42</v>
      </c>
      <c r="AI7" s="3"/>
      <c r="AJ7" s="112" t="s">
        <v>42</v>
      </c>
    </row>
    <row x14ac:dyDescent="0.25" r="8" customHeight="1" ht="15.75">
      <c r="A8" s="30" t="s">
        <v>43</v>
      </c>
      <c r="B8" s="31" t="s">
        <v>562</v>
      </c>
      <c r="C8" s="31" t="s">
        <v>563</v>
      </c>
      <c r="D8" s="31" t="s">
        <v>563</v>
      </c>
      <c r="E8" s="31" t="s">
        <v>282</v>
      </c>
      <c r="F8" s="31" t="s">
        <v>282</v>
      </c>
      <c r="G8" s="31" t="s">
        <v>281</v>
      </c>
      <c r="H8" s="31" t="s">
        <v>281</v>
      </c>
      <c r="I8" s="31" t="s">
        <v>281</v>
      </c>
      <c r="J8" s="31" t="s">
        <v>411</v>
      </c>
      <c r="K8" s="31" t="s">
        <v>564</v>
      </c>
      <c r="L8" s="31" t="s">
        <v>564</v>
      </c>
      <c r="M8" s="31" t="s">
        <v>564</v>
      </c>
      <c r="N8" s="31" t="s">
        <v>564</v>
      </c>
      <c r="O8" s="31" t="s">
        <v>564</v>
      </c>
      <c r="P8" s="31" t="s">
        <v>565</v>
      </c>
      <c r="Q8" s="31" t="s">
        <v>565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566</v>
      </c>
      <c r="AB8" s="31" t="s">
        <v>566</v>
      </c>
      <c r="AC8" s="31" t="s">
        <v>566</v>
      </c>
      <c r="AD8" s="31" t="s">
        <v>510</v>
      </c>
      <c r="AE8" s="31" t="s">
        <v>510</v>
      </c>
      <c r="AF8" s="32"/>
      <c r="AG8" s="31" t="s">
        <v>329</v>
      </c>
      <c r="AH8" s="31" t="s">
        <v>329</v>
      </c>
      <c r="AI8" s="3"/>
      <c r="AJ8" s="31" t="s">
        <v>571</v>
      </c>
    </row>
    <row x14ac:dyDescent="0.25" r="9" customHeight="1" ht="15.75">
      <c r="A9" s="30" t="s">
        <v>45</v>
      </c>
      <c r="B9" s="31" t="s">
        <v>302</v>
      </c>
      <c r="C9" s="31" t="s">
        <v>288</v>
      </c>
      <c r="D9" s="33" t="s">
        <v>207</v>
      </c>
      <c r="E9" s="31" t="s">
        <v>289</v>
      </c>
      <c r="F9" s="31" t="s">
        <v>290</v>
      </c>
      <c r="G9" s="31" t="s">
        <v>290</v>
      </c>
      <c r="H9" s="31" t="s">
        <v>211</v>
      </c>
      <c r="I9" s="31" t="s">
        <v>207</v>
      </c>
      <c r="J9" s="31" t="s">
        <v>290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33" t="s">
        <v>212</v>
      </c>
      <c r="Q9" s="33" t="s">
        <v>212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292</v>
      </c>
      <c r="AB9" s="31" t="s">
        <v>292</v>
      </c>
      <c r="AC9" s="31" t="s">
        <v>292</v>
      </c>
      <c r="AD9" s="33" t="s">
        <v>567</v>
      </c>
      <c r="AE9" s="33" t="s">
        <v>567</v>
      </c>
      <c r="AF9" s="34"/>
      <c r="AG9" s="31" t="s">
        <v>293</v>
      </c>
      <c r="AH9" s="31" t="s">
        <v>293</v>
      </c>
      <c r="AI9" s="3"/>
      <c r="AJ9" s="31" t="s">
        <v>294</v>
      </c>
    </row>
    <row x14ac:dyDescent="0.25" r="10" customHeight="1" ht="18.75">
      <c r="A10" s="35" t="s">
        <v>47</v>
      </c>
      <c r="B10" s="117">
        <v>19</v>
      </c>
      <c r="C10" s="117">
        <v>120</v>
      </c>
      <c r="D10" s="117">
        <v>50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186</v>
      </c>
      <c r="AB10" s="117">
        <v>186</v>
      </c>
      <c r="AC10" s="117">
        <v>186</v>
      </c>
      <c r="AD10" s="117">
        <v>180</v>
      </c>
      <c r="AE10" s="117">
        <v>180</v>
      </c>
      <c r="AF10" s="37"/>
      <c r="AG10" s="117">
        <v>26</v>
      </c>
      <c r="AH10" s="117">
        <v>26</v>
      </c>
      <c r="AI10" s="3"/>
      <c r="AJ10" s="117">
        <v>34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3" t="s">
        <v>52</v>
      </c>
      <c r="H11" s="33" t="s">
        <v>52</v>
      </c>
      <c r="I11" s="33" t="s">
        <v>52</v>
      </c>
      <c r="J11" s="31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2"/>
      <c r="AG11" s="31" t="s">
        <v>52</v>
      </c>
      <c r="AH11" s="31" t="s">
        <v>52</v>
      </c>
      <c r="AI11" s="3"/>
      <c r="AJ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2"/>
      <c r="AG12" s="31" t="s">
        <v>49</v>
      </c>
      <c r="AH12" s="31" t="s">
        <v>49</v>
      </c>
      <c r="AI12" s="3"/>
      <c r="AJ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1" t="s">
        <v>52</v>
      </c>
      <c r="AC13" s="31" t="s">
        <v>52</v>
      </c>
      <c r="AD13" s="31" t="s">
        <v>52</v>
      </c>
      <c r="AE13" s="31" t="s">
        <v>52</v>
      </c>
      <c r="AF13" s="32"/>
      <c r="AG13" s="31" t="s">
        <v>52</v>
      </c>
      <c r="AH13" s="31" t="s">
        <v>52</v>
      </c>
      <c r="AI13" s="3"/>
      <c r="AJ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2"/>
      <c r="AG14" s="31" t="s">
        <v>49</v>
      </c>
      <c r="AH14" s="31" t="s">
        <v>49</v>
      </c>
      <c r="AI14" s="3"/>
      <c r="AJ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1" t="s">
        <v>133</v>
      </c>
      <c r="AC15" s="31" t="s">
        <v>133</v>
      </c>
      <c r="AD15" s="31" t="s">
        <v>143</v>
      </c>
      <c r="AE15" s="31" t="s">
        <v>143</v>
      </c>
      <c r="AF15" s="32"/>
      <c r="AG15" s="31" t="s">
        <v>143</v>
      </c>
      <c r="AH15" s="31" t="s">
        <v>143</v>
      </c>
      <c r="AI15" s="3"/>
      <c r="AJ15" s="31" t="s">
        <v>133</v>
      </c>
    </row>
    <row x14ac:dyDescent="0.25" r="16" customHeight="1" ht="18.75">
      <c r="A16" s="30" t="s">
        <v>128</v>
      </c>
      <c r="B16" s="31">
        <v>-3</v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>
        <v>-0.5</v>
      </c>
      <c r="AC16" s="31">
        <v>-0.5</v>
      </c>
      <c r="AD16" s="31">
        <v>1</v>
      </c>
      <c r="AE16" s="31">
        <v>1</v>
      </c>
      <c r="AF16" s="31"/>
      <c r="AG16" s="31">
        <f>4/3</f>
      </c>
      <c r="AH16" s="31">
        <f>4/3</f>
      </c>
      <c r="AI16" s="3"/>
      <c r="AJ16" s="31">
        <v>-0.5</v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275</v>
      </c>
      <c r="AB17" s="31" t="s">
        <v>275</v>
      </c>
      <c r="AC17" s="31" t="s">
        <v>275</v>
      </c>
      <c r="AD17" s="31" t="s">
        <v>275</v>
      </c>
      <c r="AE17" s="31" t="s">
        <v>275</v>
      </c>
      <c r="AF17" s="32"/>
      <c r="AG17" s="31" t="s">
        <v>274</v>
      </c>
      <c r="AH17" s="31" t="s">
        <v>274</v>
      </c>
      <c r="AI17" s="3"/>
      <c r="AJ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3.75</v>
      </c>
      <c r="AB18" s="31">
        <v>3.75</v>
      </c>
      <c r="AC18" s="31">
        <v>3.75</v>
      </c>
      <c r="AD18" s="31">
        <v>3.75</v>
      </c>
      <c r="AE18" s="31">
        <v>3.75</v>
      </c>
      <c r="AF18" s="31"/>
      <c r="AG18" s="31">
        <v>3</v>
      </c>
      <c r="AH18" s="31">
        <v>3</v>
      </c>
      <c r="AI18" s="3"/>
      <c r="AJ18" s="31">
        <v>3</v>
      </c>
    </row>
    <row x14ac:dyDescent="0.25" r="19" customHeight="1" ht="18.75">
      <c r="A19" s="3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  <c r="AC19" s="2"/>
      <c r="AD19" s="2"/>
      <c r="AE19" s="2"/>
      <c r="AF19" s="3"/>
      <c r="AG19" s="2"/>
      <c r="AH19" s="2"/>
      <c r="AI19" s="3"/>
      <c r="AJ19" s="2"/>
    </row>
    <row x14ac:dyDescent="0.25" r="20" customHeight="1" ht="15.75">
      <c r="A20" s="30" t="s">
        <v>43</v>
      </c>
      <c r="B20" s="31" t="s">
        <v>131</v>
      </c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143" t="s">
        <v>358</v>
      </c>
      <c r="AC20" s="143" t="s">
        <v>358</v>
      </c>
      <c r="AD20" s="143" t="s">
        <v>358</v>
      </c>
      <c r="AE20" s="143" t="s">
        <v>358</v>
      </c>
      <c r="AF20" s="32"/>
      <c r="AG20" s="143" t="s">
        <v>358</v>
      </c>
      <c r="AH20" s="143" t="s">
        <v>358</v>
      </c>
      <c r="AI20" s="3"/>
      <c r="AJ20" s="143" t="s">
        <v>358</v>
      </c>
    </row>
    <row x14ac:dyDescent="0.25" r="21" customHeight="1" ht="15.75">
      <c r="A21" s="30" t="s">
        <v>45</v>
      </c>
      <c r="B21" s="31" t="s">
        <v>132</v>
      </c>
      <c r="C21" s="143" t="s">
        <v>358</v>
      </c>
      <c r="D21" s="143" t="s">
        <v>358</v>
      </c>
      <c r="E21" s="143" t="s">
        <v>358</v>
      </c>
      <c r="F21" s="143" t="s">
        <v>358</v>
      </c>
      <c r="G21" s="143" t="s">
        <v>358</v>
      </c>
      <c r="H21" s="143" t="s">
        <v>358</v>
      </c>
      <c r="I21" s="143" t="s">
        <v>358</v>
      </c>
      <c r="J21" s="143" t="s">
        <v>358</v>
      </c>
      <c r="K21" s="143" t="s">
        <v>358</v>
      </c>
      <c r="L21" s="143" t="s">
        <v>358</v>
      </c>
      <c r="M21" s="143" t="s">
        <v>358</v>
      </c>
      <c r="N21" s="143" t="s">
        <v>358</v>
      </c>
      <c r="O21" s="143" t="s">
        <v>358</v>
      </c>
      <c r="P21" s="143" t="s">
        <v>358</v>
      </c>
      <c r="Q21" s="143" t="s">
        <v>358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143" t="s">
        <v>358</v>
      </c>
      <c r="AC21" s="143" t="s">
        <v>358</v>
      </c>
      <c r="AD21" s="143" t="s">
        <v>358</v>
      </c>
      <c r="AE21" s="143" t="s">
        <v>358</v>
      </c>
      <c r="AF21" s="34"/>
      <c r="AG21" s="143" t="s">
        <v>358</v>
      </c>
      <c r="AH21" s="143" t="s">
        <v>358</v>
      </c>
      <c r="AI21" s="3"/>
      <c r="AJ21" s="143" t="s">
        <v>358</v>
      </c>
    </row>
    <row x14ac:dyDescent="0.25" r="22" customHeight="1" ht="18.75">
      <c r="A22" s="35" t="s">
        <v>47</v>
      </c>
      <c r="B22" s="117">
        <v>98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144"/>
      <c r="AC22" s="144"/>
      <c r="AD22" s="144"/>
      <c r="AE22" s="144"/>
      <c r="AF22" s="37"/>
      <c r="AG22" s="144"/>
      <c r="AH22" s="144"/>
      <c r="AI22" s="3"/>
      <c r="AJ22" s="144"/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143" t="s">
        <v>49</v>
      </c>
      <c r="AC23" s="143" t="s">
        <v>49</v>
      </c>
      <c r="AD23" s="143" t="s">
        <v>49</v>
      </c>
      <c r="AE23" s="143" t="s">
        <v>49</v>
      </c>
      <c r="AF23" s="32"/>
      <c r="AG23" s="143" t="s">
        <v>49</v>
      </c>
      <c r="AH23" s="143" t="s">
        <v>49</v>
      </c>
      <c r="AI23" s="3"/>
      <c r="AJ23" s="143" t="s">
        <v>49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143" t="s">
        <v>49</v>
      </c>
      <c r="AC24" s="143" t="s">
        <v>49</v>
      </c>
      <c r="AD24" s="143" t="s">
        <v>49</v>
      </c>
      <c r="AE24" s="143" t="s">
        <v>49</v>
      </c>
      <c r="AF24" s="32"/>
      <c r="AG24" s="143" t="s">
        <v>49</v>
      </c>
      <c r="AH24" s="143" t="s">
        <v>49</v>
      </c>
      <c r="AI24" s="3"/>
      <c r="AJ24" s="143" t="s">
        <v>49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143" t="s">
        <v>49</v>
      </c>
      <c r="AC25" s="143" t="s">
        <v>49</v>
      </c>
      <c r="AD25" s="143" t="s">
        <v>49</v>
      </c>
      <c r="AE25" s="143" t="s">
        <v>49</v>
      </c>
      <c r="AF25" s="32"/>
      <c r="AG25" s="143" t="s">
        <v>49</v>
      </c>
      <c r="AH25" s="143" t="s">
        <v>49</v>
      </c>
      <c r="AI25" s="3"/>
      <c r="AJ25" s="143" t="s">
        <v>49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143" t="s">
        <v>49</v>
      </c>
      <c r="AC26" s="143" t="s">
        <v>49</v>
      </c>
      <c r="AD26" s="143" t="s">
        <v>49</v>
      </c>
      <c r="AE26" s="143" t="s">
        <v>49</v>
      </c>
      <c r="AF26" s="32"/>
      <c r="AG26" s="143" t="s">
        <v>49</v>
      </c>
      <c r="AH26" s="143" t="s">
        <v>49</v>
      </c>
      <c r="AI26" s="3"/>
      <c r="AJ26" s="143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143" t="s">
        <v>133</v>
      </c>
      <c r="E27" s="143" t="s">
        <v>133</v>
      </c>
      <c r="F27" s="143" t="s">
        <v>133</v>
      </c>
      <c r="G27" s="143" t="s">
        <v>133</v>
      </c>
      <c r="H27" s="143" t="s">
        <v>133</v>
      </c>
      <c r="I27" s="143" t="s">
        <v>133</v>
      </c>
      <c r="J27" s="143" t="s">
        <v>133</v>
      </c>
      <c r="K27" s="143" t="s">
        <v>133</v>
      </c>
      <c r="L27" s="143" t="s">
        <v>133</v>
      </c>
      <c r="M27" s="143" t="s">
        <v>133</v>
      </c>
      <c r="N27" s="143" t="s">
        <v>133</v>
      </c>
      <c r="O27" s="143" t="s">
        <v>133</v>
      </c>
      <c r="P27" s="143" t="s">
        <v>133</v>
      </c>
      <c r="Q27" s="143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143" t="s">
        <v>133</v>
      </c>
      <c r="AC27" s="143" t="s">
        <v>133</v>
      </c>
      <c r="AD27" s="143" t="s">
        <v>133</v>
      </c>
      <c r="AE27" s="143" t="s">
        <v>133</v>
      </c>
      <c r="AF27" s="32"/>
      <c r="AG27" s="143" t="s">
        <v>133</v>
      </c>
      <c r="AH27" s="143" t="s">
        <v>133</v>
      </c>
      <c r="AI27" s="3"/>
      <c r="AJ27" s="143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143">
        <v>-2</v>
      </c>
      <c r="E28" s="143">
        <v>-2</v>
      </c>
      <c r="F28" s="143">
        <v>-2</v>
      </c>
      <c r="G28" s="143">
        <v>-2</v>
      </c>
      <c r="H28" s="143">
        <v>-2</v>
      </c>
      <c r="I28" s="143">
        <v>-2</v>
      </c>
      <c r="J28" s="143">
        <v>-2</v>
      </c>
      <c r="K28" s="143">
        <v>-2</v>
      </c>
      <c r="L28" s="143">
        <v>-2</v>
      </c>
      <c r="M28" s="143">
        <v>-2</v>
      </c>
      <c r="N28" s="143">
        <v>-2</v>
      </c>
      <c r="O28" s="143">
        <v>-2</v>
      </c>
      <c r="P28" s="143">
        <v>-2</v>
      </c>
      <c r="Q28" s="143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143">
        <v>-2</v>
      </c>
      <c r="AC28" s="143">
        <v>-2</v>
      </c>
      <c r="AD28" s="143">
        <v>-2</v>
      </c>
      <c r="AE28" s="143">
        <v>-2</v>
      </c>
      <c r="AF28" s="31"/>
      <c r="AG28" s="143">
        <v>-2</v>
      </c>
      <c r="AH28" s="143">
        <v>-2</v>
      </c>
      <c r="AI28" s="3"/>
      <c r="AJ28" s="143">
        <v>-2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143" t="s">
        <v>358</v>
      </c>
      <c r="AC29" s="143" t="s">
        <v>358</v>
      </c>
      <c r="AD29" s="143" t="s">
        <v>358</v>
      </c>
      <c r="AE29" s="143" t="s">
        <v>358</v>
      </c>
      <c r="AF29" s="32"/>
      <c r="AG29" s="143" t="s">
        <v>358</v>
      </c>
      <c r="AH29" s="143" t="s">
        <v>358</v>
      </c>
      <c r="AI29" s="3"/>
      <c r="AJ29" s="143" t="s">
        <v>358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143">
        <v>0</v>
      </c>
      <c r="AC30" s="143">
        <v>0</v>
      </c>
      <c r="AD30" s="143">
        <v>0</v>
      </c>
      <c r="AE30" s="143">
        <v>0</v>
      </c>
      <c r="AF30" s="31"/>
      <c r="AG30" s="143">
        <v>0</v>
      </c>
      <c r="AH30" s="143">
        <v>0</v>
      </c>
      <c r="AI30" s="3"/>
      <c r="AJ30" s="143">
        <v>0</v>
      </c>
    </row>
    <row x14ac:dyDescent="0.25" r="31" customHeight="1" ht="15.75">
      <c r="A31" s="3"/>
      <c r="B31" s="5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2"/>
      <c r="AC31" s="2"/>
      <c r="AD31" s="2"/>
      <c r="AE31" s="2"/>
      <c r="AF31" s="3"/>
      <c r="AG31" s="2"/>
      <c r="AH31" s="138" t="s">
        <v>572</v>
      </c>
      <c r="AI31" s="3"/>
      <c r="AJ31" s="138" t="s">
        <v>573</v>
      </c>
    </row>
    <row x14ac:dyDescent="0.25" r="32" customHeight="1" ht="18.75">
      <c r="A32" s="38" t="s">
        <v>64</v>
      </c>
      <c r="B32" s="5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2"/>
      <c r="AC32" s="2"/>
      <c r="AD32" s="2"/>
      <c r="AE32" s="2"/>
      <c r="AF32" s="3"/>
      <c r="AG32" s="2"/>
      <c r="AH32" s="2"/>
      <c r="AI32" s="3"/>
      <c r="AJ32" s="2"/>
    </row>
    <row x14ac:dyDescent="0.25" r="33" customHeight="1" ht="18.75">
      <c r="A33" s="123" t="s">
        <v>574</v>
      </c>
      <c r="B33" s="40" t="s">
        <v>575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2"/>
      <c r="AC33" s="2"/>
      <c r="AD33" s="2"/>
      <c r="AE33" s="2"/>
      <c r="AF33" s="3"/>
      <c r="AG33" s="2"/>
      <c r="AH33" s="2"/>
      <c r="AI33" s="3"/>
      <c r="AJ33" s="2"/>
    </row>
    <row x14ac:dyDescent="0.25" r="34" customHeight="1" ht="18.75">
      <c r="A34" s="123" t="s">
        <v>576</v>
      </c>
      <c r="B34" s="40" t="s">
        <v>577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2"/>
      <c r="AB34" s="2"/>
      <c r="AC34" s="2"/>
      <c r="AD34" s="2"/>
      <c r="AE34" s="2"/>
      <c r="AF34" s="3"/>
      <c r="AG34" s="2"/>
      <c r="AH34" s="2"/>
      <c r="AI34" s="3"/>
      <c r="AJ34" s="2"/>
    </row>
    <row x14ac:dyDescent="0.25" r="35" customHeight="1" ht="18.75">
      <c r="A35" s="3"/>
      <c r="B35" s="150" t="s">
        <v>578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2"/>
      <c r="AB35" s="2"/>
      <c r="AC35" s="2"/>
      <c r="AD35" s="2"/>
      <c r="AE35" s="2"/>
      <c r="AF35" s="3"/>
      <c r="AG35" s="2"/>
      <c r="AH35" s="2"/>
      <c r="AI35" s="3"/>
      <c r="AJ35" s="2"/>
    </row>
    <row x14ac:dyDescent="0.25" r="36" customHeight="1" ht="18.75">
      <c r="A36" s="123"/>
      <c r="B36" s="4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2"/>
      <c r="AB36" s="2"/>
      <c r="AC36" s="2"/>
      <c r="AD36" s="2"/>
      <c r="AE36" s="2"/>
      <c r="AF36" s="3"/>
      <c r="AG36" s="2"/>
      <c r="AH36" s="2"/>
      <c r="AI36" s="3"/>
      <c r="AJ36" s="2"/>
    </row>
    <row x14ac:dyDescent="0.25" r="37" customHeight="1" ht="18.75">
      <c r="A37" s="3"/>
      <c r="B37" s="4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3"/>
      <c r="AG37" s="2"/>
      <c r="AH37" s="2"/>
      <c r="AI37" s="3"/>
      <c r="AJ37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136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2"/>
      <c r="AC1" s="2"/>
      <c r="AD1" s="2"/>
      <c r="AE1" s="2"/>
      <c r="AF1" s="3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2"/>
      <c r="AC2" s="2"/>
      <c r="AD2" s="2"/>
      <c r="AE2" s="2"/>
      <c r="AF2" s="3"/>
      <c r="AG2" s="2"/>
      <c r="AH2" s="2"/>
    </row>
    <row x14ac:dyDescent="0.25" r="3" customHeight="1" ht="18.75">
      <c r="A3" s="1" t="s">
        <v>2</v>
      </c>
      <c r="B3" s="5">
        <v>81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2"/>
      <c r="AC3" s="2"/>
      <c r="AD3" s="2"/>
      <c r="AE3" s="2"/>
      <c r="AF3" s="3"/>
      <c r="AG3" s="2"/>
      <c r="AH3" s="2"/>
    </row>
    <row x14ac:dyDescent="0.25" r="4" customHeight="1" ht="18.75">
      <c r="A4" s="1" t="s">
        <v>4</v>
      </c>
      <c r="B4" s="7" t="s">
        <v>559</v>
      </c>
      <c r="C4" s="7"/>
      <c r="D4" s="7"/>
      <c r="E4" s="2"/>
      <c r="F4" s="124" t="s">
        <v>560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2"/>
      <c r="AC4" s="2"/>
      <c r="AD4" s="2"/>
      <c r="AE4" s="2"/>
      <c r="AF4" s="3"/>
      <c r="AG4" s="2"/>
      <c r="AH4" s="2"/>
    </row>
    <row x14ac:dyDescent="0.25" r="5" customHeight="1" ht="18.75">
      <c r="A5" s="1" t="s">
        <v>7</v>
      </c>
      <c r="B5" s="7" t="s">
        <v>561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3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2"/>
      <c r="AC6" s="2"/>
      <c r="AD6" s="2"/>
      <c r="AE6" s="2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5.75">
      <c r="A8" s="30" t="s">
        <v>43</v>
      </c>
      <c r="B8" s="31" t="s">
        <v>562</v>
      </c>
      <c r="C8" s="31" t="s">
        <v>563</v>
      </c>
      <c r="D8" s="31" t="s">
        <v>563</v>
      </c>
      <c r="E8" s="31" t="s">
        <v>282</v>
      </c>
      <c r="F8" s="31" t="s">
        <v>282</v>
      </c>
      <c r="G8" s="31" t="s">
        <v>281</v>
      </c>
      <c r="H8" s="31" t="s">
        <v>281</v>
      </c>
      <c r="I8" s="31" t="s">
        <v>281</v>
      </c>
      <c r="J8" s="31" t="s">
        <v>411</v>
      </c>
      <c r="K8" s="31" t="s">
        <v>564</v>
      </c>
      <c r="L8" s="31" t="s">
        <v>564</v>
      </c>
      <c r="M8" s="31" t="s">
        <v>564</v>
      </c>
      <c r="N8" s="31" t="s">
        <v>564</v>
      </c>
      <c r="O8" s="31" t="s">
        <v>564</v>
      </c>
      <c r="P8" s="31" t="s">
        <v>565</v>
      </c>
      <c r="Q8" s="31" t="s">
        <v>565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566</v>
      </c>
      <c r="AB8" s="31" t="s">
        <v>566</v>
      </c>
      <c r="AC8" s="31" t="s">
        <v>566</v>
      </c>
      <c r="AD8" s="31" t="s">
        <v>510</v>
      </c>
      <c r="AE8" s="31" t="s">
        <v>510</v>
      </c>
      <c r="AF8" s="32"/>
      <c r="AG8" s="31" t="s">
        <v>286</v>
      </c>
      <c r="AH8" s="31" t="s">
        <v>329</v>
      </c>
    </row>
    <row x14ac:dyDescent="0.25" r="9" customHeight="1" ht="15.75">
      <c r="A9" s="30" t="s">
        <v>45</v>
      </c>
      <c r="B9" s="31" t="s">
        <v>302</v>
      </c>
      <c r="C9" s="31" t="s">
        <v>288</v>
      </c>
      <c r="D9" s="33" t="s">
        <v>207</v>
      </c>
      <c r="E9" s="31" t="s">
        <v>289</v>
      </c>
      <c r="F9" s="31" t="s">
        <v>290</v>
      </c>
      <c r="G9" s="31" t="s">
        <v>290</v>
      </c>
      <c r="H9" s="31" t="s">
        <v>211</v>
      </c>
      <c r="I9" s="31" t="s">
        <v>207</v>
      </c>
      <c r="J9" s="31" t="s">
        <v>290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33" t="s">
        <v>212</v>
      </c>
      <c r="Q9" s="33" t="s">
        <v>212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292</v>
      </c>
      <c r="AB9" s="31" t="s">
        <v>292</v>
      </c>
      <c r="AC9" s="31" t="s">
        <v>292</v>
      </c>
      <c r="AD9" s="33" t="s">
        <v>567</v>
      </c>
      <c r="AE9" s="33" t="s">
        <v>567</v>
      </c>
      <c r="AF9" s="34"/>
      <c r="AG9" s="31" t="s">
        <v>293</v>
      </c>
      <c r="AH9" s="31" t="s">
        <v>293</v>
      </c>
    </row>
    <row x14ac:dyDescent="0.25" r="10" customHeight="1" ht="18.75">
      <c r="A10" s="35" t="s">
        <v>47</v>
      </c>
      <c r="B10" s="117">
        <v>19</v>
      </c>
      <c r="C10" s="117">
        <v>120</v>
      </c>
      <c r="D10" s="117">
        <v>50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186</v>
      </c>
      <c r="AB10" s="117">
        <v>186</v>
      </c>
      <c r="AC10" s="117">
        <v>186</v>
      </c>
      <c r="AD10" s="117">
        <v>180</v>
      </c>
      <c r="AE10" s="117">
        <v>180</v>
      </c>
      <c r="AF10" s="37"/>
      <c r="AG10" s="117">
        <v>26</v>
      </c>
      <c r="AH10" s="117">
        <v>26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3" t="s">
        <v>52</v>
      </c>
      <c r="H11" s="33" t="s">
        <v>52</v>
      </c>
      <c r="I11" s="33" t="s">
        <v>52</v>
      </c>
      <c r="J11" s="31" t="s">
        <v>52</v>
      </c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2"/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1" t="s">
        <v>52</v>
      </c>
      <c r="AC13" s="31" t="s">
        <v>52</v>
      </c>
      <c r="AD13" s="31" t="s">
        <v>52</v>
      </c>
      <c r="AE13" s="31" t="s">
        <v>52</v>
      </c>
      <c r="AF13" s="32"/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1" t="s">
        <v>133</v>
      </c>
      <c r="AC15" s="31" t="s">
        <v>133</v>
      </c>
      <c r="AD15" s="31" t="s">
        <v>143</v>
      </c>
      <c r="AE15" s="31" t="s">
        <v>143</v>
      </c>
      <c r="AF15" s="32"/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-3</v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>
        <v>-0.5</v>
      </c>
      <c r="AC16" s="31">
        <v>-0.5</v>
      </c>
      <c r="AD16" s="31">
        <v>1</v>
      </c>
      <c r="AE16" s="31">
        <v>1</v>
      </c>
      <c r="AF16" s="31"/>
      <c r="AG16" s="31">
        <f>4/3</f>
      </c>
      <c r="AH16" s="31">
        <f>4/3</f>
      </c>
    </row>
    <row x14ac:dyDescent="0.25" r="17" customHeight="1" ht="18.75">
      <c r="A17" s="30" t="s">
        <v>129</v>
      </c>
      <c r="B17" s="31" t="s">
        <v>138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275</v>
      </c>
      <c r="AB17" s="31" t="s">
        <v>275</v>
      </c>
      <c r="AC17" s="31" t="s">
        <v>275</v>
      </c>
      <c r="AD17" s="31" t="s">
        <v>275</v>
      </c>
      <c r="AE17" s="31" t="s">
        <v>275</v>
      </c>
      <c r="AF17" s="32"/>
      <c r="AG17" s="31" t="s">
        <v>274</v>
      </c>
      <c r="AH17" s="31" t="s">
        <v>274</v>
      </c>
    </row>
    <row x14ac:dyDescent="0.25" r="18" customHeight="1" ht="18.75">
      <c r="A18" s="30" t="s">
        <v>130</v>
      </c>
      <c r="B18" s="31">
        <v>4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3.75</v>
      </c>
      <c r="AB18" s="31">
        <v>3.75</v>
      </c>
      <c r="AC18" s="31">
        <v>3.75</v>
      </c>
      <c r="AD18" s="31">
        <v>3.75</v>
      </c>
      <c r="AE18" s="31">
        <v>3.75</v>
      </c>
      <c r="AF18" s="31"/>
      <c r="AG18" s="31">
        <v>3</v>
      </c>
      <c r="AH18" s="31">
        <v>3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  <c r="AC19" s="2"/>
      <c r="AD19" s="2"/>
      <c r="AE19" s="2"/>
      <c r="AF19" s="3"/>
      <c r="AG19" s="2"/>
      <c r="AH19" s="2"/>
    </row>
    <row x14ac:dyDescent="0.25" r="20" customHeight="1" ht="15.75">
      <c r="A20" s="30" t="s">
        <v>43</v>
      </c>
      <c r="B20" s="31" t="s">
        <v>131</v>
      </c>
      <c r="C20" s="143" t="s">
        <v>358</v>
      </c>
      <c r="D20" s="143" t="s">
        <v>358</v>
      </c>
      <c r="E20" s="143" t="s">
        <v>358</v>
      </c>
      <c r="F20" s="143" t="s">
        <v>358</v>
      </c>
      <c r="G20" s="143" t="s">
        <v>358</v>
      </c>
      <c r="H20" s="143" t="s">
        <v>358</v>
      </c>
      <c r="I20" s="143" t="s">
        <v>358</v>
      </c>
      <c r="J20" s="143" t="s">
        <v>358</v>
      </c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143" t="s">
        <v>358</v>
      </c>
      <c r="AC20" s="143" t="s">
        <v>358</v>
      </c>
      <c r="AD20" s="143" t="s">
        <v>358</v>
      </c>
      <c r="AE20" s="143" t="s">
        <v>358</v>
      </c>
      <c r="AF20" s="32"/>
      <c r="AG20" s="143" t="s">
        <v>358</v>
      </c>
      <c r="AH20" s="143" t="s">
        <v>358</v>
      </c>
    </row>
    <row x14ac:dyDescent="0.25" r="21" customHeight="1" ht="15.75">
      <c r="A21" s="30" t="s">
        <v>45</v>
      </c>
      <c r="B21" s="31" t="s">
        <v>132</v>
      </c>
      <c r="C21" s="143" t="s">
        <v>358</v>
      </c>
      <c r="D21" s="143" t="s">
        <v>358</v>
      </c>
      <c r="E21" s="143" t="s">
        <v>358</v>
      </c>
      <c r="F21" s="143" t="s">
        <v>358</v>
      </c>
      <c r="G21" s="143" t="s">
        <v>358</v>
      </c>
      <c r="H21" s="143" t="s">
        <v>358</v>
      </c>
      <c r="I21" s="143" t="s">
        <v>358</v>
      </c>
      <c r="J21" s="143" t="s">
        <v>358</v>
      </c>
      <c r="K21" s="143" t="s">
        <v>358</v>
      </c>
      <c r="L21" s="143" t="s">
        <v>358</v>
      </c>
      <c r="M21" s="143" t="s">
        <v>358</v>
      </c>
      <c r="N21" s="143" t="s">
        <v>358</v>
      </c>
      <c r="O21" s="143" t="s">
        <v>358</v>
      </c>
      <c r="P21" s="143" t="s">
        <v>358</v>
      </c>
      <c r="Q21" s="143" t="s">
        <v>358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143" t="s">
        <v>358</v>
      </c>
      <c r="AC21" s="143" t="s">
        <v>358</v>
      </c>
      <c r="AD21" s="143" t="s">
        <v>358</v>
      </c>
      <c r="AE21" s="143" t="s">
        <v>358</v>
      </c>
      <c r="AF21" s="34"/>
      <c r="AG21" s="143" t="s">
        <v>358</v>
      </c>
      <c r="AH21" s="143" t="s">
        <v>358</v>
      </c>
    </row>
    <row x14ac:dyDescent="0.25" r="22" customHeight="1" ht="18.75">
      <c r="A22" s="35" t="s">
        <v>47</v>
      </c>
      <c r="B22" s="117">
        <v>98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144"/>
      <c r="AC22" s="144"/>
      <c r="AD22" s="144"/>
      <c r="AE22" s="144"/>
      <c r="AF22" s="37"/>
      <c r="AG22" s="144"/>
      <c r="AH22" s="144"/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143" t="s">
        <v>49</v>
      </c>
      <c r="F23" s="143" t="s">
        <v>49</v>
      </c>
      <c r="G23" s="143" t="s">
        <v>49</v>
      </c>
      <c r="H23" s="143" t="s">
        <v>49</v>
      </c>
      <c r="I23" s="143" t="s">
        <v>49</v>
      </c>
      <c r="J23" s="143" t="s">
        <v>49</v>
      </c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143" t="s">
        <v>49</v>
      </c>
      <c r="AC23" s="143" t="s">
        <v>49</v>
      </c>
      <c r="AD23" s="143" t="s">
        <v>49</v>
      </c>
      <c r="AE23" s="143" t="s">
        <v>49</v>
      </c>
      <c r="AF23" s="32"/>
      <c r="AG23" s="143" t="s">
        <v>49</v>
      </c>
      <c r="AH23" s="143" t="s">
        <v>49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143" t="s">
        <v>49</v>
      </c>
      <c r="F24" s="143" t="s">
        <v>49</v>
      </c>
      <c r="G24" s="143" t="s">
        <v>49</v>
      </c>
      <c r="H24" s="143" t="s">
        <v>49</v>
      </c>
      <c r="I24" s="143" t="s">
        <v>49</v>
      </c>
      <c r="J24" s="143" t="s">
        <v>49</v>
      </c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143" t="s">
        <v>49</v>
      </c>
      <c r="AC24" s="143" t="s">
        <v>49</v>
      </c>
      <c r="AD24" s="143" t="s">
        <v>49</v>
      </c>
      <c r="AE24" s="143" t="s">
        <v>49</v>
      </c>
      <c r="AF24" s="32"/>
      <c r="AG24" s="143" t="s">
        <v>49</v>
      </c>
      <c r="AH24" s="143" t="s">
        <v>49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143" t="s">
        <v>49</v>
      </c>
      <c r="F25" s="143" t="s">
        <v>49</v>
      </c>
      <c r="G25" s="143" t="s">
        <v>49</v>
      </c>
      <c r="H25" s="143" t="s">
        <v>49</v>
      </c>
      <c r="I25" s="143" t="s">
        <v>49</v>
      </c>
      <c r="J25" s="143" t="s">
        <v>49</v>
      </c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143" t="s">
        <v>49</v>
      </c>
      <c r="AC25" s="143" t="s">
        <v>49</v>
      </c>
      <c r="AD25" s="143" t="s">
        <v>49</v>
      </c>
      <c r="AE25" s="143" t="s">
        <v>49</v>
      </c>
      <c r="AF25" s="32"/>
      <c r="AG25" s="143" t="s">
        <v>49</v>
      </c>
      <c r="AH25" s="143" t="s">
        <v>49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143" t="s">
        <v>49</v>
      </c>
      <c r="E26" s="143" t="s">
        <v>49</v>
      </c>
      <c r="F26" s="143" t="s">
        <v>49</v>
      </c>
      <c r="G26" s="143" t="s">
        <v>49</v>
      </c>
      <c r="H26" s="143" t="s">
        <v>49</v>
      </c>
      <c r="I26" s="143" t="s">
        <v>49</v>
      </c>
      <c r="J26" s="143" t="s">
        <v>49</v>
      </c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143" t="s">
        <v>49</v>
      </c>
      <c r="AC26" s="143" t="s">
        <v>49</v>
      </c>
      <c r="AD26" s="143" t="s">
        <v>49</v>
      </c>
      <c r="AE26" s="143" t="s">
        <v>49</v>
      </c>
      <c r="AF26" s="32"/>
      <c r="AG26" s="143" t="s">
        <v>49</v>
      </c>
      <c r="AH26" s="143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143" t="s">
        <v>133</v>
      </c>
      <c r="E27" s="143" t="s">
        <v>133</v>
      </c>
      <c r="F27" s="143" t="s">
        <v>133</v>
      </c>
      <c r="G27" s="143" t="s">
        <v>133</v>
      </c>
      <c r="H27" s="143" t="s">
        <v>133</v>
      </c>
      <c r="I27" s="143" t="s">
        <v>133</v>
      </c>
      <c r="J27" s="143" t="s">
        <v>133</v>
      </c>
      <c r="K27" s="143" t="s">
        <v>133</v>
      </c>
      <c r="L27" s="143" t="s">
        <v>133</v>
      </c>
      <c r="M27" s="143" t="s">
        <v>133</v>
      </c>
      <c r="N27" s="143" t="s">
        <v>133</v>
      </c>
      <c r="O27" s="143" t="s">
        <v>133</v>
      </c>
      <c r="P27" s="143" t="s">
        <v>133</v>
      </c>
      <c r="Q27" s="143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143" t="s">
        <v>133</v>
      </c>
      <c r="AC27" s="143" t="s">
        <v>133</v>
      </c>
      <c r="AD27" s="143" t="s">
        <v>133</v>
      </c>
      <c r="AE27" s="143" t="s">
        <v>133</v>
      </c>
      <c r="AF27" s="32"/>
      <c r="AG27" s="143" t="s">
        <v>133</v>
      </c>
      <c r="AH27" s="143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143">
        <v>-2</v>
      </c>
      <c r="E28" s="143">
        <v>-2</v>
      </c>
      <c r="F28" s="143">
        <v>-2</v>
      </c>
      <c r="G28" s="143">
        <v>-2</v>
      </c>
      <c r="H28" s="143">
        <v>-2</v>
      </c>
      <c r="I28" s="143">
        <v>-2</v>
      </c>
      <c r="J28" s="143">
        <v>-2</v>
      </c>
      <c r="K28" s="143">
        <v>-2</v>
      </c>
      <c r="L28" s="143">
        <v>-2</v>
      </c>
      <c r="M28" s="143">
        <v>-2</v>
      </c>
      <c r="N28" s="143">
        <v>-2</v>
      </c>
      <c r="O28" s="143">
        <v>-2</v>
      </c>
      <c r="P28" s="143">
        <v>-2</v>
      </c>
      <c r="Q28" s="143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143">
        <v>-2</v>
      </c>
      <c r="AC28" s="143">
        <v>-2</v>
      </c>
      <c r="AD28" s="143">
        <v>-2</v>
      </c>
      <c r="AE28" s="143">
        <v>-2</v>
      </c>
      <c r="AF28" s="31"/>
      <c r="AG28" s="143">
        <v>-2</v>
      </c>
      <c r="AH28" s="143">
        <v>-2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143" t="s">
        <v>358</v>
      </c>
      <c r="E29" s="143" t="s">
        <v>358</v>
      </c>
      <c r="F29" s="143" t="s">
        <v>358</v>
      </c>
      <c r="G29" s="143" t="s">
        <v>358</v>
      </c>
      <c r="H29" s="143" t="s">
        <v>358</v>
      </c>
      <c r="I29" s="143" t="s">
        <v>358</v>
      </c>
      <c r="J29" s="143" t="s">
        <v>358</v>
      </c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143" t="s">
        <v>358</v>
      </c>
      <c r="AC29" s="143" t="s">
        <v>358</v>
      </c>
      <c r="AD29" s="143" t="s">
        <v>358</v>
      </c>
      <c r="AE29" s="143" t="s">
        <v>358</v>
      </c>
      <c r="AF29" s="32"/>
      <c r="AG29" s="143" t="s">
        <v>358</v>
      </c>
      <c r="AH29" s="143" t="s">
        <v>358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143">
        <v>0</v>
      </c>
      <c r="E30" s="143">
        <v>0</v>
      </c>
      <c r="F30" s="143">
        <v>0</v>
      </c>
      <c r="G30" s="143">
        <v>0</v>
      </c>
      <c r="H30" s="143">
        <v>0</v>
      </c>
      <c r="I30" s="143">
        <v>0</v>
      </c>
      <c r="J30" s="143">
        <v>0</v>
      </c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143">
        <v>0</v>
      </c>
      <c r="AC30" s="143">
        <v>0</v>
      </c>
      <c r="AD30" s="143">
        <v>0</v>
      </c>
      <c r="AE30" s="143">
        <v>0</v>
      </c>
      <c r="AF30" s="31"/>
      <c r="AG30" s="143">
        <v>0</v>
      </c>
      <c r="AH30" s="143">
        <v>0</v>
      </c>
    </row>
    <row x14ac:dyDescent="0.25" r="31" customHeight="1" ht="18.75">
      <c r="A31" s="46"/>
      <c r="B31" s="5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2"/>
      <c r="AC31" s="2"/>
      <c r="AD31" s="2"/>
      <c r="AE31" s="2"/>
      <c r="AF31" s="3"/>
      <c r="AG31" s="2"/>
      <c r="AH31" s="2"/>
    </row>
    <row x14ac:dyDescent="0.25" r="32" customHeight="1" ht="18.75">
      <c r="A32" s="38" t="s">
        <v>64</v>
      </c>
      <c r="B32" s="5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2"/>
      <c r="AC32" s="2"/>
      <c r="AD32" s="2"/>
      <c r="AE32" s="2"/>
      <c r="AF32" s="3"/>
      <c r="AG32" s="2"/>
      <c r="AH32" s="2"/>
    </row>
    <row x14ac:dyDescent="0.25" r="33" customHeight="1" ht="18.75">
      <c r="A33" s="30" t="s">
        <v>568</v>
      </c>
      <c r="B33" s="4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2"/>
      <c r="AC33" s="2"/>
      <c r="AD33" s="2"/>
      <c r="AE33" s="2"/>
      <c r="AF33" s="3"/>
      <c r="AG33" s="2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48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151" width="13.576428571428572" customWidth="1" bestFit="1"/>
    <col min="4" max="4" style="151" width="13.576428571428572" customWidth="1" bestFit="1"/>
    <col min="5" max="5" style="151" width="13.576428571428572" customWidth="1" bestFit="1"/>
    <col min="6" max="6" style="151" width="13.576428571428572" customWidth="1" bestFit="1"/>
    <col min="7" max="7" style="151" width="13.576428571428572" customWidth="1" bestFit="1"/>
    <col min="8" max="8" style="151" width="13.576428571428572" customWidth="1" bestFit="1"/>
    <col min="9" max="9" style="151" width="13.576428571428572" customWidth="1" bestFit="1"/>
    <col min="10" max="10" style="151" width="13.576428571428572" customWidth="1" bestFit="1"/>
    <col min="11" max="11" style="151" width="13.576428571428572" customWidth="1" bestFit="1"/>
    <col min="12" max="12" style="151" width="13.576428571428572" customWidth="1" bestFit="1"/>
    <col min="13" max="13" style="151" width="13.576428571428572" customWidth="1" bestFit="1"/>
    <col min="14" max="14" style="151" width="13.576428571428572" customWidth="1" bestFit="1"/>
    <col min="15" max="15" style="151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151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151" width="13.576428571428572" customWidth="1" bestFit="1"/>
    <col min="37" max="37" style="151" width="13.576428571428572" customWidth="1" bestFit="1"/>
    <col min="38" max="38" style="151" width="13.576428571428572" customWidth="1" bestFit="1"/>
    <col min="39" max="39" style="151" width="13.576428571428572" customWidth="1" bestFit="1"/>
    <col min="40" max="40" style="151" width="13.576428571428572" customWidth="1" bestFit="1"/>
    <col min="41" max="41" style="151" width="13.576428571428572" customWidth="1" bestFit="1"/>
    <col min="42" max="42" style="151" width="13.576428571428572" customWidth="1" bestFit="1"/>
    <col min="43" max="43" style="151" width="13.576428571428572" customWidth="1" bestFit="1"/>
    <col min="44" max="44" style="151" width="13.576428571428572" customWidth="1" bestFit="1"/>
    <col min="45" max="45" style="151" width="13.576428571428572" customWidth="1" bestFit="1"/>
    <col min="46" max="46" style="151" width="13.576428571428572" customWidth="1" bestFit="1"/>
    <col min="47" max="47" style="43" width="13.576428571428572" customWidth="1" bestFit="1"/>
    <col min="48" max="48" style="151" width="13.576428571428572" customWidth="1" bestFit="1"/>
    <col min="49" max="49" style="44" width="13.576428571428572" customWidth="1" bestFit="1"/>
    <col min="50" max="50" style="44" width="13.576428571428572" customWidth="1" bestFit="1"/>
    <col min="51" max="51" style="44" width="13.576428571428572" customWidth="1" bestFit="1"/>
    <col min="52" max="52" style="44" width="13.576428571428572" customWidth="1" bestFit="1"/>
    <col min="53" max="53" style="44" width="13.576428571428572" customWidth="1" bestFit="1"/>
    <col min="54" max="54" style="44" width="13.576428571428572" customWidth="1" bestFit="1"/>
    <col min="55" max="55" style="44" width="13.576428571428572" customWidth="1" bestFit="1"/>
    <col min="56" max="56" style="44" width="13.576428571428572" customWidth="1" bestFit="1"/>
    <col min="57" max="57" style="151" width="13.576428571428572" customWidth="1" bestFit="1"/>
    <col min="58" max="58" style="44" width="13.576428571428572" customWidth="1" bestFit="1"/>
    <col min="59" max="59" style="44" width="13.576428571428572" customWidth="1" bestFit="1"/>
    <col min="60" max="60" style="44" width="13.576428571428572" customWidth="1" bestFit="1"/>
    <col min="61" max="61" style="44" width="13.576428571428572" customWidth="1" bestFit="1"/>
  </cols>
  <sheetData>
    <row x14ac:dyDescent="0.25" r="1" customHeight="1" ht="18.75">
      <c r="A1" s="1" t="s">
        <v>70</v>
      </c>
      <c r="B1" s="2"/>
      <c r="C1" s="149"/>
      <c r="D1" s="45" t="s">
        <v>71</v>
      </c>
      <c r="E1" s="149"/>
      <c r="F1" s="149"/>
      <c r="G1" s="149"/>
      <c r="H1" s="149"/>
      <c r="I1" s="45" t="s">
        <v>136</v>
      </c>
      <c r="J1" s="149"/>
      <c r="K1" s="149"/>
      <c r="L1" s="149"/>
      <c r="M1" s="149"/>
      <c r="N1" s="149"/>
      <c r="O1" s="149"/>
      <c r="P1" s="149"/>
      <c r="Q1" s="149"/>
      <c r="R1" s="3"/>
      <c r="S1" s="3"/>
      <c r="T1" s="3"/>
      <c r="U1" s="3"/>
      <c r="V1" s="3"/>
      <c r="W1" s="3"/>
      <c r="X1" s="3"/>
      <c r="Y1" s="3"/>
      <c r="Z1" s="3"/>
      <c r="AA1" s="149"/>
      <c r="AB1" s="3"/>
      <c r="AC1" s="3"/>
      <c r="AD1" s="3"/>
      <c r="AE1" s="3"/>
      <c r="AF1" s="3"/>
      <c r="AG1" s="3"/>
      <c r="AH1" s="2"/>
      <c r="AI1" s="3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2"/>
      <c r="AV1" s="149"/>
      <c r="AW1" s="3"/>
      <c r="AX1" s="3"/>
      <c r="AY1" s="3"/>
      <c r="AZ1" s="3"/>
      <c r="BA1" s="3"/>
      <c r="BB1" s="3"/>
      <c r="BC1" s="3"/>
      <c r="BD1" s="3"/>
      <c r="BE1" s="149"/>
      <c r="BF1" s="3"/>
      <c r="BG1" s="3"/>
      <c r="BH1" s="3"/>
      <c r="BI1" s="3"/>
    </row>
    <row x14ac:dyDescent="0.25" r="2" customHeight="1" ht="18.75">
      <c r="A2" s="46"/>
      <c r="B2" s="2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3"/>
      <c r="S2" s="3"/>
      <c r="T2" s="3"/>
      <c r="U2" s="3"/>
      <c r="V2" s="3"/>
      <c r="W2" s="3"/>
      <c r="X2" s="3"/>
      <c r="Y2" s="3"/>
      <c r="Z2" s="3"/>
      <c r="AA2" s="149"/>
      <c r="AB2" s="3"/>
      <c r="AC2" s="3"/>
      <c r="AD2" s="3"/>
      <c r="AE2" s="3"/>
      <c r="AF2" s="3"/>
      <c r="AG2" s="3"/>
      <c r="AH2" s="2"/>
      <c r="AI2" s="3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2"/>
      <c r="AV2" s="149"/>
      <c r="AW2" s="3"/>
      <c r="AX2" s="3"/>
      <c r="AY2" s="3"/>
      <c r="AZ2" s="3"/>
      <c r="BA2" s="3"/>
      <c r="BB2" s="3"/>
      <c r="BC2" s="3"/>
      <c r="BD2" s="3"/>
      <c r="BE2" s="149"/>
      <c r="BF2" s="3"/>
      <c r="BG2" s="3"/>
      <c r="BH2" s="3"/>
      <c r="BI2" s="3"/>
    </row>
    <row x14ac:dyDescent="0.25" r="3" customHeight="1" ht="18.75">
      <c r="A3" s="1" t="s">
        <v>2</v>
      </c>
      <c r="B3" s="5">
        <v>82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149"/>
      <c r="Q3" s="149"/>
      <c r="R3" s="3"/>
      <c r="S3" s="3"/>
      <c r="T3" s="3"/>
      <c r="U3" s="3"/>
      <c r="V3" s="3"/>
      <c r="W3" s="3"/>
      <c r="X3" s="3"/>
      <c r="Y3" s="3"/>
      <c r="Z3" s="3"/>
      <c r="AA3" s="149"/>
      <c r="AB3" s="3"/>
      <c r="AC3" s="3"/>
      <c r="AD3" s="3"/>
      <c r="AE3" s="3"/>
      <c r="AF3" s="3"/>
      <c r="AG3" s="3"/>
      <c r="AH3" s="2"/>
      <c r="AI3" s="3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2"/>
      <c r="AV3" s="149"/>
      <c r="AW3" s="3"/>
      <c r="AX3" s="3"/>
      <c r="AY3" s="3"/>
      <c r="AZ3" s="3"/>
      <c r="BA3" s="3"/>
      <c r="BB3" s="3"/>
      <c r="BC3" s="3"/>
      <c r="BD3" s="3"/>
      <c r="BE3" s="149"/>
      <c r="BF3" s="3"/>
      <c r="BG3" s="3"/>
      <c r="BH3" s="3"/>
      <c r="BI3" s="3"/>
    </row>
    <row x14ac:dyDescent="0.25" r="4" customHeight="1" ht="18.75">
      <c r="A4" s="1" t="s">
        <v>4</v>
      </c>
      <c r="B4" s="7" t="s">
        <v>507</v>
      </c>
      <c r="C4" s="7"/>
      <c r="D4" s="7"/>
      <c r="E4" s="149"/>
      <c r="F4" s="124" t="s">
        <v>508</v>
      </c>
      <c r="G4" s="92"/>
      <c r="H4" s="92"/>
      <c r="I4" s="92"/>
      <c r="J4" s="92"/>
      <c r="K4" s="92"/>
      <c r="L4" s="92"/>
      <c r="M4" s="92"/>
      <c r="N4" s="92"/>
      <c r="O4" s="125"/>
      <c r="P4" s="149"/>
      <c r="Q4" s="149"/>
      <c r="R4" s="3"/>
      <c r="S4" s="3"/>
      <c r="T4" s="3"/>
      <c r="U4" s="3"/>
      <c r="V4" s="3"/>
      <c r="W4" s="3"/>
      <c r="X4" s="3"/>
      <c r="Y4" s="3"/>
      <c r="Z4" s="3"/>
      <c r="AA4" s="149"/>
      <c r="AB4" s="3"/>
      <c r="AC4" s="3"/>
      <c r="AD4" s="3"/>
      <c r="AE4" s="3"/>
      <c r="AF4" s="3"/>
      <c r="AG4" s="3"/>
      <c r="AH4" s="2"/>
      <c r="AI4" s="3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2"/>
      <c r="AV4" s="149"/>
      <c r="AW4" s="3"/>
      <c r="AX4" s="3"/>
      <c r="AY4" s="3"/>
      <c r="AZ4" s="3"/>
      <c r="BA4" s="3"/>
      <c r="BB4" s="3"/>
      <c r="BC4" s="3"/>
      <c r="BD4" s="3"/>
      <c r="BE4" s="149"/>
      <c r="BF4" s="3"/>
      <c r="BG4" s="3"/>
      <c r="BH4" s="3"/>
      <c r="BI4" s="3"/>
    </row>
    <row x14ac:dyDescent="0.25" r="5" customHeight="1" ht="18.75">
      <c r="A5" s="1" t="s">
        <v>7</v>
      </c>
      <c r="B5" s="7" t="s">
        <v>75</v>
      </c>
      <c r="C5" s="7"/>
      <c r="D5" s="7"/>
      <c r="E5" s="149"/>
      <c r="F5" s="126"/>
      <c r="G5" s="96"/>
      <c r="H5" s="96"/>
      <c r="I5" s="96"/>
      <c r="J5" s="96"/>
      <c r="K5" s="96"/>
      <c r="L5" s="96"/>
      <c r="M5" s="96"/>
      <c r="N5" s="96"/>
      <c r="O5" s="127"/>
      <c r="P5" s="149"/>
      <c r="Q5" s="149"/>
      <c r="R5" s="3"/>
      <c r="S5" s="3"/>
      <c r="T5" s="3"/>
      <c r="U5" s="3"/>
      <c r="V5" s="3"/>
      <c r="W5" s="3"/>
      <c r="X5" s="3"/>
      <c r="Y5" s="3"/>
      <c r="Z5" s="3"/>
      <c r="AA5" s="149"/>
      <c r="AB5" s="3"/>
      <c r="AC5" s="3"/>
      <c r="AD5" s="3"/>
      <c r="AE5" s="3"/>
      <c r="AF5" s="3"/>
      <c r="AG5" s="3"/>
      <c r="AH5" s="2"/>
      <c r="AI5" s="3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2"/>
      <c r="AV5" s="149"/>
      <c r="AW5" s="3"/>
      <c r="AX5" s="3"/>
      <c r="AY5" s="3"/>
      <c r="AZ5" s="3"/>
      <c r="BA5" s="3"/>
      <c r="BB5" s="3"/>
      <c r="BC5" s="3"/>
      <c r="BD5" s="3"/>
      <c r="BE5" s="149"/>
      <c r="BF5" s="3"/>
      <c r="BG5" s="3"/>
      <c r="BH5" s="3"/>
      <c r="BI5" s="3"/>
    </row>
    <row x14ac:dyDescent="0.25" r="6" customHeight="1" ht="18.75">
      <c r="A6" s="46"/>
      <c r="B6" s="2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3"/>
      <c r="S6" s="3"/>
      <c r="T6" s="3"/>
      <c r="U6" s="3"/>
      <c r="V6" s="3"/>
      <c r="W6" s="3"/>
      <c r="X6" s="3"/>
      <c r="Y6" s="3"/>
      <c r="Z6" s="3"/>
      <c r="AA6" s="149"/>
      <c r="AB6" s="3"/>
      <c r="AC6" s="3"/>
      <c r="AD6" s="3"/>
      <c r="AE6" s="3"/>
      <c r="AF6" s="3"/>
      <c r="AG6" s="3"/>
      <c r="AH6" s="2"/>
      <c r="AI6" s="3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2"/>
      <c r="AV6" s="149"/>
      <c r="AW6" s="3"/>
      <c r="AX6" s="3"/>
      <c r="AY6" s="3"/>
      <c r="AZ6" s="3"/>
      <c r="BA6" s="3"/>
      <c r="BB6" s="3"/>
      <c r="BC6" s="3"/>
      <c r="BD6" s="3"/>
      <c r="BE6" s="149"/>
      <c r="BF6" s="3"/>
      <c r="BG6" s="3"/>
      <c r="BH6" s="3"/>
      <c r="BI6" s="3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55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56" t="s">
        <v>42</v>
      </c>
      <c r="AI7" s="3"/>
      <c r="AJ7" s="49" t="s">
        <v>11</v>
      </c>
      <c r="AK7" s="49" t="s">
        <v>12</v>
      </c>
      <c r="AL7" s="50" t="s">
        <v>13</v>
      </c>
      <c r="AM7" s="51" t="s">
        <v>14</v>
      </c>
      <c r="AN7" s="52" t="s">
        <v>15</v>
      </c>
      <c r="AO7" s="52" t="s">
        <v>16</v>
      </c>
      <c r="AP7" s="52" t="s">
        <v>17</v>
      </c>
      <c r="AQ7" s="166" t="s">
        <v>18</v>
      </c>
      <c r="AR7" s="53" t="s">
        <v>19</v>
      </c>
      <c r="AS7" s="53" t="s">
        <v>20</v>
      </c>
      <c r="AT7" s="53" t="s">
        <v>21</v>
      </c>
      <c r="AU7" s="136" t="s">
        <v>22</v>
      </c>
      <c r="AV7" s="136" t="s">
        <v>23</v>
      </c>
      <c r="AW7" s="21" t="s">
        <v>27</v>
      </c>
      <c r="AX7" s="22" t="s">
        <v>28</v>
      </c>
      <c r="AY7" s="22" t="s">
        <v>29</v>
      </c>
      <c r="AZ7" s="23" t="s">
        <v>30</v>
      </c>
      <c r="BA7" s="23" t="s">
        <v>31</v>
      </c>
      <c r="BB7" s="24" t="s">
        <v>32</v>
      </c>
      <c r="BC7" s="24" t="s">
        <v>33</v>
      </c>
      <c r="BD7" s="25" t="s">
        <v>34</v>
      </c>
      <c r="BE7" s="55" t="s">
        <v>35</v>
      </c>
      <c r="BF7" s="26" t="s">
        <v>36</v>
      </c>
      <c r="BG7" s="26" t="s">
        <v>37</v>
      </c>
      <c r="BH7" s="26" t="s">
        <v>38</v>
      </c>
      <c r="BI7" s="28" t="s">
        <v>40</v>
      </c>
    </row>
    <row x14ac:dyDescent="0.25" r="8" customHeight="1" ht="18.75">
      <c r="A8" s="30" t="s">
        <v>43</v>
      </c>
      <c r="B8" s="31" t="s">
        <v>509</v>
      </c>
      <c r="C8" s="143" t="s">
        <v>358</v>
      </c>
      <c r="D8" s="143" t="s">
        <v>358</v>
      </c>
      <c r="E8" s="143" t="s">
        <v>358</v>
      </c>
      <c r="F8" s="143" t="s">
        <v>358</v>
      </c>
      <c r="G8" s="143" t="s">
        <v>358</v>
      </c>
      <c r="H8" s="143" t="s">
        <v>358</v>
      </c>
      <c r="I8" s="143" t="s">
        <v>358</v>
      </c>
      <c r="J8" s="143" t="s">
        <v>358</v>
      </c>
      <c r="K8" s="143" t="s">
        <v>358</v>
      </c>
      <c r="L8" s="143" t="s">
        <v>358</v>
      </c>
      <c r="M8" s="143" t="s">
        <v>358</v>
      </c>
      <c r="N8" s="143" t="s">
        <v>358</v>
      </c>
      <c r="O8" s="143" t="s">
        <v>358</v>
      </c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510</v>
      </c>
      <c r="AB8" s="32"/>
      <c r="AC8" s="32"/>
      <c r="AD8" s="32"/>
      <c r="AE8" s="32"/>
      <c r="AF8" s="32"/>
      <c r="AG8" s="32"/>
      <c r="AH8" s="143" t="s">
        <v>358</v>
      </c>
      <c r="AI8" s="3"/>
      <c r="AJ8" s="143" t="s">
        <v>358</v>
      </c>
      <c r="AK8" s="143" t="s">
        <v>358</v>
      </c>
      <c r="AL8" s="143" t="s">
        <v>358</v>
      </c>
      <c r="AM8" s="143" t="s">
        <v>358</v>
      </c>
      <c r="AN8" s="143" t="s">
        <v>358</v>
      </c>
      <c r="AO8" s="143" t="s">
        <v>358</v>
      </c>
      <c r="AP8" s="143" t="s">
        <v>358</v>
      </c>
      <c r="AQ8" s="143" t="s">
        <v>358</v>
      </c>
      <c r="AR8" s="143" t="s">
        <v>358</v>
      </c>
      <c r="AS8" s="143" t="s">
        <v>358</v>
      </c>
      <c r="AT8" s="143" t="s">
        <v>358</v>
      </c>
      <c r="AU8" s="143" t="s">
        <v>358</v>
      </c>
      <c r="AV8" s="143" t="s">
        <v>358</v>
      </c>
      <c r="AW8" s="32"/>
      <c r="AX8" s="32"/>
      <c r="AY8" s="32"/>
      <c r="AZ8" s="32"/>
      <c r="BA8" s="32"/>
      <c r="BB8" s="32"/>
      <c r="BC8" s="32"/>
      <c r="BD8" s="32"/>
      <c r="BE8" s="143" t="s">
        <v>358</v>
      </c>
      <c r="BF8" s="32"/>
      <c r="BG8" s="32"/>
      <c r="BH8" s="32"/>
      <c r="BI8" s="32"/>
    </row>
    <row x14ac:dyDescent="0.25" r="9" customHeight="1" ht="18.75">
      <c r="A9" s="30" t="s">
        <v>45</v>
      </c>
      <c r="B9" s="31" t="s">
        <v>511</v>
      </c>
      <c r="C9" s="143" t="s">
        <v>358</v>
      </c>
      <c r="D9" s="143" t="s">
        <v>358</v>
      </c>
      <c r="E9" s="143" t="s">
        <v>358</v>
      </c>
      <c r="F9" s="143" t="s">
        <v>358</v>
      </c>
      <c r="G9" s="143" t="s">
        <v>358</v>
      </c>
      <c r="H9" s="143" t="s">
        <v>358</v>
      </c>
      <c r="I9" s="143" t="s">
        <v>358</v>
      </c>
      <c r="J9" s="143" t="s">
        <v>358</v>
      </c>
      <c r="K9" s="143" t="s">
        <v>358</v>
      </c>
      <c r="L9" s="143" t="s">
        <v>358</v>
      </c>
      <c r="M9" s="143" t="s">
        <v>358</v>
      </c>
      <c r="N9" s="143" t="s">
        <v>358</v>
      </c>
      <c r="O9" s="143" t="s">
        <v>358</v>
      </c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512</v>
      </c>
      <c r="AB9" s="34"/>
      <c r="AC9" s="34"/>
      <c r="AD9" s="34"/>
      <c r="AE9" s="34"/>
      <c r="AF9" s="34"/>
      <c r="AG9" s="34"/>
      <c r="AH9" s="143" t="s">
        <v>358</v>
      </c>
      <c r="AI9" s="3"/>
      <c r="AJ9" s="143" t="s">
        <v>358</v>
      </c>
      <c r="AK9" s="143" t="s">
        <v>358</v>
      </c>
      <c r="AL9" s="143" t="s">
        <v>358</v>
      </c>
      <c r="AM9" s="143" t="s">
        <v>358</v>
      </c>
      <c r="AN9" s="143" t="s">
        <v>358</v>
      </c>
      <c r="AO9" s="143" t="s">
        <v>358</v>
      </c>
      <c r="AP9" s="143" t="s">
        <v>358</v>
      </c>
      <c r="AQ9" s="143" t="s">
        <v>358</v>
      </c>
      <c r="AR9" s="143" t="s">
        <v>358</v>
      </c>
      <c r="AS9" s="143" t="s">
        <v>358</v>
      </c>
      <c r="AT9" s="143" t="s">
        <v>358</v>
      </c>
      <c r="AU9" s="143" t="s">
        <v>358</v>
      </c>
      <c r="AV9" s="143" t="s">
        <v>358</v>
      </c>
      <c r="AW9" s="32"/>
      <c r="AX9" s="32"/>
      <c r="AY9" s="32"/>
      <c r="AZ9" s="32"/>
      <c r="BA9" s="32"/>
      <c r="BB9" s="32"/>
      <c r="BC9" s="32"/>
      <c r="BD9" s="32"/>
      <c r="BE9" s="143" t="s">
        <v>358</v>
      </c>
      <c r="BF9" s="32"/>
      <c r="BG9" s="32"/>
      <c r="BH9" s="32"/>
      <c r="BI9" s="32"/>
    </row>
    <row x14ac:dyDescent="0.25" r="10" customHeight="1" ht="18.75">
      <c r="A10" s="35" t="s">
        <v>47</v>
      </c>
      <c r="B10" s="117">
        <v>20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181</v>
      </c>
      <c r="AB10" s="37"/>
      <c r="AC10" s="37"/>
      <c r="AD10" s="37"/>
      <c r="AE10" s="37"/>
      <c r="AF10" s="37"/>
      <c r="AG10" s="37"/>
      <c r="AH10" s="144"/>
      <c r="AI10" s="3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37"/>
      <c r="AX10" s="37"/>
      <c r="AY10" s="37"/>
      <c r="AZ10" s="37"/>
      <c r="BA10" s="37"/>
      <c r="BB10" s="37"/>
      <c r="BC10" s="37"/>
      <c r="BD10" s="37"/>
      <c r="BE10" s="144"/>
      <c r="BF10" s="37"/>
      <c r="BG10" s="37"/>
      <c r="BH10" s="37"/>
      <c r="BI10" s="37"/>
    </row>
    <row x14ac:dyDescent="0.25" r="11" customHeight="1" ht="18.75">
      <c r="A11" s="30" t="s">
        <v>123</v>
      </c>
      <c r="B11" s="33" t="s">
        <v>52</v>
      </c>
      <c r="C11" s="143" t="s">
        <v>49</v>
      </c>
      <c r="D11" s="143" t="s">
        <v>49</v>
      </c>
      <c r="E11" s="143" t="s">
        <v>49</v>
      </c>
      <c r="F11" s="143" t="s">
        <v>49</v>
      </c>
      <c r="G11" s="143" t="s">
        <v>49</v>
      </c>
      <c r="H11" s="143" t="s">
        <v>49</v>
      </c>
      <c r="I11" s="143" t="s">
        <v>49</v>
      </c>
      <c r="J11" s="143" t="s">
        <v>49</v>
      </c>
      <c r="K11" s="143" t="s">
        <v>49</v>
      </c>
      <c r="L11" s="143" t="s">
        <v>49</v>
      </c>
      <c r="M11" s="143" t="s">
        <v>49</v>
      </c>
      <c r="N11" s="143" t="s">
        <v>49</v>
      </c>
      <c r="O11" s="143" t="s">
        <v>49</v>
      </c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143" t="s">
        <v>49</v>
      </c>
      <c r="AI11" s="3"/>
      <c r="AJ11" s="143" t="s">
        <v>49</v>
      </c>
      <c r="AK11" s="143" t="s">
        <v>49</v>
      </c>
      <c r="AL11" s="143" t="s">
        <v>49</v>
      </c>
      <c r="AM11" s="143" t="s">
        <v>49</v>
      </c>
      <c r="AN11" s="143" t="s">
        <v>49</v>
      </c>
      <c r="AO11" s="143" t="s">
        <v>49</v>
      </c>
      <c r="AP11" s="143" t="s">
        <v>49</v>
      </c>
      <c r="AQ11" s="143" t="s">
        <v>49</v>
      </c>
      <c r="AR11" s="143" t="s">
        <v>49</v>
      </c>
      <c r="AS11" s="143" t="s">
        <v>49</v>
      </c>
      <c r="AT11" s="143" t="s">
        <v>49</v>
      </c>
      <c r="AU11" s="143" t="s">
        <v>49</v>
      </c>
      <c r="AV11" s="143" t="s">
        <v>49</v>
      </c>
      <c r="AW11" s="32"/>
      <c r="AX11" s="32"/>
      <c r="AY11" s="32"/>
      <c r="AZ11" s="32"/>
      <c r="BA11" s="32"/>
      <c r="BB11" s="32"/>
      <c r="BC11" s="32"/>
      <c r="BD11" s="32"/>
      <c r="BE11" s="143" t="s">
        <v>49</v>
      </c>
      <c r="BF11" s="32"/>
      <c r="BG11" s="32"/>
      <c r="BH11" s="32"/>
      <c r="BI11" s="32"/>
    </row>
    <row x14ac:dyDescent="0.25" r="12" customHeight="1" ht="18.75">
      <c r="A12" s="30" t="s">
        <v>124</v>
      </c>
      <c r="B12" s="33" t="s">
        <v>52</v>
      </c>
      <c r="C12" s="143" t="s">
        <v>49</v>
      </c>
      <c r="D12" s="143" t="s">
        <v>49</v>
      </c>
      <c r="E12" s="143" t="s">
        <v>49</v>
      </c>
      <c r="F12" s="143" t="s">
        <v>49</v>
      </c>
      <c r="G12" s="143" t="s">
        <v>49</v>
      </c>
      <c r="H12" s="143" t="s">
        <v>49</v>
      </c>
      <c r="I12" s="143" t="s">
        <v>49</v>
      </c>
      <c r="J12" s="143" t="s">
        <v>49</v>
      </c>
      <c r="K12" s="143" t="s">
        <v>49</v>
      </c>
      <c r="L12" s="143" t="s">
        <v>49</v>
      </c>
      <c r="M12" s="143" t="s">
        <v>49</v>
      </c>
      <c r="N12" s="143" t="s">
        <v>49</v>
      </c>
      <c r="O12" s="143" t="s">
        <v>49</v>
      </c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143" t="s">
        <v>49</v>
      </c>
      <c r="AI12" s="3"/>
      <c r="AJ12" s="143" t="s">
        <v>49</v>
      </c>
      <c r="AK12" s="143" t="s">
        <v>49</v>
      </c>
      <c r="AL12" s="143" t="s">
        <v>49</v>
      </c>
      <c r="AM12" s="143" t="s">
        <v>49</v>
      </c>
      <c r="AN12" s="143" t="s">
        <v>49</v>
      </c>
      <c r="AO12" s="143" t="s">
        <v>49</v>
      </c>
      <c r="AP12" s="143" t="s">
        <v>49</v>
      </c>
      <c r="AQ12" s="143" t="s">
        <v>49</v>
      </c>
      <c r="AR12" s="143" t="s">
        <v>49</v>
      </c>
      <c r="AS12" s="143" t="s">
        <v>49</v>
      </c>
      <c r="AT12" s="143" t="s">
        <v>49</v>
      </c>
      <c r="AU12" s="143" t="s">
        <v>49</v>
      </c>
      <c r="AV12" s="143" t="s">
        <v>49</v>
      </c>
      <c r="AW12" s="32"/>
      <c r="AX12" s="32"/>
      <c r="AY12" s="32"/>
      <c r="AZ12" s="32"/>
      <c r="BA12" s="32"/>
      <c r="BB12" s="32"/>
      <c r="BC12" s="32"/>
      <c r="BD12" s="32"/>
      <c r="BE12" s="143" t="s">
        <v>49</v>
      </c>
      <c r="BF12" s="32"/>
      <c r="BG12" s="32"/>
      <c r="BH12" s="32"/>
      <c r="BI12" s="32"/>
    </row>
    <row x14ac:dyDescent="0.25" r="13" customHeight="1" ht="18.75">
      <c r="A13" s="30" t="s">
        <v>125</v>
      </c>
      <c r="B13" s="31" t="s">
        <v>49</v>
      </c>
      <c r="C13" s="143" t="s">
        <v>49</v>
      </c>
      <c r="D13" s="143" t="s">
        <v>49</v>
      </c>
      <c r="E13" s="143" t="s">
        <v>49</v>
      </c>
      <c r="F13" s="143" t="s">
        <v>49</v>
      </c>
      <c r="G13" s="143" t="s">
        <v>49</v>
      </c>
      <c r="H13" s="143" t="s">
        <v>49</v>
      </c>
      <c r="I13" s="143" t="s">
        <v>49</v>
      </c>
      <c r="J13" s="143" t="s">
        <v>49</v>
      </c>
      <c r="K13" s="143" t="s">
        <v>49</v>
      </c>
      <c r="L13" s="143" t="s">
        <v>49</v>
      </c>
      <c r="M13" s="143" t="s">
        <v>49</v>
      </c>
      <c r="N13" s="143" t="s">
        <v>49</v>
      </c>
      <c r="O13" s="143" t="s">
        <v>49</v>
      </c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143" t="s">
        <v>49</v>
      </c>
      <c r="AI13" s="3"/>
      <c r="AJ13" s="143" t="s">
        <v>49</v>
      </c>
      <c r="AK13" s="143" t="s">
        <v>49</v>
      </c>
      <c r="AL13" s="143" t="s">
        <v>49</v>
      </c>
      <c r="AM13" s="143" t="s">
        <v>49</v>
      </c>
      <c r="AN13" s="143" t="s">
        <v>49</v>
      </c>
      <c r="AO13" s="143" t="s">
        <v>49</v>
      </c>
      <c r="AP13" s="143" t="s">
        <v>49</v>
      </c>
      <c r="AQ13" s="143" t="s">
        <v>49</v>
      </c>
      <c r="AR13" s="143" t="s">
        <v>49</v>
      </c>
      <c r="AS13" s="143" t="s">
        <v>49</v>
      </c>
      <c r="AT13" s="143" t="s">
        <v>49</v>
      </c>
      <c r="AU13" s="143" t="s">
        <v>49</v>
      </c>
      <c r="AV13" s="143" t="s">
        <v>49</v>
      </c>
      <c r="AW13" s="34"/>
      <c r="AX13" s="34"/>
      <c r="AY13" s="34"/>
      <c r="AZ13" s="34"/>
      <c r="BA13" s="34"/>
      <c r="BB13" s="34"/>
      <c r="BC13" s="34"/>
      <c r="BD13" s="34"/>
      <c r="BE13" s="143" t="s">
        <v>49</v>
      </c>
      <c r="BF13" s="34"/>
      <c r="BG13" s="34"/>
      <c r="BH13" s="34"/>
      <c r="BI13" s="34"/>
    </row>
    <row x14ac:dyDescent="0.25" r="14" customHeight="1" ht="18.75">
      <c r="A14" s="30" t="s">
        <v>126</v>
      </c>
      <c r="B14" s="31" t="s">
        <v>49</v>
      </c>
      <c r="C14" s="143" t="s">
        <v>49</v>
      </c>
      <c r="D14" s="143" t="s">
        <v>49</v>
      </c>
      <c r="E14" s="143" t="s">
        <v>49</v>
      </c>
      <c r="F14" s="143" t="s">
        <v>49</v>
      </c>
      <c r="G14" s="143" t="s">
        <v>49</v>
      </c>
      <c r="H14" s="143" t="s">
        <v>49</v>
      </c>
      <c r="I14" s="143" t="s">
        <v>49</v>
      </c>
      <c r="J14" s="143" t="s">
        <v>49</v>
      </c>
      <c r="K14" s="143" t="s">
        <v>49</v>
      </c>
      <c r="L14" s="143" t="s">
        <v>49</v>
      </c>
      <c r="M14" s="143" t="s">
        <v>49</v>
      </c>
      <c r="N14" s="143" t="s">
        <v>49</v>
      </c>
      <c r="O14" s="143" t="s">
        <v>49</v>
      </c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143" t="s">
        <v>49</v>
      </c>
      <c r="AI14" s="3"/>
      <c r="AJ14" s="143" t="s">
        <v>49</v>
      </c>
      <c r="AK14" s="143" t="s">
        <v>49</v>
      </c>
      <c r="AL14" s="143" t="s">
        <v>49</v>
      </c>
      <c r="AM14" s="143" t="s">
        <v>49</v>
      </c>
      <c r="AN14" s="143" t="s">
        <v>49</v>
      </c>
      <c r="AO14" s="143" t="s">
        <v>49</v>
      </c>
      <c r="AP14" s="143" t="s">
        <v>49</v>
      </c>
      <c r="AQ14" s="143" t="s">
        <v>49</v>
      </c>
      <c r="AR14" s="143" t="s">
        <v>49</v>
      </c>
      <c r="AS14" s="143" t="s">
        <v>49</v>
      </c>
      <c r="AT14" s="143" t="s">
        <v>49</v>
      </c>
      <c r="AU14" s="143" t="s">
        <v>49</v>
      </c>
      <c r="AV14" s="143" t="s">
        <v>49</v>
      </c>
      <c r="AW14" s="32"/>
      <c r="AX14" s="32"/>
      <c r="AY14" s="32"/>
      <c r="AZ14" s="32"/>
      <c r="BA14" s="32"/>
      <c r="BB14" s="32"/>
      <c r="BC14" s="32"/>
      <c r="BD14" s="32"/>
      <c r="BE14" s="143" t="s">
        <v>49</v>
      </c>
      <c r="BF14" s="32"/>
      <c r="BG14" s="32"/>
      <c r="BH14" s="32"/>
      <c r="BI14" s="32"/>
    </row>
    <row x14ac:dyDescent="0.25" r="15" customHeight="1" ht="18.75">
      <c r="A15" s="30" t="s">
        <v>127</v>
      </c>
      <c r="B15" s="31" t="s">
        <v>234</v>
      </c>
      <c r="C15" s="143" t="s">
        <v>133</v>
      </c>
      <c r="D15" s="143" t="s">
        <v>133</v>
      </c>
      <c r="E15" s="143" t="s">
        <v>133</v>
      </c>
      <c r="F15" s="143" t="s">
        <v>133</v>
      </c>
      <c r="G15" s="143" t="s">
        <v>133</v>
      </c>
      <c r="H15" s="143" t="s">
        <v>133</v>
      </c>
      <c r="I15" s="143" t="s">
        <v>133</v>
      </c>
      <c r="J15" s="143" t="s">
        <v>133</v>
      </c>
      <c r="K15" s="143" t="s">
        <v>133</v>
      </c>
      <c r="L15" s="143" t="s">
        <v>133</v>
      </c>
      <c r="M15" s="143" t="s">
        <v>133</v>
      </c>
      <c r="N15" s="143" t="s">
        <v>133</v>
      </c>
      <c r="O15" s="143" t="s">
        <v>133</v>
      </c>
      <c r="P15" s="143" t="s">
        <v>133</v>
      </c>
      <c r="Q15" s="143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143" t="s">
        <v>133</v>
      </c>
      <c r="AI15" s="3"/>
      <c r="AJ15" s="143" t="s">
        <v>133</v>
      </c>
      <c r="AK15" s="143" t="s">
        <v>133</v>
      </c>
      <c r="AL15" s="143" t="s">
        <v>133</v>
      </c>
      <c r="AM15" s="143" t="s">
        <v>133</v>
      </c>
      <c r="AN15" s="143" t="s">
        <v>133</v>
      </c>
      <c r="AO15" s="143" t="s">
        <v>133</v>
      </c>
      <c r="AP15" s="143" t="s">
        <v>133</v>
      </c>
      <c r="AQ15" s="143" t="s">
        <v>133</v>
      </c>
      <c r="AR15" s="143" t="s">
        <v>133</v>
      </c>
      <c r="AS15" s="143" t="s">
        <v>133</v>
      </c>
      <c r="AT15" s="143" t="s">
        <v>133</v>
      </c>
      <c r="AU15" s="143" t="s">
        <v>133</v>
      </c>
      <c r="AV15" s="143" t="s">
        <v>133</v>
      </c>
      <c r="AW15" s="32"/>
      <c r="AX15" s="32"/>
      <c r="AY15" s="32"/>
      <c r="AZ15" s="32"/>
      <c r="BA15" s="32"/>
      <c r="BB15" s="32"/>
      <c r="BC15" s="32"/>
      <c r="BD15" s="32"/>
      <c r="BE15" s="143" t="s">
        <v>133</v>
      </c>
      <c r="BF15" s="32"/>
      <c r="BG15" s="32"/>
      <c r="BH15" s="32"/>
      <c r="BI15" s="32"/>
    </row>
    <row x14ac:dyDescent="0.25" r="16" customHeight="1" ht="18.75">
      <c r="A16" s="30" t="s">
        <v>128</v>
      </c>
      <c r="B16" s="31">
        <v>-3</v>
      </c>
      <c r="C16" s="143">
        <v>-2</v>
      </c>
      <c r="D16" s="143">
        <v>-2</v>
      </c>
      <c r="E16" s="143">
        <v>-2</v>
      </c>
      <c r="F16" s="143">
        <v>-2</v>
      </c>
      <c r="G16" s="143">
        <v>-2</v>
      </c>
      <c r="H16" s="143">
        <v>-2</v>
      </c>
      <c r="I16" s="143">
        <v>-2</v>
      </c>
      <c r="J16" s="143">
        <v>-2</v>
      </c>
      <c r="K16" s="143">
        <v>-2</v>
      </c>
      <c r="L16" s="143">
        <v>-2</v>
      </c>
      <c r="M16" s="143">
        <v>-2</v>
      </c>
      <c r="N16" s="143">
        <v>-2</v>
      </c>
      <c r="O16" s="143">
        <v>-2</v>
      </c>
      <c r="P16" s="143">
        <v>-2</v>
      </c>
      <c r="Q16" s="143">
        <v>-2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1</v>
      </c>
      <c r="AB16" s="31"/>
      <c r="AC16" s="31"/>
      <c r="AD16" s="31"/>
      <c r="AE16" s="31"/>
      <c r="AF16" s="31"/>
      <c r="AG16" s="31"/>
      <c r="AH16" s="143">
        <v>-2</v>
      </c>
      <c r="AI16" s="3"/>
      <c r="AJ16" s="143">
        <v>-2</v>
      </c>
      <c r="AK16" s="143">
        <v>-2</v>
      </c>
      <c r="AL16" s="143">
        <v>-2</v>
      </c>
      <c r="AM16" s="143">
        <v>-2</v>
      </c>
      <c r="AN16" s="143">
        <v>-2</v>
      </c>
      <c r="AO16" s="143">
        <v>-2</v>
      </c>
      <c r="AP16" s="143">
        <v>-2</v>
      </c>
      <c r="AQ16" s="143">
        <v>-2</v>
      </c>
      <c r="AR16" s="143">
        <v>-2</v>
      </c>
      <c r="AS16" s="143">
        <v>-2</v>
      </c>
      <c r="AT16" s="143">
        <v>-2</v>
      </c>
      <c r="AU16" s="143">
        <v>-2</v>
      </c>
      <c r="AV16" s="143">
        <v>-2</v>
      </c>
      <c r="AW16" s="31"/>
      <c r="AX16" s="31"/>
      <c r="AY16" s="31"/>
      <c r="AZ16" s="31"/>
      <c r="BA16" s="31"/>
      <c r="BB16" s="31"/>
      <c r="BC16" s="31"/>
      <c r="BD16" s="31"/>
      <c r="BE16" s="143">
        <v>-2</v>
      </c>
      <c r="BF16" s="31"/>
      <c r="BG16" s="31"/>
      <c r="BH16" s="31"/>
      <c r="BI16" s="31"/>
    </row>
    <row x14ac:dyDescent="0.25" r="17" customHeight="1" ht="18.75">
      <c r="A17" s="30" t="s">
        <v>129</v>
      </c>
      <c r="B17" s="31" t="s">
        <v>138</v>
      </c>
      <c r="C17" s="143" t="s">
        <v>358</v>
      </c>
      <c r="D17" s="143" t="s">
        <v>358</v>
      </c>
      <c r="E17" s="143" t="s">
        <v>358</v>
      </c>
      <c r="F17" s="143" t="s">
        <v>358</v>
      </c>
      <c r="G17" s="143" t="s">
        <v>358</v>
      </c>
      <c r="H17" s="143" t="s">
        <v>358</v>
      </c>
      <c r="I17" s="143" t="s">
        <v>358</v>
      </c>
      <c r="J17" s="143" t="s">
        <v>358</v>
      </c>
      <c r="K17" s="143" t="s">
        <v>358</v>
      </c>
      <c r="L17" s="143" t="s">
        <v>358</v>
      </c>
      <c r="M17" s="143" t="s">
        <v>358</v>
      </c>
      <c r="N17" s="143" t="s">
        <v>358</v>
      </c>
      <c r="O17" s="143" t="s">
        <v>358</v>
      </c>
      <c r="P17" s="143" t="s">
        <v>358</v>
      </c>
      <c r="Q17" s="143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32"/>
      <c r="AF17" s="32"/>
      <c r="AG17" s="32"/>
      <c r="AH17" s="143" t="s">
        <v>358</v>
      </c>
      <c r="AI17" s="3"/>
      <c r="AJ17" s="143" t="s">
        <v>358</v>
      </c>
      <c r="AK17" s="143" t="s">
        <v>358</v>
      </c>
      <c r="AL17" s="143" t="s">
        <v>358</v>
      </c>
      <c r="AM17" s="143" t="s">
        <v>358</v>
      </c>
      <c r="AN17" s="143" t="s">
        <v>358</v>
      </c>
      <c r="AO17" s="143" t="s">
        <v>358</v>
      </c>
      <c r="AP17" s="143" t="s">
        <v>358</v>
      </c>
      <c r="AQ17" s="143" t="s">
        <v>358</v>
      </c>
      <c r="AR17" s="143" t="s">
        <v>358</v>
      </c>
      <c r="AS17" s="143" t="s">
        <v>358</v>
      </c>
      <c r="AT17" s="143" t="s">
        <v>358</v>
      </c>
      <c r="AU17" s="143" t="s">
        <v>358</v>
      </c>
      <c r="AV17" s="143" t="s">
        <v>358</v>
      </c>
      <c r="AW17" s="32"/>
      <c r="AX17" s="32"/>
      <c r="AY17" s="32"/>
      <c r="AZ17" s="32"/>
      <c r="BA17" s="32"/>
      <c r="BB17" s="32"/>
      <c r="BC17" s="32"/>
      <c r="BD17" s="32"/>
      <c r="BE17" s="143" t="s">
        <v>358</v>
      </c>
      <c r="BF17" s="32"/>
      <c r="BG17" s="32"/>
      <c r="BH17" s="32"/>
      <c r="BI17" s="32"/>
    </row>
    <row x14ac:dyDescent="0.25" r="18" customHeight="1" ht="18.75">
      <c r="A18" s="30" t="s">
        <v>130</v>
      </c>
      <c r="B18" s="31">
        <v>4</v>
      </c>
      <c r="C18" s="143">
        <v>0</v>
      </c>
      <c r="D18" s="143">
        <v>0</v>
      </c>
      <c r="E18" s="143">
        <v>0</v>
      </c>
      <c r="F18" s="143">
        <v>0</v>
      </c>
      <c r="G18" s="143">
        <v>0</v>
      </c>
      <c r="H18" s="143">
        <v>0</v>
      </c>
      <c r="I18" s="143">
        <v>0</v>
      </c>
      <c r="J18" s="143">
        <v>0</v>
      </c>
      <c r="K18" s="143">
        <v>0</v>
      </c>
      <c r="L18" s="143">
        <v>0</v>
      </c>
      <c r="M18" s="143">
        <v>0</v>
      </c>
      <c r="N18" s="143">
        <v>0</v>
      </c>
      <c r="O18" s="143">
        <v>0</v>
      </c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31"/>
      <c r="AF18" s="31"/>
      <c r="AG18" s="31"/>
      <c r="AH18" s="143">
        <v>0</v>
      </c>
      <c r="AI18" s="3"/>
      <c r="AJ18" s="143">
        <v>0</v>
      </c>
      <c r="AK18" s="143">
        <v>0</v>
      </c>
      <c r="AL18" s="143">
        <v>0</v>
      </c>
      <c r="AM18" s="143">
        <v>0</v>
      </c>
      <c r="AN18" s="143">
        <v>0</v>
      </c>
      <c r="AO18" s="143">
        <v>0</v>
      </c>
      <c r="AP18" s="143">
        <v>0</v>
      </c>
      <c r="AQ18" s="143">
        <v>0</v>
      </c>
      <c r="AR18" s="143">
        <v>0</v>
      </c>
      <c r="AS18" s="143">
        <v>0</v>
      </c>
      <c r="AT18" s="143">
        <v>0</v>
      </c>
      <c r="AU18" s="143">
        <v>0</v>
      </c>
      <c r="AV18" s="143">
        <v>0</v>
      </c>
      <c r="AW18" s="33"/>
      <c r="AX18" s="33"/>
      <c r="AY18" s="33"/>
      <c r="AZ18" s="31"/>
      <c r="BA18" s="31"/>
      <c r="BB18" s="31"/>
      <c r="BC18" s="31"/>
      <c r="BD18" s="31"/>
      <c r="BE18" s="143">
        <v>0</v>
      </c>
      <c r="BF18" s="31"/>
      <c r="BG18" s="31"/>
      <c r="BH18" s="31"/>
      <c r="BI18" s="31"/>
    </row>
    <row x14ac:dyDescent="0.25" r="19" customHeight="1" ht="18.75">
      <c r="A19" s="46"/>
      <c r="B19" s="2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3"/>
      <c r="S19" s="3"/>
      <c r="T19" s="3"/>
      <c r="U19" s="3"/>
      <c r="V19" s="3"/>
      <c r="W19" s="3"/>
      <c r="X19" s="3"/>
      <c r="Y19" s="3"/>
      <c r="Z19" s="3"/>
      <c r="AA19" s="149"/>
      <c r="AB19" s="3"/>
      <c r="AC19" s="3"/>
      <c r="AD19" s="3"/>
      <c r="AE19" s="3"/>
      <c r="AF19" s="3"/>
      <c r="AG19" s="3"/>
      <c r="AH19" s="2"/>
      <c r="AI19" s="3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2"/>
      <c r="AV19" s="149"/>
      <c r="AW19" s="3"/>
      <c r="AX19" s="3"/>
      <c r="AY19" s="3"/>
      <c r="AZ19" s="3"/>
      <c r="BA19" s="3"/>
      <c r="BB19" s="3"/>
      <c r="BC19" s="3"/>
      <c r="BD19" s="3"/>
      <c r="BE19" s="149"/>
      <c r="BF19" s="3"/>
      <c r="BG19" s="3"/>
      <c r="BH19" s="3"/>
      <c r="BI19" s="3"/>
    </row>
    <row x14ac:dyDescent="0.25" r="20" customHeight="1" ht="18.75">
      <c r="A20" s="30" t="s">
        <v>43</v>
      </c>
      <c r="B20" s="139" t="s">
        <v>131</v>
      </c>
      <c r="C20" s="31" t="s">
        <v>367</v>
      </c>
      <c r="D20" s="31" t="s">
        <v>367</v>
      </c>
      <c r="E20" s="31" t="s">
        <v>367</v>
      </c>
      <c r="F20" s="143" t="s">
        <v>358</v>
      </c>
      <c r="G20" s="31" t="s">
        <v>367</v>
      </c>
      <c r="H20" s="31" t="s">
        <v>367</v>
      </c>
      <c r="I20" s="31" t="s">
        <v>367</v>
      </c>
      <c r="J20" s="31" t="s">
        <v>367</v>
      </c>
      <c r="K20" s="31" t="s">
        <v>68</v>
      </c>
      <c r="L20" s="31" t="s">
        <v>68</v>
      </c>
      <c r="M20" s="31" t="s">
        <v>68</v>
      </c>
      <c r="N20" s="31" t="s">
        <v>68</v>
      </c>
      <c r="O20" s="31" t="s">
        <v>68</v>
      </c>
      <c r="P20" s="31" t="s">
        <v>513</v>
      </c>
      <c r="Q20" s="31" t="s">
        <v>513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32"/>
      <c r="AC20" s="32"/>
      <c r="AD20" s="32"/>
      <c r="AE20" s="32"/>
      <c r="AF20" s="32"/>
      <c r="AG20" s="32"/>
      <c r="AH20" s="31" t="s">
        <v>367</v>
      </c>
      <c r="AI20" s="3"/>
      <c r="AJ20" s="31" t="s">
        <v>132</v>
      </c>
      <c r="AK20" s="31" t="s">
        <v>132</v>
      </c>
      <c r="AL20" s="31" t="s">
        <v>220</v>
      </c>
      <c r="AM20" s="31" t="s">
        <v>514</v>
      </c>
      <c r="AN20" s="31" t="s">
        <v>515</v>
      </c>
      <c r="AO20" s="31" t="s">
        <v>515</v>
      </c>
      <c r="AP20" s="139" t="s">
        <v>515</v>
      </c>
      <c r="AQ20" s="31" t="s">
        <v>515</v>
      </c>
      <c r="AR20" s="31" t="s">
        <v>132</v>
      </c>
      <c r="AS20" s="31" t="s">
        <v>132</v>
      </c>
      <c r="AT20" s="139" t="s">
        <v>132</v>
      </c>
      <c r="AU20" s="31" t="s">
        <v>516</v>
      </c>
      <c r="AV20" s="31" t="s">
        <v>516</v>
      </c>
      <c r="AW20" s="32"/>
      <c r="AX20" s="32"/>
      <c r="AY20" s="32"/>
      <c r="AZ20" s="32"/>
      <c r="BA20" s="32"/>
      <c r="BB20" s="32"/>
      <c r="BC20" s="32"/>
      <c r="BD20" s="32"/>
      <c r="BE20" s="31" t="s">
        <v>517</v>
      </c>
      <c r="BF20" s="32"/>
      <c r="BG20" s="32"/>
      <c r="BH20" s="32"/>
      <c r="BI20" s="32"/>
    </row>
    <row x14ac:dyDescent="0.25" r="21" customHeight="1" ht="18.75">
      <c r="A21" s="30" t="s">
        <v>45</v>
      </c>
      <c r="B21" s="139" t="s">
        <v>132</v>
      </c>
      <c r="C21" s="31" t="s">
        <v>368</v>
      </c>
      <c r="D21" s="31" t="s">
        <v>368</v>
      </c>
      <c r="E21" s="31" t="s">
        <v>368</v>
      </c>
      <c r="F21" s="143" t="s">
        <v>358</v>
      </c>
      <c r="G21" s="31" t="s">
        <v>368</v>
      </c>
      <c r="H21" s="31" t="s">
        <v>368</v>
      </c>
      <c r="I21" s="31" t="s">
        <v>368</v>
      </c>
      <c r="J21" s="31" t="s">
        <v>368</v>
      </c>
      <c r="K21" s="139" t="s">
        <v>132</v>
      </c>
      <c r="L21" s="139" t="s">
        <v>132</v>
      </c>
      <c r="M21" s="139" t="s">
        <v>132</v>
      </c>
      <c r="N21" s="139" t="s">
        <v>132</v>
      </c>
      <c r="O21" s="139" t="s">
        <v>132</v>
      </c>
      <c r="P21" s="31" t="s">
        <v>132</v>
      </c>
      <c r="Q21" s="31" t="s">
        <v>132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34"/>
      <c r="AC21" s="34"/>
      <c r="AD21" s="34"/>
      <c r="AE21" s="34"/>
      <c r="AF21" s="34"/>
      <c r="AG21" s="34"/>
      <c r="AH21" s="31" t="s">
        <v>368</v>
      </c>
      <c r="AI21" s="3"/>
      <c r="AJ21" s="31" t="s">
        <v>271</v>
      </c>
      <c r="AK21" s="31" t="s">
        <v>271</v>
      </c>
      <c r="AL21" s="31" t="s">
        <v>227</v>
      </c>
      <c r="AM21" s="31" t="s">
        <v>518</v>
      </c>
      <c r="AN21" s="31" t="s">
        <v>158</v>
      </c>
      <c r="AO21" s="31" t="s">
        <v>158</v>
      </c>
      <c r="AP21" s="139" t="s">
        <v>158</v>
      </c>
      <c r="AQ21" s="31" t="s">
        <v>158</v>
      </c>
      <c r="AR21" s="31" t="s">
        <v>271</v>
      </c>
      <c r="AS21" s="31" t="s">
        <v>272</v>
      </c>
      <c r="AT21" s="31" t="s">
        <v>271</v>
      </c>
      <c r="AU21" s="119" t="s">
        <v>519</v>
      </c>
      <c r="AV21" s="31" t="s">
        <v>271</v>
      </c>
      <c r="AW21" s="32"/>
      <c r="AX21" s="32"/>
      <c r="AY21" s="32"/>
      <c r="AZ21" s="34"/>
      <c r="BA21" s="34"/>
      <c r="BB21" s="34"/>
      <c r="BC21" s="34"/>
      <c r="BD21" s="34"/>
      <c r="BE21" s="31" t="s">
        <v>273</v>
      </c>
      <c r="BF21" s="34"/>
      <c r="BG21" s="34"/>
      <c r="BH21" s="34"/>
      <c r="BI21" s="34"/>
    </row>
    <row x14ac:dyDescent="0.25" r="22" customHeight="1" ht="18.75">
      <c r="A22" s="35" t="s">
        <v>47</v>
      </c>
      <c r="B22" s="117">
        <v>98</v>
      </c>
      <c r="C22" s="117">
        <v>151</v>
      </c>
      <c r="D22" s="117">
        <v>151</v>
      </c>
      <c r="E22" s="117">
        <v>151</v>
      </c>
      <c r="F22" s="144"/>
      <c r="G22" s="117">
        <v>151</v>
      </c>
      <c r="H22" s="117">
        <v>151</v>
      </c>
      <c r="I22" s="117">
        <v>151</v>
      </c>
      <c r="J22" s="117">
        <v>151</v>
      </c>
      <c r="K22" s="117">
        <v>98</v>
      </c>
      <c r="L22" s="117">
        <v>98</v>
      </c>
      <c r="M22" s="117">
        <v>98</v>
      </c>
      <c r="N22" s="117">
        <v>98</v>
      </c>
      <c r="O22" s="117">
        <v>98</v>
      </c>
      <c r="P22" s="117">
        <v>98</v>
      </c>
      <c r="Q22" s="117">
        <v>98</v>
      </c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37"/>
      <c r="AC22" s="37"/>
      <c r="AD22" s="37"/>
      <c r="AE22" s="37"/>
      <c r="AF22" s="37"/>
      <c r="AG22" s="37"/>
      <c r="AH22" s="117">
        <v>151</v>
      </c>
      <c r="AI22" s="3"/>
      <c r="AJ22" s="117">
        <v>57</v>
      </c>
      <c r="AK22" s="117">
        <v>57</v>
      </c>
      <c r="AL22" s="117">
        <v>56</v>
      </c>
      <c r="AM22" s="117">
        <v>193</v>
      </c>
      <c r="AN22" s="117">
        <v>61</v>
      </c>
      <c r="AO22" s="117">
        <v>61</v>
      </c>
      <c r="AP22" s="167">
        <v>61</v>
      </c>
      <c r="AQ22" s="117">
        <v>61</v>
      </c>
      <c r="AR22" s="117">
        <v>57</v>
      </c>
      <c r="AS22" s="117">
        <v>35</v>
      </c>
      <c r="AT22" s="117">
        <v>57</v>
      </c>
      <c r="AU22" s="117">
        <v>194</v>
      </c>
      <c r="AV22" s="117">
        <v>57</v>
      </c>
      <c r="AW22" s="37"/>
      <c r="AX22" s="37"/>
      <c r="AY22" s="37"/>
      <c r="AZ22" s="37"/>
      <c r="BA22" s="37"/>
      <c r="BB22" s="37"/>
      <c r="BC22" s="37"/>
      <c r="BD22" s="37"/>
      <c r="BE22" s="117">
        <v>187</v>
      </c>
      <c r="BF22" s="37"/>
      <c r="BG22" s="37"/>
      <c r="BH22" s="37"/>
      <c r="BI22" s="37"/>
    </row>
    <row x14ac:dyDescent="0.25" r="23" customHeight="1" ht="18.75">
      <c r="A23" s="30" t="s">
        <v>123</v>
      </c>
      <c r="B23" s="31" t="s">
        <v>52</v>
      </c>
      <c r="C23" s="31" t="s">
        <v>162</v>
      </c>
      <c r="D23" s="31" t="s">
        <v>162</v>
      </c>
      <c r="E23" s="31" t="s">
        <v>162</v>
      </c>
      <c r="F23" s="143" t="s">
        <v>49</v>
      </c>
      <c r="G23" s="31" t="s">
        <v>162</v>
      </c>
      <c r="H23" s="31" t="s">
        <v>162</v>
      </c>
      <c r="I23" s="31" t="s">
        <v>162</v>
      </c>
      <c r="J23" s="31" t="s">
        <v>162</v>
      </c>
      <c r="K23" s="31" t="s">
        <v>52</v>
      </c>
      <c r="L23" s="31" t="s">
        <v>52</v>
      </c>
      <c r="M23" s="31" t="s">
        <v>52</v>
      </c>
      <c r="N23" s="31" t="s">
        <v>52</v>
      </c>
      <c r="O23" s="31" t="s">
        <v>52</v>
      </c>
      <c r="P23" s="33" t="s">
        <v>52</v>
      </c>
      <c r="Q23" s="33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32"/>
      <c r="AC23" s="34"/>
      <c r="AD23" s="32"/>
      <c r="AE23" s="34"/>
      <c r="AF23" s="32"/>
      <c r="AG23" s="32"/>
      <c r="AH23" s="31" t="s">
        <v>162</v>
      </c>
      <c r="AI23" s="3"/>
      <c r="AJ23" s="33" t="s">
        <v>52</v>
      </c>
      <c r="AK23" s="33" t="s">
        <v>52</v>
      </c>
      <c r="AL23" s="33" t="s">
        <v>52</v>
      </c>
      <c r="AM23" s="33" t="s">
        <v>52</v>
      </c>
      <c r="AN23" s="33" t="s">
        <v>52</v>
      </c>
      <c r="AO23" s="33" t="s">
        <v>52</v>
      </c>
      <c r="AP23" s="140" t="s">
        <v>52</v>
      </c>
      <c r="AQ23" s="31" t="s">
        <v>52</v>
      </c>
      <c r="AR23" s="31" t="s">
        <v>52</v>
      </c>
      <c r="AS23" s="31" t="s">
        <v>52</v>
      </c>
      <c r="AT23" s="31" t="s">
        <v>52</v>
      </c>
      <c r="AU23" s="31" t="s">
        <v>52</v>
      </c>
      <c r="AV23" s="31" t="s">
        <v>52</v>
      </c>
      <c r="AW23" s="32"/>
      <c r="AX23" s="32"/>
      <c r="AY23" s="32"/>
      <c r="AZ23" s="32"/>
      <c r="BA23" s="32"/>
      <c r="BB23" s="32"/>
      <c r="BC23" s="32"/>
      <c r="BD23" s="32"/>
      <c r="BE23" s="33" t="s">
        <v>52</v>
      </c>
      <c r="BF23" s="32"/>
      <c r="BG23" s="34"/>
      <c r="BH23" s="32"/>
      <c r="BI23" s="32"/>
    </row>
    <row x14ac:dyDescent="0.25" r="24" customHeight="1" ht="18.75">
      <c r="A24" s="30" t="s">
        <v>124</v>
      </c>
      <c r="B24" s="31" t="s">
        <v>52</v>
      </c>
      <c r="C24" s="33" t="s">
        <v>162</v>
      </c>
      <c r="D24" s="33" t="s">
        <v>162</v>
      </c>
      <c r="E24" s="33" t="s">
        <v>162</v>
      </c>
      <c r="F24" s="143" t="s">
        <v>49</v>
      </c>
      <c r="G24" s="33" t="s">
        <v>162</v>
      </c>
      <c r="H24" s="33" t="s">
        <v>162</v>
      </c>
      <c r="I24" s="33" t="s">
        <v>162</v>
      </c>
      <c r="J24" s="33" t="s">
        <v>162</v>
      </c>
      <c r="K24" s="31" t="s">
        <v>52</v>
      </c>
      <c r="L24" s="31" t="s">
        <v>52</v>
      </c>
      <c r="M24" s="31" t="s">
        <v>52</v>
      </c>
      <c r="N24" s="31" t="s">
        <v>52</v>
      </c>
      <c r="O24" s="31" t="s">
        <v>52</v>
      </c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32"/>
      <c r="AC24" s="32"/>
      <c r="AD24" s="32"/>
      <c r="AE24" s="32"/>
      <c r="AF24" s="32"/>
      <c r="AG24" s="32"/>
      <c r="AH24" s="33" t="s">
        <v>162</v>
      </c>
      <c r="AI24" s="3"/>
      <c r="AJ24" s="31" t="s">
        <v>52</v>
      </c>
      <c r="AK24" s="31" t="s">
        <v>52</v>
      </c>
      <c r="AL24" s="33" t="s">
        <v>49</v>
      </c>
      <c r="AM24" s="31" t="s">
        <v>162</v>
      </c>
      <c r="AN24" s="31" t="s">
        <v>52</v>
      </c>
      <c r="AO24" s="31" t="s">
        <v>52</v>
      </c>
      <c r="AP24" s="139" t="s">
        <v>52</v>
      </c>
      <c r="AQ24" s="31" t="s">
        <v>52</v>
      </c>
      <c r="AR24" s="31" t="s">
        <v>52</v>
      </c>
      <c r="AS24" s="31" t="s">
        <v>52</v>
      </c>
      <c r="AT24" s="31" t="s">
        <v>52</v>
      </c>
      <c r="AU24" s="31" t="s">
        <v>52</v>
      </c>
      <c r="AV24" s="31" t="s">
        <v>52</v>
      </c>
      <c r="AW24" s="32"/>
      <c r="AX24" s="32"/>
      <c r="AY24" s="32"/>
      <c r="AZ24" s="32"/>
      <c r="BA24" s="32"/>
      <c r="BB24" s="32"/>
      <c r="BC24" s="32"/>
      <c r="BD24" s="32"/>
      <c r="BE24" s="31" t="s">
        <v>52</v>
      </c>
      <c r="BF24" s="32"/>
      <c r="BG24" s="32"/>
      <c r="BH24" s="32"/>
      <c r="BI24" s="32"/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143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32"/>
      <c r="AC25" s="32"/>
      <c r="AD25" s="32"/>
      <c r="AE25" s="32"/>
      <c r="AF25" s="32"/>
      <c r="AG25" s="32"/>
      <c r="AH25" s="31" t="s">
        <v>49</v>
      </c>
      <c r="AI25" s="3"/>
      <c r="AJ25" s="31" t="s">
        <v>52</v>
      </c>
      <c r="AK25" s="31" t="s">
        <v>52</v>
      </c>
      <c r="AL25" s="31" t="s">
        <v>52</v>
      </c>
      <c r="AM25" s="31" t="s">
        <v>295</v>
      </c>
      <c r="AN25" s="31" t="s">
        <v>49</v>
      </c>
      <c r="AO25" s="31" t="s">
        <v>49</v>
      </c>
      <c r="AP25" s="31" t="s">
        <v>49</v>
      </c>
      <c r="AQ25" s="33" t="s">
        <v>49</v>
      </c>
      <c r="AR25" s="31" t="s">
        <v>52</v>
      </c>
      <c r="AS25" s="31" t="s">
        <v>52</v>
      </c>
      <c r="AT25" s="31" t="s">
        <v>52</v>
      </c>
      <c r="AU25" s="31" t="s">
        <v>52</v>
      </c>
      <c r="AV25" s="31" t="s">
        <v>52</v>
      </c>
      <c r="AW25" s="34"/>
      <c r="AX25" s="34"/>
      <c r="AY25" s="34"/>
      <c r="AZ25" s="32"/>
      <c r="BA25" s="32"/>
      <c r="BB25" s="32"/>
      <c r="BC25" s="32"/>
      <c r="BD25" s="32"/>
      <c r="BE25" s="31" t="s">
        <v>52</v>
      </c>
      <c r="BF25" s="32"/>
      <c r="BG25" s="32"/>
      <c r="BH25" s="32"/>
      <c r="BI25" s="32"/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143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32"/>
      <c r="AC26" s="32"/>
      <c r="AD26" s="32"/>
      <c r="AE26" s="32"/>
      <c r="AF26" s="32"/>
      <c r="AG26" s="32"/>
      <c r="AH26" s="31" t="s">
        <v>49</v>
      </c>
      <c r="AI26" s="3"/>
      <c r="AJ26" s="31" t="s">
        <v>49</v>
      </c>
      <c r="AK26" s="31" t="s">
        <v>49</v>
      </c>
      <c r="AL26" s="31" t="s">
        <v>49</v>
      </c>
      <c r="AM26" s="31" t="s">
        <v>49</v>
      </c>
      <c r="AN26" s="31" t="s">
        <v>49</v>
      </c>
      <c r="AO26" s="31" t="s">
        <v>49</v>
      </c>
      <c r="AP26" s="31" t="s">
        <v>49</v>
      </c>
      <c r="AQ26" s="31" t="s">
        <v>49</v>
      </c>
      <c r="AR26" s="31" t="s">
        <v>49</v>
      </c>
      <c r="AS26" s="31" t="s">
        <v>49</v>
      </c>
      <c r="AT26" s="31" t="s">
        <v>49</v>
      </c>
      <c r="AU26" s="31" t="s">
        <v>49</v>
      </c>
      <c r="AV26" s="31" t="s">
        <v>49</v>
      </c>
      <c r="AW26" s="32"/>
      <c r="AX26" s="32"/>
      <c r="AY26" s="32"/>
      <c r="AZ26" s="32"/>
      <c r="BA26" s="32"/>
      <c r="BB26" s="32"/>
      <c r="BC26" s="32"/>
      <c r="BD26" s="32"/>
      <c r="BE26" s="31" t="s">
        <v>49</v>
      </c>
      <c r="BF26" s="32"/>
      <c r="BG26" s="32"/>
      <c r="BH26" s="32"/>
      <c r="BI26" s="32"/>
    </row>
    <row x14ac:dyDescent="0.25" r="27" customHeight="1" ht="18.75">
      <c r="A27" s="30" t="s">
        <v>127</v>
      </c>
      <c r="B27" s="31" t="s">
        <v>133</v>
      </c>
      <c r="C27" s="31" t="s">
        <v>133</v>
      </c>
      <c r="D27" s="31" t="s">
        <v>133</v>
      </c>
      <c r="E27" s="31" t="s">
        <v>133</v>
      </c>
      <c r="F27" s="143" t="s">
        <v>133</v>
      </c>
      <c r="G27" s="31" t="s">
        <v>133</v>
      </c>
      <c r="H27" s="31" t="s">
        <v>133</v>
      </c>
      <c r="I27" s="31" t="s">
        <v>133</v>
      </c>
      <c r="J27" s="31" t="s">
        <v>133</v>
      </c>
      <c r="K27" s="31" t="s">
        <v>133</v>
      </c>
      <c r="L27" s="31" t="s">
        <v>133</v>
      </c>
      <c r="M27" s="31" t="s">
        <v>133</v>
      </c>
      <c r="N27" s="31" t="s">
        <v>133</v>
      </c>
      <c r="O27" s="31" t="s">
        <v>133</v>
      </c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32"/>
      <c r="AC27" s="32"/>
      <c r="AD27" s="32"/>
      <c r="AE27" s="32"/>
      <c r="AF27" s="32"/>
      <c r="AG27" s="32"/>
      <c r="AH27" s="31" t="s">
        <v>133</v>
      </c>
      <c r="AI27" s="3"/>
      <c r="AJ27" s="31" t="s">
        <v>133</v>
      </c>
      <c r="AK27" s="31" t="s">
        <v>133</v>
      </c>
      <c r="AL27" s="31" t="s">
        <v>133</v>
      </c>
      <c r="AM27" s="31" t="s">
        <v>133</v>
      </c>
      <c r="AN27" s="31" t="s">
        <v>133</v>
      </c>
      <c r="AO27" s="31" t="s">
        <v>133</v>
      </c>
      <c r="AP27" s="31" t="s">
        <v>133</v>
      </c>
      <c r="AQ27" s="31" t="s">
        <v>133</v>
      </c>
      <c r="AR27" s="31" t="s">
        <v>133</v>
      </c>
      <c r="AS27" s="31" t="s">
        <v>133</v>
      </c>
      <c r="AT27" s="31" t="s">
        <v>133</v>
      </c>
      <c r="AU27" s="31" t="s">
        <v>520</v>
      </c>
      <c r="AV27" s="31" t="s">
        <v>133</v>
      </c>
      <c r="AW27" s="32"/>
      <c r="AX27" s="32"/>
      <c r="AY27" s="32"/>
      <c r="AZ27" s="32"/>
      <c r="BA27" s="32"/>
      <c r="BB27" s="32"/>
      <c r="BC27" s="32"/>
      <c r="BD27" s="32"/>
      <c r="BE27" s="31" t="s">
        <v>133</v>
      </c>
      <c r="BF27" s="32"/>
      <c r="BG27" s="32"/>
      <c r="BH27" s="32"/>
      <c r="BI27" s="32"/>
    </row>
    <row x14ac:dyDescent="0.25" r="28" customHeight="1" ht="18.75">
      <c r="A28" s="30" t="s">
        <v>128</v>
      </c>
      <c r="B28" s="31">
        <v>-2</v>
      </c>
      <c r="C28" s="31">
        <v>-2</v>
      </c>
      <c r="D28" s="31">
        <v>-2</v>
      </c>
      <c r="E28" s="31">
        <v>-2</v>
      </c>
      <c r="F28" s="143">
        <v>-2</v>
      </c>
      <c r="G28" s="31">
        <v>-2</v>
      </c>
      <c r="H28" s="31">
        <v>-2</v>
      </c>
      <c r="I28" s="31">
        <v>-2</v>
      </c>
      <c r="J28" s="31">
        <v>-2</v>
      </c>
      <c r="K28" s="31">
        <v>-2</v>
      </c>
      <c r="L28" s="31">
        <v>-2</v>
      </c>
      <c r="M28" s="31">
        <v>-2</v>
      </c>
      <c r="N28" s="31">
        <v>-2</v>
      </c>
      <c r="O28" s="31">
        <v>-2</v>
      </c>
      <c r="P28" s="31">
        <v>-2</v>
      </c>
      <c r="Q28" s="31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31"/>
      <c r="AD28" s="31"/>
      <c r="AE28" s="31"/>
      <c r="AF28" s="31"/>
      <c r="AG28" s="31"/>
      <c r="AH28" s="31">
        <v>-2</v>
      </c>
      <c r="AI28" s="3"/>
      <c r="AJ28" s="31">
        <v>-0.5</v>
      </c>
      <c r="AK28" s="31">
        <v>-0.5</v>
      </c>
      <c r="AL28" s="31">
        <v>-0.5</v>
      </c>
      <c r="AM28" s="31">
        <f>AVERAGE(-2,-0.5)</f>
      </c>
      <c r="AN28" s="31">
        <v>-2</v>
      </c>
      <c r="AO28" s="31">
        <v>-2</v>
      </c>
      <c r="AP28" s="31">
        <v>-2</v>
      </c>
      <c r="AQ28" s="31">
        <v>-2</v>
      </c>
      <c r="AR28" s="31">
        <v>-0.5</v>
      </c>
      <c r="AS28" s="31">
        <v>-0.5</v>
      </c>
      <c r="AT28" s="31">
        <v>-0.5</v>
      </c>
      <c r="AU28" s="31">
        <f>AVERAGE(-0.5,-0.5,0.5)</f>
      </c>
      <c r="AV28" s="31">
        <v>-0.5</v>
      </c>
      <c r="AW28" s="31"/>
      <c r="AX28" s="31"/>
      <c r="AY28" s="31"/>
      <c r="AZ28" s="31"/>
      <c r="BA28" s="31"/>
      <c r="BB28" s="31"/>
      <c r="BC28" s="31"/>
      <c r="BD28" s="31"/>
      <c r="BE28" s="31">
        <v>-0.5</v>
      </c>
      <c r="BF28" s="31"/>
      <c r="BG28" s="31"/>
      <c r="BH28" s="31"/>
      <c r="BI28" s="31"/>
    </row>
    <row x14ac:dyDescent="0.25" r="29" customHeight="1" ht="18.75">
      <c r="A29" s="30" t="s">
        <v>129</v>
      </c>
      <c r="B29" s="31" t="s">
        <v>134</v>
      </c>
      <c r="C29" s="33" t="s">
        <v>369</v>
      </c>
      <c r="D29" s="33" t="s">
        <v>369</v>
      </c>
      <c r="E29" s="33" t="s">
        <v>369</v>
      </c>
      <c r="F29" s="146" t="s">
        <v>358</v>
      </c>
      <c r="G29" s="33" t="s">
        <v>369</v>
      </c>
      <c r="H29" s="33" t="s">
        <v>369</v>
      </c>
      <c r="I29" s="33" t="s">
        <v>369</v>
      </c>
      <c r="J29" s="33" t="s">
        <v>369</v>
      </c>
      <c r="K29" s="31" t="s">
        <v>134</v>
      </c>
      <c r="L29" s="31" t="s">
        <v>134</v>
      </c>
      <c r="M29" s="31" t="s">
        <v>134</v>
      </c>
      <c r="N29" s="31" t="s">
        <v>134</v>
      </c>
      <c r="O29" s="31" t="s">
        <v>134</v>
      </c>
      <c r="P29" s="31" t="s">
        <v>134</v>
      </c>
      <c r="Q29" s="31" t="s">
        <v>134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32"/>
      <c r="AC29" s="32"/>
      <c r="AD29" s="32"/>
      <c r="AE29" s="32"/>
      <c r="AF29" s="32"/>
      <c r="AG29" s="32"/>
      <c r="AH29" s="33" t="s">
        <v>369</v>
      </c>
      <c r="AI29" s="3"/>
      <c r="AJ29" s="31" t="s">
        <v>169</v>
      </c>
      <c r="AK29" s="31" t="s">
        <v>169</v>
      </c>
      <c r="AL29" s="31" t="s">
        <v>169</v>
      </c>
      <c r="AM29" s="31" t="s">
        <v>169</v>
      </c>
      <c r="AN29" s="31" t="s">
        <v>169</v>
      </c>
      <c r="AO29" s="31" t="s">
        <v>169</v>
      </c>
      <c r="AP29" s="31" t="s">
        <v>169</v>
      </c>
      <c r="AQ29" s="31" t="s">
        <v>169</v>
      </c>
      <c r="AR29" s="31" t="s">
        <v>169</v>
      </c>
      <c r="AS29" s="31" t="s">
        <v>274</v>
      </c>
      <c r="AT29" s="31" t="s">
        <v>169</v>
      </c>
      <c r="AU29" s="31" t="s">
        <v>274</v>
      </c>
      <c r="AV29" s="31" t="s">
        <v>169</v>
      </c>
      <c r="AW29" s="32"/>
      <c r="AX29" s="32"/>
      <c r="AY29" s="32"/>
      <c r="AZ29" s="32"/>
      <c r="BA29" s="32"/>
      <c r="BB29" s="32"/>
      <c r="BC29" s="32"/>
      <c r="BD29" s="32"/>
      <c r="BE29" s="31" t="s">
        <v>275</v>
      </c>
      <c r="BF29" s="32"/>
      <c r="BG29" s="32"/>
      <c r="BH29" s="32"/>
      <c r="BI29" s="32"/>
    </row>
    <row x14ac:dyDescent="0.25" r="30" customHeight="1" ht="18.75">
      <c r="A30" s="30" t="s">
        <v>130</v>
      </c>
      <c r="B30" s="31">
        <f>1/3</f>
      </c>
      <c r="C30" s="31">
        <f>AVERAGE(1/3,0)</f>
      </c>
      <c r="D30" s="31">
        <f>AVERAGE(1/3,0)</f>
      </c>
      <c r="E30" s="31">
        <f>AVERAGE(1/3,0)</f>
      </c>
      <c r="F30" s="143">
        <v>0</v>
      </c>
      <c r="G30" s="31">
        <f>AVERAGE(1/3,0)</f>
      </c>
      <c r="H30" s="31">
        <f>AVERAGE(1/3,0)</f>
      </c>
      <c r="I30" s="31">
        <f>AVERAGE(1/3,0)</f>
      </c>
      <c r="J30" s="31">
        <f>AVERAGE(1/3,0)</f>
      </c>
      <c r="K30" s="31">
        <f>1/3</f>
      </c>
      <c r="L30" s="31">
        <f>1/3</f>
      </c>
      <c r="M30" s="31">
        <f>1/3</f>
      </c>
      <c r="N30" s="31">
        <f>1/3</f>
      </c>
      <c r="O30" s="31">
        <f>1/3</f>
      </c>
      <c r="P30" s="31">
        <f>1/3</f>
      </c>
      <c r="Q30" s="31">
        <f>1/3</f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31"/>
      <c r="AD30" s="31"/>
      <c r="AE30" s="31"/>
      <c r="AF30" s="31"/>
      <c r="AG30" s="31"/>
      <c r="AH30" s="31">
        <f>AVERAGE(1/3,0)</f>
      </c>
      <c r="AI30" s="3"/>
      <c r="AJ30" s="31">
        <v>2</v>
      </c>
      <c r="AK30" s="31">
        <v>2</v>
      </c>
      <c r="AL30" s="31">
        <v>2</v>
      </c>
      <c r="AM30" s="31">
        <v>2</v>
      </c>
      <c r="AN30" s="31">
        <v>2</v>
      </c>
      <c r="AO30" s="31">
        <v>2</v>
      </c>
      <c r="AP30" s="31">
        <v>2</v>
      </c>
      <c r="AQ30" s="31">
        <v>2</v>
      </c>
      <c r="AR30" s="33">
        <v>2</v>
      </c>
      <c r="AS30" s="33">
        <v>3</v>
      </c>
      <c r="AT30" s="33">
        <v>2</v>
      </c>
      <c r="AU30" s="33">
        <v>3</v>
      </c>
      <c r="AV30" s="33">
        <v>2</v>
      </c>
      <c r="AW30" s="33"/>
      <c r="AX30" s="33"/>
      <c r="AY30" s="33"/>
      <c r="AZ30" s="31"/>
      <c r="BA30" s="31"/>
      <c r="BB30" s="31"/>
      <c r="BC30" s="31"/>
      <c r="BD30" s="31"/>
      <c r="BE30" s="31">
        <v>3.75</v>
      </c>
      <c r="BF30" s="31"/>
      <c r="BG30" s="31"/>
      <c r="BH30" s="31"/>
      <c r="BI30" s="31"/>
    </row>
    <row x14ac:dyDescent="0.25" r="31" customHeight="1" ht="15.75">
      <c r="A31" s="46"/>
      <c r="B31" s="2"/>
      <c r="C31" s="121" t="s">
        <v>521</v>
      </c>
      <c r="D31" s="121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3"/>
      <c r="S31" s="3"/>
      <c r="T31" s="3"/>
      <c r="U31" s="3"/>
      <c r="V31" s="3"/>
      <c r="W31" s="3"/>
      <c r="X31" s="3"/>
      <c r="Y31" s="3"/>
      <c r="Z31" s="3"/>
      <c r="AA31" s="138" t="s">
        <v>521</v>
      </c>
      <c r="AB31" s="3"/>
      <c r="AC31" s="3"/>
      <c r="AD31" s="3"/>
      <c r="AE31" s="3"/>
      <c r="AF31" s="3"/>
      <c r="AG31" s="3"/>
      <c r="AH31" s="2"/>
      <c r="AI31" s="3"/>
      <c r="AJ31" s="138" t="s">
        <v>522</v>
      </c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2"/>
      <c r="AV31" s="149"/>
      <c r="AW31" s="3"/>
      <c r="AX31" s="3"/>
      <c r="AY31" s="3"/>
      <c r="AZ31" s="3"/>
      <c r="BA31" s="3"/>
      <c r="BB31" s="3"/>
      <c r="BC31" s="3"/>
      <c r="BD31" s="3"/>
      <c r="BE31" s="149"/>
      <c r="BF31" s="3"/>
      <c r="BG31" s="3"/>
      <c r="BH31" s="3"/>
      <c r="BI31" s="3"/>
    </row>
    <row x14ac:dyDescent="0.25" r="32" customHeight="1" ht="18.75">
      <c r="A32" s="38" t="s">
        <v>64</v>
      </c>
      <c r="B32" s="2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3"/>
      <c r="S32" s="3"/>
      <c r="T32" s="3"/>
      <c r="U32" s="3"/>
      <c r="V32" s="3"/>
      <c r="W32" s="3"/>
      <c r="X32" s="3"/>
      <c r="Y32" s="3"/>
      <c r="Z32" s="3"/>
      <c r="AA32" s="149"/>
      <c r="AB32" s="3"/>
      <c r="AC32" s="3"/>
      <c r="AD32" s="3"/>
      <c r="AE32" s="3"/>
      <c r="AF32" s="3"/>
      <c r="AG32" s="3"/>
      <c r="AH32" s="2"/>
      <c r="AI32" s="3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2"/>
      <c r="AV32" s="149"/>
      <c r="AW32" s="3"/>
      <c r="AX32" s="3"/>
      <c r="AY32" s="3"/>
      <c r="AZ32" s="3"/>
      <c r="BA32" s="3"/>
      <c r="BB32" s="3"/>
      <c r="BC32" s="3"/>
      <c r="BD32" s="3"/>
      <c r="BE32" s="149"/>
      <c r="BF32" s="3"/>
      <c r="BG32" s="3"/>
      <c r="BH32" s="3"/>
      <c r="BI32" s="3"/>
    </row>
    <row x14ac:dyDescent="0.25" r="33" customHeight="1" ht="18.75">
      <c r="A33" s="164" t="s">
        <v>523</v>
      </c>
      <c r="B33" s="40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3"/>
      <c r="S33" s="3"/>
      <c r="T33" s="3"/>
      <c r="U33" s="3"/>
      <c r="V33" s="3"/>
      <c r="W33" s="3"/>
      <c r="X33" s="3"/>
      <c r="Y33" s="3"/>
      <c r="Z33" s="3"/>
      <c r="AA33" s="149"/>
      <c r="AB33" s="3"/>
      <c r="AC33" s="3"/>
      <c r="AD33" s="3"/>
      <c r="AE33" s="3"/>
      <c r="AF33" s="3"/>
      <c r="AG33" s="3"/>
      <c r="AH33" s="2"/>
      <c r="AI33" s="3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2"/>
      <c r="AV33" s="149"/>
      <c r="AW33" s="3"/>
      <c r="AX33" s="3"/>
      <c r="AY33" s="3"/>
      <c r="AZ33" s="3"/>
      <c r="BA33" s="3"/>
      <c r="BB33" s="3"/>
      <c r="BC33" s="3"/>
      <c r="BD33" s="3"/>
      <c r="BE33" s="149"/>
      <c r="BF33" s="3"/>
      <c r="BG33" s="3"/>
      <c r="BH33" s="3"/>
      <c r="BI33" s="3"/>
    </row>
    <row x14ac:dyDescent="0.25" r="34" customHeight="1" ht="18.75" customFormat="1" s="159">
      <c r="A34" s="164" t="s">
        <v>524</v>
      </c>
      <c r="B34" s="162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3"/>
      <c r="S34" s="163"/>
      <c r="T34" s="163"/>
      <c r="U34" s="163"/>
      <c r="V34" s="163"/>
      <c r="W34" s="163"/>
      <c r="X34" s="163"/>
      <c r="Y34" s="163"/>
      <c r="Z34" s="163"/>
      <c r="AA34" s="168"/>
      <c r="AB34" s="163"/>
      <c r="AC34" s="163"/>
      <c r="AD34" s="163"/>
      <c r="AE34" s="163"/>
      <c r="AF34" s="163"/>
      <c r="AG34" s="163"/>
      <c r="AH34" s="162"/>
      <c r="AI34" s="163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2"/>
      <c r="AV34" s="168"/>
      <c r="AW34" s="163"/>
      <c r="AX34" s="163"/>
      <c r="AY34" s="163"/>
      <c r="AZ34" s="163"/>
      <c r="BA34" s="163"/>
      <c r="BB34" s="163"/>
      <c r="BC34" s="163"/>
      <c r="BD34" s="163"/>
      <c r="BE34" s="168"/>
      <c r="BF34" s="163"/>
      <c r="BG34" s="163"/>
      <c r="BH34" s="163"/>
      <c r="BI34" s="163"/>
    </row>
    <row x14ac:dyDescent="0.25" r="35" customHeight="1" ht="18.75">
      <c r="A35" s="46"/>
      <c r="B35" s="150" t="s">
        <v>525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3"/>
      <c r="S35" s="3"/>
      <c r="T35" s="3"/>
      <c r="U35" s="3"/>
      <c r="V35" s="3"/>
      <c r="W35" s="3"/>
      <c r="X35" s="3"/>
      <c r="Y35" s="3"/>
      <c r="Z35" s="3"/>
      <c r="AA35" s="149"/>
      <c r="AB35" s="3"/>
      <c r="AC35" s="3"/>
      <c r="AD35" s="3"/>
      <c r="AE35" s="3"/>
      <c r="AF35" s="3"/>
      <c r="AG35" s="3"/>
      <c r="AH35" s="2"/>
      <c r="AI35" s="3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2"/>
      <c r="AV35" s="149"/>
      <c r="AW35" s="3"/>
      <c r="AX35" s="3"/>
      <c r="AY35" s="3"/>
      <c r="AZ35" s="3"/>
      <c r="BA35" s="3"/>
      <c r="BB35" s="3"/>
      <c r="BC35" s="3"/>
      <c r="BD35" s="3"/>
      <c r="BE35" s="149"/>
      <c r="BF35" s="3"/>
      <c r="BG35" s="3"/>
      <c r="BH35" s="3"/>
      <c r="BI35" s="3"/>
    </row>
    <row x14ac:dyDescent="0.25" r="36" customHeight="1" ht="18.75">
      <c r="A36" s="46"/>
      <c r="B36" s="2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3"/>
      <c r="S36" s="3"/>
      <c r="T36" s="3"/>
      <c r="U36" s="3"/>
      <c r="V36" s="3"/>
      <c r="W36" s="3"/>
      <c r="X36" s="3"/>
      <c r="Y36" s="3"/>
      <c r="Z36" s="3"/>
      <c r="AA36" s="149"/>
      <c r="AB36" s="3"/>
      <c r="AC36" s="3"/>
      <c r="AD36" s="3"/>
      <c r="AE36" s="3"/>
      <c r="AF36" s="3"/>
      <c r="AG36" s="3"/>
      <c r="AH36" s="2"/>
      <c r="AI36" s="3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2"/>
      <c r="AV36" s="149"/>
      <c r="AW36" s="3"/>
      <c r="AX36" s="3"/>
      <c r="AY36" s="3"/>
      <c r="AZ36" s="3"/>
      <c r="BA36" s="3"/>
      <c r="BB36" s="3"/>
      <c r="BC36" s="3"/>
      <c r="BD36" s="3"/>
      <c r="BE36" s="149"/>
      <c r="BF36" s="3"/>
      <c r="BG36" s="3"/>
      <c r="BH36" s="3"/>
      <c r="BI36" s="3"/>
    </row>
    <row x14ac:dyDescent="0.25" r="37" customHeight="1" ht="18.75">
      <c r="A37" s="1" t="s">
        <v>416</v>
      </c>
      <c r="B37" s="2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3"/>
      <c r="S37" s="3"/>
      <c r="T37" s="3"/>
      <c r="U37" s="3"/>
      <c r="V37" s="3"/>
      <c r="W37" s="3"/>
      <c r="X37" s="3"/>
      <c r="Y37" s="3"/>
      <c r="Z37" s="3"/>
      <c r="AA37" s="149"/>
      <c r="AB37" s="3"/>
      <c r="AC37" s="3"/>
      <c r="AD37" s="3"/>
      <c r="AE37" s="3"/>
      <c r="AF37" s="3"/>
      <c r="AG37" s="3"/>
      <c r="AH37" s="2"/>
      <c r="AI37" s="3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2"/>
      <c r="AV37" s="149"/>
      <c r="AW37" s="3"/>
      <c r="AX37" s="3"/>
      <c r="AY37" s="3"/>
      <c r="AZ37" s="3"/>
      <c r="BA37" s="3"/>
      <c r="BB37" s="3"/>
      <c r="BC37" s="3"/>
      <c r="BD37" s="3"/>
      <c r="BE37" s="149"/>
      <c r="BF37" s="3"/>
      <c r="BG37" s="3"/>
      <c r="BH37" s="3"/>
      <c r="BI37" s="3"/>
    </row>
    <row x14ac:dyDescent="0.25" r="38" customHeight="1" ht="18.75">
      <c r="A38" s="30" t="s">
        <v>526</v>
      </c>
      <c r="B38" s="2"/>
      <c r="C38" s="150" t="s">
        <v>527</v>
      </c>
      <c r="D38" s="150"/>
      <c r="E38" s="150" t="s">
        <v>527</v>
      </c>
      <c r="F38" s="150" t="s">
        <v>527</v>
      </c>
      <c r="G38" s="150" t="s">
        <v>527</v>
      </c>
      <c r="H38" s="150"/>
      <c r="I38" s="150"/>
      <c r="J38" s="149"/>
      <c r="K38" s="149"/>
      <c r="L38" s="149"/>
      <c r="M38" s="149"/>
      <c r="N38" s="149"/>
      <c r="O38" s="149"/>
      <c r="P38" s="149"/>
      <c r="Q38" s="149"/>
      <c r="R38" s="3"/>
      <c r="S38" s="3"/>
      <c r="T38" s="3"/>
      <c r="U38" s="3"/>
      <c r="V38" s="3"/>
      <c r="W38" s="3"/>
      <c r="X38" s="3"/>
      <c r="Y38" s="3"/>
      <c r="Z38" s="3"/>
      <c r="AA38" s="149"/>
      <c r="AB38" s="3"/>
      <c r="AC38" s="3"/>
      <c r="AD38" s="3"/>
      <c r="AE38" s="3"/>
      <c r="AF38" s="3"/>
      <c r="AG38" s="3"/>
      <c r="AH38" s="2"/>
      <c r="AI38" s="3"/>
      <c r="AJ38" s="150" t="s">
        <v>271</v>
      </c>
      <c r="AK38" s="150"/>
      <c r="AL38" s="150" t="s">
        <v>227</v>
      </c>
      <c r="AM38" s="150" t="s">
        <v>158</v>
      </c>
      <c r="AN38" s="150" t="s">
        <v>158</v>
      </c>
      <c r="AO38" s="150"/>
      <c r="AP38" s="150"/>
      <c r="AQ38" s="149"/>
      <c r="AR38" s="149"/>
      <c r="AS38" s="149"/>
      <c r="AT38" s="149"/>
      <c r="AU38" s="2"/>
      <c r="AV38" s="149"/>
      <c r="AW38" s="3"/>
      <c r="AX38" s="3"/>
      <c r="AY38" s="3"/>
      <c r="AZ38" s="3"/>
      <c r="BA38" s="3"/>
      <c r="BB38" s="3"/>
      <c r="BC38" s="3"/>
      <c r="BD38" s="3"/>
      <c r="BE38" s="149"/>
      <c r="BF38" s="3"/>
      <c r="BG38" s="3"/>
      <c r="BH38" s="3"/>
      <c r="BI38" s="3"/>
    </row>
    <row x14ac:dyDescent="0.25" r="39" customHeight="1" ht="15.75">
      <c r="A39" s="30" t="s">
        <v>528</v>
      </c>
      <c r="B39" s="2"/>
      <c r="C39" s="150" t="s">
        <v>132</v>
      </c>
      <c r="D39" s="150"/>
      <c r="E39" s="150" t="s">
        <v>358</v>
      </c>
      <c r="F39" s="150" t="s">
        <v>358</v>
      </c>
      <c r="G39" s="150" t="s">
        <v>358</v>
      </c>
      <c r="H39" s="150"/>
      <c r="I39" s="150"/>
      <c r="J39" s="150" t="s">
        <v>527</v>
      </c>
      <c r="K39" s="150" t="s">
        <v>527</v>
      </c>
      <c r="L39" s="150"/>
      <c r="M39" s="150"/>
      <c r="N39" s="150" t="s">
        <v>527</v>
      </c>
      <c r="O39" s="150"/>
      <c r="P39" s="150" t="s">
        <v>529</v>
      </c>
      <c r="Q39" s="150"/>
      <c r="R39" s="3"/>
      <c r="S39" s="3"/>
      <c r="T39" s="3"/>
      <c r="U39" s="3"/>
      <c r="V39" s="3"/>
      <c r="W39" s="3"/>
      <c r="X39" s="3"/>
      <c r="Y39" s="3"/>
      <c r="Z39" s="3"/>
      <c r="AA39" s="150" t="s">
        <v>527</v>
      </c>
      <c r="AB39" s="3"/>
      <c r="AC39" s="3"/>
      <c r="AD39" s="3"/>
      <c r="AE39" s="3"/>
      <c r="AF39" s="3"/>
      <c r="AG39" s="3"/>
      <c r="AH39" s="150" t="s">
        <v>358</v>
      </c>
      <c r="AI39" s="3"/>
      <c r="AJ39" s="150" t="s">
        <v>530</v>
      </c>
      <c r="AK39" s="150"/>
      <c r="AL39" s="150" t="s">
        <v>530</v>
      </c>
      <c r="AM39" s="150" t="s">
        <v>530</v>
      </c>
      <c r="AN39" s="150" t="s">
        <v>530</v>
      </c>
      <c r="AO39" s="150"/>
      <c r="AP39" s="150"/>
      <c r="AQ39" s="150" t="s">
        <v>158</v>
      </c>
      <c r="AR39" s="150" t="s">
        <v>531</v>
      </c>
      <c r="AS39" s="150" t="s">
        <v>531</v>
      </c>
      <c r="AT39" s="150" t="s">
        <v>531</v>
      </c>
      <c r="AU39" s="169" t="s">
        <v>532</v>
      </c>
      <c r="AV39" s="150" t="s">
        <v>271</v>
      </c>
      <c r="AW39" s="3"/>
      <c r="AX39" s="3"/>
      <c r="AY39" s="3"/>
      <c r="AZ39" s="3"/>
      <c r="BA39" s="3"/>
      <c r="BB39" s="3"/>
      <c r="BC39" s="3"/>
      <c r="BD39" s="3"/>
      <c r="BE39" s="150" t="s">
        <v>533</v>
      </c>
      <c r="BF39" s="3"/>
      <c r="BG39" s="3"/>
      <c r="BH39" s="3"/>
      <c r="BI39" s="3"/>
    </row>
    <row x14ac:dyDescent="0.25" r="40" customHeight="1" ht="15.75">
      <c r="A40" s="30" t="s">
        <v>534</v>
      </c>
      <c r="B40" s="2"/>
      <c r="C40" s="150" t="s">
        <v>132</v>
      </c>
      <c r="D40" s="150"/>
      <c r="E40" s="150" t="s">
        <v>132</v>
      </c>
      <c r="F40" s="150" t="s">
        <v>527</v>
      </c>
      <c r="G40" s="150" t="s">
        <v>527</v>
      </c>
      <c r="H40" s="150"/>
      <c r="I40" s="150"/>
      <c r="J40" s="150" t="s">
        <v>527</v>
      </c>
      <c r="K40" s="150" t="s">
        <v>527</v>
      </c>
      <c r="L40" s="150"/>
      <c r="M40" s="150"/>
      <c r="N40" s="150" t="s">
        <v>527</v>
      </c>
      <c r="O40" s="150"/>
      <c r="P40" s="150" t="s">
        <v>132</v>
      </c>
      <c r="Q40" s="150"/>
      <c r="R40" s="3"/>
      <c r="S40" s="3"/>
      <c r="T40" s="3"/>
      <c r="U40" s="3"/>
      <c r="V40" s="3"/>
      <c r="W40" s="3"/>
      <c r="X40" s="3"/>
      <c r="Y40" s="3"/>
      <c r="Z40" s="3"/>
      <c r="AA40" s="150" t="s">
        <v>527</v>
      </c>
      <c r="AB40" s="3"/>
      <c r="AC40" s="3"/>
      <c r="AD40" s="3"/>
      <c r="AE40" s="3"/>
      <c r="AF40" s="3"/>
      <c r="AG40" s="3"/>
      <c r="AH40" s="2"/>
      <c r="AI40" s="3"/>
      <c r="AJ40" s="150" t="s">
        <v>530</v>
      </c>
      <c r="AK40" s="150"/>
      <c r="AL40" s="150" t="s">
        <v>530</v>
      </c>
      <c r="AM40" s="150" t="s">
        <v>158</v>
      </c>
      <c r="AN40" s="150" t="s">
        <v>535</v>
      </c>
      <c r="AO40" s="150"/>
      <c r="AP40" s="150"/>
      <c r="AQ40" s="150" t="s">
        <v>158</v>
      </c>
      <c r="AR40" s="150" t="s">
        <v>536</v>
      </c>
      <c r="AS40" s="150" t="s">
        <v>531</v>
      </c>
      <c r="AT40" s="150" t="s">
        <v>536</v>
      </c>
      <c r="AU40" s="169" t="s">
        <v>532</v>
      </c>
      <c r="AV40" s="150" t="s">
        <v>271</v>
      </c>
      <c r="AW40" s="3"/>
      <c r="AX40" s="3"/>
      <c r="AY40" s="3"/>
      <c r="AZ40" s="3"/>
      <c r="BA40" s="3"/>
      <c r="BB40" s="3"/>
      <c r="BC40" s="3"/>
      <c r="BD40" s="3"/>
      <c r="BE40" s="150" t="s">
        <v>533</v>
      </c>
      <c r="BF40" s="3"/>
      <c r="BG40" s="3"/>
      <c r="BH40" s="3"/>
      <c r="BI40" s="3"/>
    </row>
    <row x14ac:dyDescent="0.25" r="41" customHeight="1" ht="15.75">
      <c r="A41" s="30" t="s">
        <v>537</v>
      </c>
      <c r="B41" s="2"/>
      <c r="C41" s="150" t="s">
        <v>132</v>
      </c>
      <c r="D41" s="150"/>
      <c r="E41" s="150" t="s">
        <v>132</v>
      </c>
      <c r="F41" s="150" t="s">
        <v>527</v>
      </c>
      <c r="G41" s="150" t="s">
        <v>527</v>
      </c>
      <c r="H41" s="150"/>
      <c r="I41" s="150"/>
      <c r="J41" s="150" t="s">
        <v>527</v>
      </c>
      <c r="K41" s="150" t="s">
        <v>527</v>
      </c>
      <c r="L41" s="150"/>
      <c r="M41" s="150"/>
      <c r="N41" s="150" t="s">
        <v>527</v>
      </c>
      <c r="O41" s="150"/>
      <c r="P41" s="150" t="s">
        <v>132</v>
      </c>
      <c r="Q41" s="150"/>
      <c r="R41" s="3"/>
      <c r="S41" s="3"/>
      <c r="T41" s="3"/>
      <c r="U41" s="3"/>
      <c r="V41" s="3"/>
      <c r="W41" s="3"/>
      <c r="X41" s="3"/>
      <c r="Y41" s="3"/>
      <c r="Z41" s="3"/>
      <c r="AA41" s="150" t="s">
        <v>527</v>
      </c>
      <c r="AB41" s="3"/>
      <c r="AC41" s="3"/>
      <c r="AD41" s="3"/>
      <c r="AE41" s="3"/>
      <c r="AF41" s="3"/>
      <c r="AG41" s="3"/>
      <c r="AH41" s="2"/>
      <c r="AI41" s="3"/>
      <c r="AJ41" s="150" t="s">
        <v>530</v>
      </c>
      <c r="AK41" s="150"/>
      <c r="AL41" s="150" t="s">
        <v>530</v>
      </c>
      <c r="AM41" s="150" t="s">
        <v>158</v>
      </c>
      <c r="AN41" s="150" t="s">
        <v>535</v>
      </c>
      <c r="AO41" s="150"/>
      <c r="AP41" s="150"/>
      <c r="AQ41" s="150" t="s">
        <v>538</v>
      </c>
      <c r="AR41" s="150" t="s">
        <v>536</v>
      </c>
      <c r="AS41" s="150" t="s">
        <v>531</v>
      </c>
      <c r="AT41" s="150" t="s">
        <v>536</v>
      </c>
      <c r="AU41" s="169" t="s">
        <v>532</v>
      </c>
      <c r="AV41" s="150" t="s">
        <v>271</v>
      </c>
      <c r="AW41" s="3"/>
      <c r="AX41" s="3"/>
      <c r="AY41" s="3"/>
      <c r="AZ41" s="3"/>
      <c r="BA41" s="3"/>
      <c r="BB41" s="3"/>
      <c r="BC41" s="3"/>
      <c r="BD41" s="3"/>
      <c r="BE41" s="150" t="s">
        <v>533</v>
      </c>
      <c r="BF41" s="3"/>
      <c r="BG41" s="3"/>
      <c r="BH41" s="3"/>
      <c r="BI41" s="3"/>
    </row>
    <row x14ac:dyDescent="0.25" r="42" customHeight="1" ht="15.75">
      <c r="A42" s="30" t="s">
        <v>539</v>
      </c>
      <c r="B42" s="2"/>
      <c r="C42" s="150"/>
      <c r="D42" s="150"/>
      <c r="E42" s="149"/>
      <c r="F42" s="149"/>
      <c r="G42" s="150" t="s">
        <v>529</v>
      </c>
      <c r="H42" s="150"/>
      <c r="I42" s="150"/>
      <c r="J42" s="149"/>
      <c r="K42" s="149"/>
      <c r="L42" s="149"/>
      <c r="M42" s="149"/>
      <c r="N42" s="149"/>
      <c r="O42" s="149"/>
      <c r="P42" s="150"/>
      <c r="Q42" s="150"/>
      <c r="R42" s="3"/>
      <c r="S42" s="3"/>
      <c r="T42" s="3"/>
      <c r="U42" s="3"/>
      <c r="V42" s="3"/>
      <c r="W42" s="3"/>
      <c r="X42" s="3"/>
      <c r="Y42" s="3"/>
      <c r="Z42" s="3"/>
      <c r="AA42" s="149"/>
      <c r="AB42" s="3"/>
      <c r="AC42" s="3"/>
      <c r="AD42" s="3"/>
      <c r="AE42" s="3"/>
      <c r="AF42" s="3"/>
      <c r="AG42" s="3"/>
      <c r="AH42" s="2"/>
      <c r="AI42" s="3"/>
      <c r="AJ42" s="150"/>
      <c r="AK42" s="150"/>
      <c r="AL42" s="149"/>
      <c r="AM42" s="149"/>
      <c r="AN42" s="150" t="s">
        <v>530</v>
      </c>
      <c r="AO42" s="150"/>
      <c r="AP42" s="150"/>
      <c r="AQ42" s="149"/>
      <c r="AR42" s="149"/>
      <c r="AS42" s="149"/>
      <c r="AT42" s="149"/>
      <c r="AU42" s="2"/>
      <c r="AV42" s="149"/>
      <c r="AW42" s="3"/>
      <c r="AX42" s="3"/>
      <c r="AY42" s="3"/>
      <c r="AZ42" s="3"/>
      <c r="BA42" s="3"/>
      <c r="BB42" s="3"/>
      <c r="BC42" s="3"/>
      <c r="BD42" s="3"/>
      <c r="BE42" s="149"/>
      <c r="BF42" s="3"/>
      <c r="BG42" s="3"/>
      <c r="BH42" s="3"/>
      <c r="BI42" s="3"/>
    </row>
    <row x14ac:dyDescent="0.25" r="43" customHeight="1" ht="15.75">
      <c r="A43" s="30" t="s">
        <v>540</v>
      </c>
      <c r="B43" s="2"/>
      <c r="C43" s="150" t="s">
        <v>527</v>
      </c>
      <c r="D43" s="150"/>
      <c r="E43" s="150" t="s">
        <v>527</v>
      </c>
      <c r="F43" s="150" t="s">
        <v>527</v>
      </c>
      <c r="G43" s="150" t="s">
        <v>527</v>
      </c>
      <c r="H43" s="150"/>
      <c r="I43" s="150"/>
      <c r="J43" s="165" t="s">
        <v>541</v>
      </c>
      <c r="K43" s="150" t="s">
        <v>527</v>
      </c>
      <c r="L43" s="150"/>
      <c r="M43" s="150"/>
      <c r="N43" s="150" t="s">
        <v>527</v>
      </c>
      <c r="O43" s="150"/>
      <c r="P43" s="150" t="s">
        <v>542</v>
      </c>
      <c r="Q43" s="150"/>
      <c r="R43" s="3"/>
      <c r="S43" s="3"/>
      <c r="T43" s="3"/>
      <c r="U43" s="3"/>
      <c r="V43" s="3"/>
      <c r="W43" s="3"/>
      <c r="X43" s="3"/>
      <c r="Y43" s="3"/>
      <c r="Z43" s="3"/>
      <c r="AA43" s="165" t="s">
        <v>543</v>
      </c>
      <c r="AB43" s="3"/>
      <c r="AC43" s="3"/>
      <c r="AD43" s="3"/>
      <c r="AE43" s="3"/>
      <c r="AF43" s="3"/>
      <c r="AG43" s="3"/>
      <c r="AH43" s="2"/>
      <c r="AI43" s="3"/>
      <c r="AJ43" s="150" t="s">
        <v>271</v>
      </c>
      <c r="AK43" s="150"/>
      <c r="AL43" s="150" t="s">
        <v>227</v>
      </c>
      <c r="AM43" s="150" t="s">
        <v>227</v>
      </c>
      <c r="AN43" s="150" t="s">
        <v>535</v>
      </c>
      <c r="AO43" s="150"/>
      <c r="AP43" s="150"/>
      <c r="AQ43" s="165" t="s">
        <v>541</v>
      </c>
      <c r="AR43" s="150" t="s">
        <v>536</v>
      </c>
      <c r="AS43" s="149"/>
      <c r="AT43" s="149"/>
      <c r="AU43" s="150" t="s">
        <v>431</v>
      </c>
      <c r="AV43" s="150" t="s">
        <v>271</v>
      </c>
      <c r="AW43" s="3"/>
      <c r="AX43" s="3"/>
      <c r="AY43" s="3"/>
      <c r="AZ43" s="3"/>
      <c r="BA43" s="3"/>
      <c r="BB43" s="3"/>
      <c r="BC43" s="3"/>
      <c r="BD43" s="3"/>
      <c r="BE43" s="150" t="s">
        <v>530</v>
      </c>
      <c r="BF43" s="3"/>
      <c r="BG43" s="3"/>
      <c r="BH43" s="3"/>
      <c r="BI43" s="3"/>
    </row>
    <row x14ac:dyDescent="0.25" r="44" customHeight="1" ht="15.75">
      <c r="A44" s="30" t="s">
        <v>544</v>
      </c>
      <c r="B44" s="2"/>
      <c r="C44" s="150"/>
      <c r="D44" s="150"/>
      <c r="E44" s="149"/>
      <c r="F44" s="149"/>
      <c r="G44" s="150"/>
      <c r="H44" s="150"/>
      <c r="I44" s="150"/>
      <c r="J44" s="149"/>
      <c r="K44" s="149"/>
      <c r="L44" s="149"/>
      <c r="M44" s="149"/>
      <c r="N44" s="149"/>
      <c r="O44" s="149"/>
      <c r="P44" s="154" t="s">
        <v>271</v>
      </c>
      <c r="Q44" s="154"/>
      <c r="R44" s="3"/>
      <c r="S44" s="3"/>
      <c r="T44" s="3"/>
      <c r="U44" s="3"/>
      <c r="V44" s="3"/>
      <c r="W44" s="3"/>
      <c r="X44" s="3"/>
      <c r="Y44" s="3"/>
      <c r="Z44" s="3"/>
      <c r="AA44" s="170" t="s">
        <v>545</v>
      </c>
      <c r="AB44" s="3"/>
      <c r="AC44" s="3"/>
      <c r="AD44" s="3"/>
      <c r="AE44" s="3"/>
      <c r="AF44" s="3"/>
      <c r="AG44" s="3"/>
      <c r="AH44" s="2"/>
      <c r="AI44" s="3"/>
      <c r="AJ44" s="150"/>
      <c r="AK44" s="150"/>
      <c r="AL44" s="149"/>
      <c r="AM44" s="149"/>
      <c r="AN44" s="150"/>
      <c r="AO44" s="150"/>
      <c r="AP44" s="150"/>
      <c r="AQ44" s="149"/>
      <c r="AR44" s="149"/>
      <c r="AS44" s="149"/>
      <c r="AT44" s="149"/>
      <c r="AU44" s="2"/>
      <c r="AV44" s="149"/>
      <c r="AW44" s="3"/>
      <c r="AX44" s="3"/>
      <c r="AY44" s="3"/>
      <c r="AZ44" s="3"/>
      <c r="BA44" s="3"/>
      <c r="BB44" s="3"/>
      <c r="BC44" s="3"/>
      <c r="BD44" s="3"/>
      <c r="BE44" s="170" t="s">
        <v>546</v>
      </c>
      <c r="BF44" s="3"/>
      <c r="BG44" s="3"/>
      <c r="BH44" s="3"/>
      <c r="BI44" s="3"/>
    </row>
    <row x14ac:dyDescent="0.25" r="45" customHeight="1" ht="15.75">
      <c r="A45" s="30" t="s">
        <v>547</v>
      </c>
      <c r="B45" s="2"/>
      <c r="C45" s="154" t="s">
        <v>527</v>
      </c>
      <c r="D45" s="154"/>
      <c r="E45" s="150" t="s">
        <v>527</v>
      </c>
      <c r="F45" s="150" t="s">
        <v>358</v>
      </c>
      <c r="G45" s="154" t="s">
        <v>548</v>
      </c>
      <c r="H45" s="154"/>
      <c r="I45" s="154"/>
      <c r="J45" s="150" t="s">
        <v>527</v>
      </c>
      <c r="K45" s="150" t="s">
        <v>527</v>
      </c>
      <c r="L45" s="150"/>
      <c r="M45" s="150"/>
      <c r="N45" s="150" t="s">
        <v>527</v>
      </c>
      <c r="O45" s="150"/>
      <c r="P45" s="165" t="s">
        <v>271</v>
      </c>
      <c r="Q45" s="165"/>
      <c r="R45" s="3"/>
      <c r="S45" s="3"/>
      <c r="T45" s="3"/>
      <c r="U45" s="3"/>
      <c r="V45" s="3"/>
      <c r="W45" s="3"/>
      <c r="X45" s="3"/>
      <c r="Y45" s="3"/>
      <c r="Z45" s="3"/>
      <c r="AA45" s="165" t="s">
        <v>531</v>
      </c>
      <c r="AB45" s="3"/>
      <c r="AC45" s="3"/>
      <c r="AD45" s="3"/>
      <c r="AE45" s="3"/>
      <c r="AF45" s="3"/>
      <c r="AG45" s="3"/>
      <c r="AH45" s="165" t="s">
        <v>531</v>
      </c>
      <c r="AI45" s="3"/>
      <c r="AJ45" s="154" t="s">
        <v>549</v>
      </c>
      <c r="AK45" s="154"/>
      <c r="AL45" s="150" t="s">
        <v>227</v>
      </c>
      <c r="AM45" s="150" t="s">
        <v>530</v>
      </c>
      <c r="AN45" s="154" t="s">
        <v>548</v>
      </c>
      <c r="AO45" s="154"/>
      <c r="AP45" s="154"/>
      <c r="AQ45" s="154" t="s">
        <v>550</v>
      </c>
      <c r="AR45" s="150" t="s">
        <v>531</v>
      </c>
      <c r="AS45" s="150"/>
      <c r="AT45" s="150"/>
      <c r="AU45" s="171" t="s">
        <v>551</v>
      </c>
      <c r="AV45" s="154" t="s">
        <v>531</v>
      </c>
      <c r="AW45" s="3"/>
      <c r="AX45" s="3"/>
      <c r="AY45" s="3"/>
      <c r="AZ45" s="3"/>
      <c r="BA45" s="3"/>
      <c r="BB45" s="3"/>
      <c r="BC45" s="3"/>
      <c r="BD45" s="3"/>
      <c r="BE45" s="165" t="s">
        <v>531</v>
      </c>
      <c r="BF45" s="3"/>
      <c r="BG45" s="3"/>
      <c r="BH45" s="3"/>
      <c r="BI45" s="3"/>
    </row>
    <row x14ac:dyDescent="0.25" r="46" customHeight="1" ht="15.75">
      <c r="A46" s="30" t="s">
        <v>552</v>
      </c>
      <c r="B46" s="2"/>
      <c r="C46" s="150" t="s">
        <v>132</v>
      </c>
      <c r="D46" s="150"/>
      <c r="E46" s="150" t="s">
        <v>132</v>
      </c>
      <c r="F46" s="150" t="s">
        <v>527</v>
      </c>
      <c r="G46" s="150" t="s">
        <v>527</v>
      </c>
      <c r="H46" s="150"/>
      <c r="I46" s="150"/>
      <c r="J46" s="150" t="s">
        <v>527</v>
      </c>
      <c r="K46" s="150" t="s">
        <v>527</v>
      </c>
      <c r="L46" s="150"/>
      <c r="M46" s="150"/>
      <c r="N46" s="150" t="s">
        <v>527</v>
      </c>
      <c r="O46" s="150"/>
      <c r="P46" s="165" t="s">
        <v>271</v>
      </c>
      <c r="Q46" s="165"/>
      <c r="R46" s="3"/>
      <c r="S46" s="3"/>
      <c r="T46" s="3"/>
      <c r="U46" s="3"/>
      <c r="V46" s="3"/>
      <c r="W46" s="3"/>
      <c r="X46" s="3"/>
      <c r="Y46" s="3"/>
      <c r="Z46" s="3"/>
      <c r="AA46" s="150" t="s">
        <v>527</v>
      </c>
      <c r="AB46" s="3"/>
      <c r="AC46" s="3"/>
      <c r="AD46" s="3"/>
      <c r="AE46" s="3"/>
      <c r="AF46" s="3"/>
      <c r="AG46" s="3"/>
      <c r="AH46" s="2"/>
      <c r="AI46" s="3"/>
      <c r="AJ46" s="150" t="s">
        <v>530</v>
      </c>
      <c r="AK46" s="150"/>
      <c r="AL46" s="150" t="s">
        <v>530</v>
      </c>
      <c r="AM46" s="150" t="s">
        <v>158</v>
      </c>
      <c r="AN46" s="150" t="s">
        <v>535</v>
      </c>
      <c r="AO46" s="150"/>
      <c r="AP46" s="150"/>
      <c r="AQ46" s="154" t="s">
        <v>550</v>
      </c>
      <c r="AR46" s="150" t="s">
        <v>531</v>
      </c>
      <c r="AS46" s="150"/>
      <c r="AT46" s="150"/>
      <c r="AU46" s="169" t="s">
        <v>532</v>
      </c>
      <c r="AV46" s="150" t="s">
        <v>553</v>
      </c>
      <c r="AW46" s="3"/>
      <c r="AX46" s="3"/>
      <c r="AY46" s="3"/>
      <c r="AZ46" s="3"/>
      <c r="BA46" s="3"/>
      <c r="BB46" s="3"/>
      <c r="BC46" s="3"/>
      <c r="BD46" s="3"/>
      <c r="BE46" s="150" t="s">
        <v>533</v>
      </c>
      <c r="BF46" s="3"/>
      <c r="BG46" s="3"/>
      <c r="BH46" s="3"/>
      <c r="BI46" s="3"/>
    </row>
    <row x14ac:dyDescent="0.25" r="47" customHeight="1" ht="15.75">
      <c r="A47" s="30" t="s">
        <v>554</v>
      </c>
      <c r="B47" s="2"/>
      <c r="C47" s="150" t="s">
        <v>527</v>
      </c>
      <c r="D47" s="150"/>
      <c r="E47" s="150" t="s">
        <v>527</v>
      </c>
      <c r="F47" s="149"/>
      <c r="G47" s="150" t="s">
        <v>358</v>
      </c>
      <c r="H47" s="150"/>
      <c r="I47" s="150"/>
      <c r="J47" s="149"/>
      <c r="K47" s="150" t="s">
        <v>529</v>
      </c>
      <c r="L47" s="150"/>
      <c r="M47" s="150"/>
      <c r="N47" s="149"/>
      <c r="O47" s="149"/>
      <c r="P47" s="150"/>
      <c r="Q47" s="150"/>
      <c r="R47" s="3"/>
      <c r="S47" s="3"/>
      <c r="T47" s="3"/>
      <c r="U47" s="3"/>
      <c r="V47" s="3"/>
      <c r="W47" s="3"/>
      <c r="X47" s="3"/>
      <c r="Y47" s="3"/>
      <c r="Z47" s="3"/>
      <c r="AA47" s="150" t="s">
        <v>527</v>
      </c>
      <c r="AB47" s="3"/>
      <c r="AC47" s="3"/>
      <c r="AD47" s="3"/>
      <c r="AE47" s="3"/>
      <c r="AF47" s="3"/>
      <c r="AG47" s="3"/>
      <c r="AH47" s="2"/>
      <c r="AI47" s="3"/>
      <c r="AJ47" s="150" t="s">
        <v>271</v>
      </c>
      <c r="AK47" s="150"/>
      <c r="AL47" s="150" t="s">
        <v>227</v>
      </c>
      <c r="AM47" s="149"/>
      <c r="AN47" s="150" t="s">
        <v>530</v>
      </c>
      <c r="AO47" s="150"/>
      <c r="AP47" s="150"/>
      <c r="AQ47" s="149"/>
      <c r="AR47" s="150" t="s">
        <v>530</v>
      </c>
      <c r="AS47" s="150"/>
      <c r="AT47" s="150"/>
      <c r="AU47" s="2"/>
      <c r="AV47" s="149"/>
      <c r="AW47" s="3"/>
      <c r="AX47" s="3"/>
      <c r="AY47" s="3"/>
      <c r="AZ47" s="3"/>
      <c r="BA47" s="3"/>
      <c r="BB47" s="3"/>
      <c r="BC47" s="3"/>
      <c r="BD47" s="3"/>
      <c r="BE47" s="150" t="s">
        <v>533</v>
      </c>
      <c r="BF47" s="3"/>
      <c r="BG47" s="3"/>
      <c r="BH47" s="3"/>
      <c r="BI47" s="3"/>
    </row>
    <row x14ac:dyDescent="0.25" r="48" customHeight="1" ht="15.75">
      <c r="A48" s="30" t="s">
        <v>555</v>
      </c>
      <c r="B48" s="2"/>
      <c r="C48" s="150" t="s">
        <v>132</v>
      </c>
      <c r="D48" s="150"/>
      <c r="E48" s="150" t="s">
        <v>132</v>
      </c>
      <c r="F48" s="150" t="s">
        <v>527</v>
      </c>
      <c r="G48" s="150" t="s">
        <v>527</v>
      </c>
      <c r="H48" s="150"/>
      <c r="I48" s="150"/>
      <c r="J48" s="170" t="s">
        <v>556</v>
      </c>
      <c r="K48" s="150" t="s">
        <v>132</v>
      </c>
      <c r="L48" s="150"/>
      <c r="M48" s="150"/>
      <c r="N48" s="150" t="s">
        <v>132</v>
      </c>
      <c r="O48" s="150" t="s">
        <v>557</v>
      </c>
      <c r="P48" s="150" t="s">
        <v>529</v>
      </c>
      <c r="Q48" s="150"/>
      <c r="R48" s="3"/>
      <c r="S48" s="3"/>
      <c r="T48" s="3"/>
      <c r="U48" s="3"/>
      <c r="V48" s="3"/>
      <c r="W48" s="3"/>
      <c r="X48" s="3"/>
      <c r="Y48" s="3"/>
      <c r="Z48" s="3"/>
      <c r="AA48" s="165" t="s">
        <v>132</v>
      </c>
      <c r="AB48" s="3"/>
      <c r="AC48" s="3"/>
      <c r="AD48" s="3"/>
      <c r="AE48" s="3"/>
      <c r="AF48" s="3"/>
      <c r="AG48" s="3"/>
      <c r="AH48" s="2"/>
      <c r="AI48" s="3"/>
      <c r="AJ48" s="150" t="s">
        <v>530</v>
      </c>
      <c r="AK48" s="150"/>
      <c r="AL48" s="150" t="s">
        <v>530</v>
      </c>
      <c r="AM48" s="150" t="s">
        <v>158</v>
      </c>
      <c r="AN48" s="150" t="s">
        <v>535</v>
      </c>
      <c r="AO48" s="150"/>
      <c r="AP48" s="150"/>
      <c r="AQ48" s="150" t="s">
        <v>558</v>
      </c>
      <c r="AR48" s="150" t="s">
        <v>530</v>
      </c>
      <c r="AS48" s="150"/>
      <c r="AT48" s="150"/>
      <c r="AU48" s="2"/>
      <c r="AV48" s="150" t="s">
        <v>553</v>
      </c>
      <c r="AW48" s="3"/>
      <c r="AX48" s="3"/>
      <c r="AY48" s="3"/>
      <c r="AZ48" s="3"/>
      <c r="BA48" s="3"/>
      <c r="BB48" s="3"/>
      <c r="BC48" s="3"/>
      <c r="BD48" s="3"/>
      <c r="BE48" s="165" t="s">
        <v>132</v>
      </c>
      <c r="BF48" s="3"/>
      <c r="BG48" s="3"/>
      <c r="BH48" s="3"/>
      <c r="BI48" s="3"/>
    </row>
  </sheetData>
  <mergeCells count="78">
    <mergeCell ref="B3:D3"/>
    <mergeCell ref="F3:O3"/>
    <mergeCell ref="B4:D4"/>
    <mergeCell ref="F4:O5"/>
    <mergeCell ref="B5:D5"/>
    <mergeCell ref="C31:D31"/>
    <mergeCell ref="C38:D38"/>
    <mergeCell ref="G38:I38"/>
    <mergeCell ref="AJ38:AK38"/>
    <mergeCell ref="AN38:AP38"/>
    <mergeCell ref="C39:D39"/>
    <mergeCell ref="G39:I39"/>
    <mergeCell ref="K39:M39"/>
    <mergeCell ref="N39:O39"/>
    <mergeCell ref="P39:Q39"/>
    <mergeCell ref="AJ39:AK39"/>
    <mergeCell ref="AN39:AP39"/>
    <mergeCell ref="C40:D40"/>
    <mergeCell ref="G40:I40"/>
    <mergeCell ref="K40:M40"/>
    <mergeCell ref="N40:O40"/>
    <mergeCell ref="P40:Q40"/>
    <mergeCell ref="AJ40:AK40"/>
    <mergeCell ref="AN40:AP40"/>
    <mergeCell ref="C41:D41"/>
    <mergeCell ref="G41:I41"/>
    <mergeCell ref="K41:M41"/>
    <mergeCell ref="N41:O41"/>
    <mergeCell ref="P41:Q41"/>
    <mergeCell ref="AJ41:AK41"/>
    <mergeCell ref="AN41:AP41"/>
    <mergeCell ref="C42:D42"/>
    <mergeCell ref="G42:I42"/>
    <mergeCell ref="P42:Q42"/>
    <mergeCell ref="AJ42:AK42"/>
    <mergeCell ref="AN42:AP42"/>
    <mergeCell ref="C43:D43"/>
    <mergeCell ref="G43:I43"/>
    <mergeCell ref="K43:M43"/>
    <mergeCell ref="N43:O43"/>
    <mergeCell ref="P43:Q43"/>
    <mergeCell ref="AJ43:AK43"/>
    <mergeCell ref="AN43:AP43"/>
    <mergeCell ref="C44:D44"/>
    <mergeCell ref="G44:I44"/>
    <mergeCell ref="P44:Q44"/>
    <mergeCell ref="AJ44:AK44"/>
    <mergeCell ref="AN44:AP44"/>
    <mergeCell ref="C45:D45"/>
    <mergeCell ref="G45:I45"/>
    <mergeCell ref="K45:M45"/>
    <mergeCell ref="N45:O45"/>
    <mergeCell ref="P45:Q45"/>
    <mergeCell ref="AJ45:AK45"/>
    <mergeCell ref="AN45:AP45"/>
    <mergeCell ref="AR45:AT45"/>
    <mergeCell ref="C46:D46"/>
    <mergeCell ref="G46:I46"/>
    <mergeCell ref="K46:M46"/>
    <mergeCell ref="N46:O46"/>
    <mergeCell ref="P46:Q46"/>
    <mergeCell ref="AJ46:AK46"/>
    <mergeCell ref="AN46:AP46"/>
    <mergeCell ref="AR46:AT46"/>
    <mergeCell ref="C47:D47"/>
    <mergeCell ref="G47:I47"/>
    <mergeCell ref="K47:M47"/>
    <mergeCell ref="P47:Q47"/>
    <mergeCell ref="AJ47:AK47"/>
    <mergeCell ref="AN47:AP47"/>
    <mergeCell ref="AR47:AT47"/>
    <mergeCell ref="C48:D48"/>
    <mergeCell ref="G48:I48"/>
    <mergeCell ref="K48:M48"/>
    <mergeCell ref="P48:Q48"/>
    <mergeCell ref="AJ48:AK48"/>
    <mergeCell ref="AN48:AP48"/>
    <mergeCell ref="AR48:AT48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47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151" width="13.576428571428572" customWidth="1" bestFit="1"/>
    <col min="6" max="6" style="151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149"/>
      <c r="F1" s="149"/>
      <c r="G1" s="2"/>
      <c r="H1" s="2"/>
      <c r="I1" s="45" t="s">
        <v>136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  <c r="AL1" s="2"/>
    </row>
    <row x14ac:dyDescent="0.25" r="2" customHeight="1" ht="18.75">
      <c r="A2" s="46"/>
      <c r="B2" s="2"/>
      <c r="C2" s="2"/>
      <c r="D2" s="2"/>
      <c r="E2" s="149"/>
      <c r="F2" s="149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  <c r="AL2" s="2"/>
    </row>
    <row x14ac:dyDescent="0.25" r="3" customHeight="1" ht="18.75">
      <c r="A3" s="1" t="s">
        <v>2</v>
      </c>
      <c r="B3" s="5">
        <v>83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  <c r="AL3" s="2"/>
    </row>
    <row x14ac:dyDescent="0.25" r="4" customHeight="1" ht="18.75">
      <c r="A4" s="1" t="s">
        <v>4</v>
      </c>
      <c r="B4" s="7" t="s">
        <v>478</v>
      </c>
      <c r="C4" s="7"/>
      <c r="D4" s="7"/>
      <c r="E4" s="149"/>
      <c r="F4" s="124" t="s">
        <v>479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  <c r="AL4" s="2"/>
    </row>
    <row x14ac:dyDescent="0.25" r="5" customHeight="1" ht="18.75">
      <c r="A5" s="1" t="s">
        <v>7</v>
      </c>
      <c r="B5" s="7" t="s">
        <v>75</v>
      </c>
      <c r="C5" s="7"/>
      <c r="D5" s="7"/>
      <c r="E5" s="149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  <c r="AL5" s="2"/>
    </row>
    <row x14ac:dyDescent="0.25" r="6" customHeight="1" ht="18.75">
      <c r="A6" s="46"/>
      <c r="B6" s="2"/>
      <c r="C6" s="2"/>
      <c r="D6" s="2"/>
      <c r="E6" s="149"/>
      <c r="F6" s="149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  <c r="AL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56" t="s">
        <v>42</v>
      </c>
      <c r="AI7" s="3"/>
      <c r="AJ7" s="53" t="s">
        <v>19</v>
      </c>
      <c r="AK7" s="53" t="s">
        <v>20</v>
      </c>
      <c r="AL7" s="53" t="s">
        <v>21</v>
      </c>
    </row>
    <row x14ac:dyDescent="0.25" r="8" customHeight="1" ht="18.75">
      <c r="A8" s="30" t="s">
        <v>43</v>
      </c>
      <c r="B8" s="31" t="s">
        <v>480</v>
      </c>
      <c r="C8" s="31" t="s">
        <v>367</v>
      </c>
      <c r="D8" s="31" t="s">
        <v>367</v>
      </c>
      <c r="E8" s="31" t="s">
        <v>481</v>
      </c>
      <c r="F8" s="31" t="s">
        <v>482</v>
      </c>
      <c r="G8" s="31" t="s">
        <v>339</v>
      </c>
      <c r="H8" s="31" t="s">
        <v>339</v>
      </c>
      <c r="I8" s="31" t="s">
        <v>339</v>
      </c>
      <c r="J8" s="31"/>
      <c r="K8" s="31" t="s">
        <v>482</v>
      </c>
      <c r="L8" s="31" t="s">
        <v>482</v>
      </c>
      <c r="M8" s="31" t="s">
        <v>482</v>
      </c>
      <c r="N8" s="32"/>
      <c r="O8" s="32"/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341</v>
      </c>
      <c r="AB8" s="32"/>
      <c r="AC8" s="32"/>
      <c r="AD8" s="32"/>
      <c r="AE8" s="32"/>
      <c r="AF8" s="32"/>
      <c r="AG8" s="32"/>
      <c r="AH8" s="31" t="s">
        <v>68</v>
      </c>
      <c r="AI8" s="3"/>
      <c r="AJ8" s="31" t="s">
        <v>483</v>
      </c>
      <c r="AK8" s="31" t="s">
        <v>483</v>
      </c>
      <c r="AL8" s="31" t="s">
        <v>483</v>
      </c>
    </row>
    <row x14ac:dyDescent="0.25" r="9" customHeight="1" ht="15.75">
      <c r="A9" s="30" t="s">
        <v>45</v>
      </c>
      <c r="B9" s="31" t="s">
        <v>484</v>
      </c>
      <c r="C9" s="31" t="s">
        <v>368</v>
      </c>
      <c r="D9" s="31" t="s">
        <v>368</v>
      </c>
      <c r="E9" s="31" t="s">
        <v>343</v>
      </c>
      <c r="F9" s="31" t="s">
        <v>343</v>
      </c>
      <c r="G9" s="31" t="s">
        <v>343</v>
      </c>
      <c r="H9" s="31" t="s">
        <v>343</v>
      </c>
      <c r="I9" s="31" t="s">
        <v>343</v>
      </c>
      <c r="J9" s="33"/>
      <c r="K9" s="31" t="s">
        <v>344</v>
      </c>
      <c r="L9" s="31" t="s">
        <v>485</v>
      </c>
      <c r="M9" s="31" t="s">
        <v>482</v>
      </c>
      <c r="N9" s="34"/>
      <c r="O9" s="34"/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341</v>
      </c>
      <c r="AB9" s="34"/>
      <c r="AC9" s="34"/>
      <c r="AD9" s="34"/>
      <c r="AE9" s="34"/>
      <c r="AF9" s="34"/>
      <c r="AG9" s="34"/>
      <c r="AH9" s="31" t="s">
        <v>132</v>
      </c>
      <c r="AI9" s="3"/>
      <c r="AJ9" s="31" t="s">
        <v>486</v>
      </c>
      <c r="AK9" s="31" t="s">
        <v>486</v>
      </c>
      <c r="AL9" s="31" t="s">
        <v>486</v>
      </c>
    </row>
    <row x14ac:dyDescent="0.25" r="10" customHeight="1" ht="18.75">
      <c r="A10" s="35" t="s">
        <v>47</v>
      </c>
      <c r="B10" s="117">
        <v>260</v>
      </c>
      <c r="C10" s="117">
        <v>151</v>
      </c>
      <c r="D10" s="117">
        <v>151</v>
      </c>
      <c r="E10" s="117">
        <v>91</v>
      </c>
      <c r="F10" s="117">
        <v>91</v>
      </c>
      <c r="G10" s="117">
        <v>91</v>
      </c>
      <c r="H10" s="117">
        <v>91</v>
      </c>
      <c r="I10" s="117">
        <v>91</v>
      </c>
      <c r="J10" s="36"/>
      <c r="K10" s="117">
        <v>166</v>
      </c>
      <c r="L10" s="117">
        <v>167</v>
      </c>
      <c r="M10" s="117">
        <v>43</v>
      </c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196</v>
      </c>
      <c r="AB10" s="37"/>
      <c r="AC10" s="37"/>
      <c r="AD10" s="37"/>
      <c r="AE10" s="37"/>
      <c r="AF10" s="37"/>
      <c r="AG10" s="37"/>
      <c r="AH10" s="117">
        <v>98</v>
      </c>
      <c r="AI10" s="3"/>
      <c r="AJ10" s="117">
        <v>97</v>
      </c>
      <c r="AK10" s="117">
        <v>97</v>
      </c>
      <c r="AL10" s="117">
        <v>97</v>
      </c>
    </row>
    <row x14ac:dyDescent="0.25" r="11" customHeight="1" ht="18.75">
      <c r="A11" s="30" t="s">
        <v>123</v>
      </c>
      <c r="B11" s="33" t="s">
        <v>52</v>
      </c>
      <c r="C11" s="33" t="s">
        <v>162</v>
      </c>
      <c r="D11" s="33" t="s">
        <v>162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1"/>
      <c r="K11" s="31" t="s">
        <v>52</v>
      </c>
      <c r="L11" s="33" t="s">
        <v>52</v>
      </c>
      <c r="M11" s="31" t="s">
        <v>52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  <c r="AI11" s="3"/>
      <c r="AJ11" s="31" t="s">
        <v>52</v>
      </c>
      <c r="AK11" s="31" t="s">
        <v>52</v>
      </c>
      <c r="AL11" s="31" t="s">
        <v>52</v>
      </c>
    </row>
    <row x14ac:dyDescent="0.25" r="12" customHeight="1" ht="18.75">
      <c r="A12" s="30" t="s">
        <v>124</v>
      </c>
      <c r="B12" s="33" t="s">
        <v>52</v>
      </c>
      <c r="C12" s="33" t="s">
        <v>162</v>
      </c>
      <c r="D12" s="33" t="s">
        <v>162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1"/>
      <c r="K12" s="31" t="s">
        <v>52</v>
      </c>
      <c r="L12" s="31" t="s">
        <v>52</v>
      </c>
      <c r="M12" s="31" t="s">
        <v>52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  <c r="AI12" s="3"/>
      <c r="AJ12" s="31" t="s">
        <v>52</v>
      </c>
      <c r="AK12" s="31" t="s">
        <v>52</v>
      </c>
      <c r="AL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/>
      <c r="K13" s="31" t="s">
        <v>49</v>
      </c>
      <c r="L13" s="31" t="s">
        <v>49</v>
      </c>
      <c r="M13" s="31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31" t="s">
        <v>49</v>
      </c>
      <c r="AK13" s="31" t="s">
        <v>49</v>
      </c>
      <c r="AL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/>
      <c r="K14" s="31" t="s">
        <v>49</v>
      </c>
      <c r="L14" s="31" t="s">
        <v>49</v>
      </c>
      <c r="M14" s="31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  <c r="AL14" s="31" t="s">
        <v>49</v>
      </c>
    </row>
    <row x14ac:dyDescent="0.25" r="15" customHeight="1" ht="18.75">
      <c r="A15" s="30" t="s">
        <v>127</v>
      </c>
      <c r="B15" s="119" t="s">
        <v>487</v>
      </c>
      <c r="C15" s="31" t="s">
        <v>133</v>
      </c>
      <c r="D15" s="31" t="s">
        <v>133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/>
      <c r="K15" s="31" t="s">
        <v>140</v>
      </c>
      <c r="L15" s="31" t="s">
        <v>140</v>
      </c>
      <c r="M15" s="31" t="s">
        <v>140</v>
      </c>
      <c r="N15" s="32"/>
      <c r="O15" s="32"/>
      <c r="P15" s="143" t="s">
        <v>140</v>
      </c>
      <c r="Q15" s="143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133</v>
      </c>
      <c r="AI15" s="3"/>
      <c r="AJ15" s="31" t="s">
        <v>488</v>
      </c>
      <c r="AK15" s="31" t="s">
        <v>488</v>
      </c>
      <c r="AL15" s="31" t="s">
        <v>488</v>
      </c>
    </row>
    <row x14ac:dyDescent="0.25" r="16" customHeight="1" ht="18.75">
      <c r="A16" s="30" t="s">
        <v>128</v>
      </c>
      <c r="B16" s="31">
        <f>AVERAGE(0,3)</f>
      </c>
      <c r="C16" s="31">
        <v>-2</v>
      </c>
      <c r="D16" s="31">
        <v>-2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/>
      <c r="K16" s="31">
        <v>3</v>
      </c>
      <c r="L16" s="31">
        <f>AVERAGE(2.5,3)</f>
      </c>
      <c r="M16" s="31">
        <v>2.5</v>
      </c>
      <c r="N16" s="31"/>
      <c r="O16" s="31"/>
      <c r="P16" s="143">
        <v>2.5</v>
      </c>
      <c r="Q16" s="143">
        <v>2.5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/>
      <c r="AH16" s="31">
        <v>-2</v>
      </c>
      <c r="AI16" s="3"/>
      <c r="AJ16" s="31">
        <v>0</v>
      </c>
      <c r="AK16" s="31">
        <v>0</v>
      </c>
      <c r="AL16" s="31">
        <v>0</v>
      </c>
    </row>
    <row x14ac:dyDescent="0.25" r="17" customHeight="1" ht="18.75">
      <c r="A17" s="30" t="s">
        <v>129</v>
      </c>
      <c r="B17" s="31" t="s">
        <v>489</v>
      </c>
      <c r="C17" s="119" t="s">
        <v>369</v>
      </c>
      <c r="D17" s="119" t="s">
        <v>369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/>
      <c r="K17" s="31" t="s">
        <v>320</v>
      </c>
      <c r="L17" s="31" t="s">
        <v>320</v>
      </c>
      <c r="M17" s="31" t="s">
        <v>169</v>
      </c>
      <c r="N17" s="32"/>
      <c r="O17" s="32"/>
      <c r="P17" s="143" t="s">
        <v>358</v>
      </c>
      <c r="Q17" s="143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2"/>
      <c r="AH17" s="31" t="s">
        <v>134</v>
      </c>
      <c r="AI17" s="3"/>
      <c r="AJ17" s="31" t="s">
        <v>134</v>
      </c>
      <c r="AK17" s="31" t="s">
        <v>134</v>
      </c>
      <c r="AL17" s="31" t="s">
        <v>134</v>
      </c>
    </row>
    <row x14ac:dyDescent="0.25" r="18" customHeight="1" ht="18.75">
      <c r="A18" s="30" t="s">
        <v>130</v>
      </c>
      <c r="B18" s="31">
        <f>AVERAGE(1/3,2)</f>
      </c>
      <c r="C18" s="31">
        <f>AVERAGE(1/3,0)</f>
      </c>
      <c r="D18" s="31">
        <f>AVERAGE(1/3,0)</f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/>
      <c r="K18" s="31">
        <f>AVERAGE(2,0.5)</f>
      </c>
      <c r="L18" s="31">
        <f>AVERAGE(2,0.5)</f>
      </c>
      <c r="M18" s="31">
        <v>2</v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/>
      <c r="AH18" s="31">
        <f>1/3</f>
      </c>
      <c r="AI18" s="3"/>
      <c r="AJ18" s="31">
        <f>1/3</f>
      </c>
      <c r="AK18" s="31">
        <f>1/3</f>
      </c>
      <c r="AL18" s="31">
        <f>1/3</f>
      </c>
    </row>
    <row x14ac:dyDescent="0.25" r="19" customHeight="1" ht="18.75">
      <c r="A19" s="46"/>
      <c r="B19" s="2"/>
      <c r="C19" s="2"/>
      <c r="D19" s="2"/>
      <c r="E19" s="158"/>
      <c r="F19" s="149"/>
      <c r="G19" s="2"/>
      <c r="H19" s="2"/>
      <c r="I19" s="2"/>
      <c r="J19" s="2"/>
      <c r="K19" s="158"/>
      <c r="L19" s="158"/>
      <c r="M19" s="158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  <c r="AI19" s="3"/>
      <c r="AJ19" s="2"/>
      <c r="AK19" s="2"/>
      <c r="AL19" s="2"/>
    </row>
    <row x14ac:dyDescent="0.25" r="20" customHeight="1" ht="18.75">
      <c r="A20" s="30" t="s">
        <v>43</v>
      </c>
      <c r="B20" s="31" t="s">
        <v>131</v>
      </c>
      <c r="C20" s="31" t="s">
        <v>482</v>
      </c>
      <c r="D20" s="31" t="s">
        <v>482</v>
      </c>
      <c r="E20" s="31" t="s">
        <v>68</v>
      </c>
      <c r="F20" s="31" t="s">
        <v>68</v>
      </c>
      <c r="G20" s="31" t="s">
        <v>68</v>
      </c>
      <c r="H20" s="31" t="s">
        <v>68</v>
      </c>
      <c r="I20" s="31" t="s">
        <v>68</v>
      </c>
      <c r="J20" s="31" t="s">
        <v>68</v>
      </c>
      <c r="K20" s="31" t="s">
        <v>68</v>
      </c>
      <c r="L20" s="31" t="s">
        <v>68</v>
      </c>
      <c r="M20" s="31" t="s">
        <v>68</v>
      </c>
      <c r="N20" s="32"/>
      <c r="O20" s="32"/>
      <c r="P20" s="31" t="s">
        <v>387</v>
      </c>
      <c r="Q20" s="31" t="s">
        <v>387</v>
      </c>
      <c r="R20" s="32"/>
      <c r="S20" s="32"/>
      <c r="T20" s="32"/>
      <c r="U20" s="32"/>
      <c r="V20" s="32"/>
      <c r="W20" s="32"/>
      <c r="X20" s="32"/>
      <c r="Y20" s="32"/>
      <c r="Z20" s="32"/>
      <c r="AA20" s="31" t="s">
        <v>68</v>
      </c>
      <c r="AB20" s="32"/>
      <c r="AC20" s="32"/>
      <c r="AD20" s="32"/>
      <c r="AE20" s="32"/>
      <c r="AF20" s="32"/>
      <c r="AG20" s="32"/>
      <c r="AH20" s="31" t="s">
        <v>339</v>
      </c>
      <c r="AI20" s="3"/>
      <c r="AJ20" s="31" t="s">
        <v>132</v>
      </c>
      <c r="AK20" s="31" t="s">
        <v>132</v>
      </c>
      <c r="AL20" s="31" t="s">
        <v>132</v>
      </c>
    </row>
    <row x14ac:dyDescent="0.25" r="21" customHeight="1" ht="15.75">
      <c r="A21" s="30" t="s">
        <v>45</v>
      </c>
      <c r="B21" s="31" t="s">
        <v>132</v>
      </c>
      <c r="C21" s="31" t="s">
        <v>490</v>
      </c>
      <c r="D21" s="31" t="s">
        <v>482</v>
      </c>
      <c r="E21" s="31" t="s">
        <v>132</v>
      </c>
      <c r="F21" s="31" t="s">
        <v>132</v>
      </c>
      <c r="G21" s="31" t="s">
        <v>132</v>
      </c>
      <c r="H21" s="31" t="s">
        <v>132</v>
      </c>
      <c r="I21" s="31" t="s">
        <v>132</v>
      </c>
      <c r="J21" s="31" t="s">
        <v>132</v>
      </c>
      <c r="K21" s="33" t="s">
        <v>368</v>
      </c>
      <c r="L21" s="33" t="s">
        <v>368</v>
      </c>
      <c r="M21" s="33" t="s">
        <v>368</v>
      </c>
      <c r="N21" s="34"/>
      <c r="O21" s="34"/>
      <c r="P21" s="31" t="s">
        <v>271</v>
      </c>
      <c r="Q21" s="31" t="s">
        <v>271</v>
      </c>
      <c r="R21" s="34"/>
      <c r="S21" s="34"/>
      <c r="T21" s="34"/>
      <c r="U21" s="34"/>
      <c r="V21" s="34"/>
      <c r="W21" s="34"/>
      <c r="X21" s="34"/>
      <c r="Y21" s="34"/>
      <c r="Z21" s="34"/>
      <c r="AA21" s="31" t="s">
        <v>132</v>
      </c>
      <c r="AB21" s="34"/>
      <c r="AC21" s="34"/>
      <c r="AD21" s="34"/>
      <c r="AE21" s="34"/>
      <c r="AF21" s="34"/>
      <c r="AG21" s="34"/>
      <c r="AH21" s="31" t="s">
        <v>339</v>
      </c>
      <c r="AI21" s="3"/>
      <c r="AJ21" s="33" t="s">
        <v>271</v>
      </c>
      <c r="AK21" s="33" t="s">
        <v>272</v>
      </c>
      <c r="AL21" s="33" t="s">
        <v>271</v>
      </c>
    </row>
    <row x14ac:dyDescent="0.25" r="22" customHeight="1" ht="18.75">
      <c r="A22" s="35" t="s">
        <v>47</v>
      </c>
      <c r="B22" s="117">
        <v>98</v>
      </c>
      <c r="C22" s="117">
        <v>262</v>
      </c>
      <c r="D22" s="117">
        <v>43</v>
      </c>
      <c r="E22" s="117">
        <v>98</v>
      </c>
      <c r="F22" s="117">
        <v>98</v>
      </c>
      <c r="G22" s="117">
        <v>98</v>
      </c>
      <c r="H22" s="117">
        <v>98</v>
      </c>
      <c r="I22" s="117">
        <v>98</v>
      </c>
      <c r="J22" s="117">
        <v>98</v>
      </c>
      <c r="K22" s="117">
        <v>151</v>
      </c>
      <c r="L22" s="117">
        <v>151</v>
      </c>
      <c r="M22" s="117">
        <v>151</v>
      </c>
      <c r="N22" s="37"/>
      <c r="O22" s="37"/>
      <c r="P22" s="117">
        <v>57</v>
      </c>
      <c r="Q22" s="117">
        <v>57</v>
      </c>
      <c r="R22" s="37"/>
      <c r="S22" s="37"/>
      <c r="T22" s="37"/>
      <c r="U22" s="37"/>
      <c r="V22" s="37"/>
      <c r="W22" s="37"/>
      <c r="X22" s="37"/>
      <c r="Y22" s="37"/>
      <c r="Z22" s="37"/>
      <c r="AA22" s="117">
        <v>98</v>
      </c>
      <c r="AB22" s="37"/>
      <c r="AC22" s="37"/>
      <c r="AD22" s="37"/>
      <c r="AE22" s="37"/>
      <c r="AF22" s="37"/>
      <c r="AG22" s="37"/>
      <c r="AH22" s="117">
        <v>2</v>
      </c>
      <c r="AI22" s="3"/>
      <c r="AJ22" s="117">
        <v>57</v>
      </c>
      <c r="AK22" s="117">
        <v>35</v>
      </c>
      <c r="AL22" s="117">
        <v>57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1" t="s">
        <v>52</v>
      </c>
      <c r="G23" s="31" t="s">
        <v>52</v>
      </c>
      <c r="H23" s="31" t="s">
        <v>52</v>
      </c>
      <c r="I23" s="31" t="s">
        <v>52</v>
      </c>
      <c r="J23" s="31" t="s">
        <v>52</v>
      </c>
      <c r="K23" s="33" t="s">
        <v>162</v>
      </c>
      <c r="L23" s="33" t="s">
        <v>162</v>
      </c>
      <c r="M23" s="33" t="s">
        <v>162</v>
      </c>
      <c r="N23" s="32"/>
      <c r="O23" s="32"/>
      <c r="P23" s="31" t="s">
        <v>52</v>
      </c>
      <c r="Q23" s="31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31" t="s">
        <v>52</v>
      </c>
      <c r="AB23" s="32"/>
      <c r="AC23" s="34"/>
      <c r="AD23" s="32"/>
      <c r="AE23" s="34"/>
      <c r="AF23" s="32"/>
      <c r="AG23" s="32"/>
      <c r="AH23" s="31" t="s">
        <v>52</v>
      </c>
      <c r="AI23" s="3"/>
      <c r="AJ23" s="31" t="s">
        <v>52</v>
      </c>
      <c r="AK23" s="31" t="s">
        <v>52</v>
      </c>
      <c r="AL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1" t="s">
        <v>52</v>
      </c>
      <c r="G24" s="31" t="s">
        <v>52</v>
      </c>
      <c r="H24" s="31" t="s">
        <v>52</v>
      </c>
      <c r="I24" s="31" t="s">
        <v>52</v>
      </c>
      <c r="J24" s="31" t="s">
        <v>52</v>
      </c>
      <c r="K24" s="31" t="s">
        <v>162</v>
      </c>
      <c r="L24" s="31" t="s">
        <v>162</v>
      </c>
      <c r="M24" s="31" t="s">
        <v>162</v>
      </c>
      <c r="N24" s="32"/>
      <c r="O24" s="32"/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31" t="s">
        <v>52</v>
      </c>
      <c r="AB24" s="32"/>
      <c r="AC24" s="32"/>
      <c r="AD24" s="32"/>
      <c r="AE24" s="32"/>
      <c r="AF24" s="32"/>
      <c r="AG24" s="32"/>
      <c r="AH24" s="31" t="s">
        <v>52</v>
      </c>
      <c r="AI24" s="3"/>
      <c r="AJ24" s="31" t="s">
        <v>52</v>
      </c>
      <c r="AK24" s="31" t="s">
        <v>52</v>
      </c>
      <c r="AL24" s="31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1" t="s">
        <v>49</v>
      </c>
      <c r="G25" s="31" t="s">
        <v>49</v>
      </c>
      <c r="H25" s="31" t="s">
        <v>49</v>
      </c>
      <c r="I25" s="31" t="s">
        <v>49</v>
      </c>
      <c r="J25" s="31" t="s">
        <v>49</v>
      </c>
      <c r="K25" s="31" t="s">
        <v>49</v>
      </c>
      <c r="L25" s="31" t="s">
        <v>49</v>
      </c>
      <c r="M25" s="31" t="s">
        <v>49</v>
      </c>
      <c r="N25" s="32"/>
      <c r="O25" s="32"/>
      <c r="P25" s="31" t="s">
        <v>52</v>
      </c>
      <c r="Q25" s="31" t="s">
        <v>52</v>
      </c>
      <c r="R25" s="32"/>
      <c r="S25" s="32"/>
      <c r="T25" s="32"/>
      <c r="U25" s="32"/>
      <c r="V25" s="32"/>
      <c r="W25" s="32"/>
      <c r="X25" s="32"/>
      <c r="Y25" s="32"/>
      <c r="Z25" s="32"/>
      <c r="AA25" s="31" t="s">
        <v>49</v>
      </c>
      <c r="AB25" s="32"/>
      <c r="AC25" s="32"/>
      <c r="AD25" s="32"/>
      <c r="AE25" s="32"/>
      <c r="AF25" s="32"/>
      <c r="AG25" s="32"/>
      <c r="AH25" s="31" t="s">
        <v>49</v>
      </c>
      <c r="AI25" s="3"/>
      <c r="AJ25" s="31" t="s">
        <v>52</v>
      </c>
      <c r="AK25" s="31" t="s">
        <v>52</v>
      </c>
      <c r="AL25" s="31" t="s">
        <v>52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1" t="s">
        <v>49</v>
      </c>
      <c r="G26" s="31" t="s">
        <v>49</v>
      </c>
      <c r="H26" s="31" t="s">
        <v>49</v>
      </c>
      <c r="I26" s="31" t="s">
        <v>49</v>
      </c>
      <c r="J26" s="31" t="s">
        <v>49</v>
      </c>
      <c r="K26" s="31" t="s">
        <v>49</v>
      </c>
      <c r="L26" s="31" t="s">
        <v>49</v>
      </c>
      <c r="M26" s="31" t="s">
        <v>49</v>
      </c>
      <c r="N26" s="32"/>
      <c r="O26" s="32"/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31" t="s">
        <v>49</v>
      </c>
      <c r="AB26" s="32"/>
      <c r="AC26" s="32"/>
      <c r="AD26" s="32"/>
      <c r="AE26" s="32"/>
      <c r="AF26" s="32"/>
      <c r="AG26" s="32"/>
      <c r="AH26" s="31" t="s">
        <v>49</v>
      </c>
      <c r="AI26" s="3"/>
      <c r="AJ26" s="31" t="s">
        <v>49</v>
      </c>
      <c r="AK26" s="31" t="s">
        <v>49</v>
      </c>
      <c r="AL26" s="31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140</v>
      </c>
      <c r="D27" s="31" t="s">
        <v>140</v>
      </c>
      <c r="E27" s="31" t="s">
        <v>133</v>
      </c>
      <c r="F27" s="31" t="s">
        <v>133</v>
      </c>
      <c r="G27" s="31" t="s">
        <v>133</v>
      </c>
      <c r="H27" s="31" t="s">
        <v>133</v>
      </c>
      <c r="I27" s="31" t="s">
        <v>133</v>
      </c>
      <c r="J27" s="31" t="s">
        <v>133</v>
      </c>
      <c r="K27" s="31" t="s">
        <v>133</v>
      </c>
      <c r="L27" s="31" t="s">
        <v>133</v>
      </c>
      <c r="M27" s="31" t="s">
        <v>133</v>
      </c>
      <c r="N27" s="32"/>
      <c r="O27" s="32"/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31" t="s">
        <v>133</v>
      </c>
      <c r="AB27" s="32"/>
      <c r="AC27" s="32"/>
      <c r="AD27" s="32"/>
      <c r="AE27" s="32"/>
      <c r="AF27" s="32"/>
      <c r="AG27" s="32"/>
      <c r="AH27" s="31" t="s">
        <v>140</v>
      </c>
      <c r="AI27" s="3"/>
      <c r="AJ27" s="31" t="s">
        <v>133</v>
      </c>
      <c r="AK27" s="31" t="s">
        <v>133</v>
      </c>
      <c r="AL27" s="31" t="s">
        <v>133</v>
      </c>
    </row>
    <row x14ac:dyDescent="0.25" r="28" customHeight="1" ht="18.75">
      <c r="A28" s="30" t="s">
        <v>128</v>
      </c>
      <c r="B28" s="31">
        <v>-2</v>
      </c>
      <c r="C28" s="31">
        <f>AVERAGE(2.5,2.5,2.5,3)</f>
      </c>
      <c r="D28" s="31">
        <v>2.5</v>
      </c>
      <c r="E28" s="31">
        <v>-2</v>
      </c>
      <c r="F28" s="31">
        <v>-2</v>
      </c>
      <c r="G28" s="31">
        <v>-2</v>
      </c>
      <c r="H28" s="31">
        <v>-2</v>
      </c>
      <c r="I28" s="31">
        <v>-2</v>
      </c>
      <c r="J28" s="31">
        <v>-2</v>
      </c>
      <c r="K28" s="31">
        <v>-2</v>
      </c>
      <c r="L28" s="31">
        <v>-2</v>
      </c>
      <c r="M28" s="31">
        <v>-2</v>
      </c>
      <c r="N28" s="31"/>
      <c r="O28" s="31"/>
      <c r="P28" s="31">
        <v>-0.5</v>
      </c>
      <c r="Q28" s="31">
        <v>-0.5</v>
      </c>
      <c r="R28" s="31"/>
      <c r="S28" s="31"/>
      <c r="T28" s="31"/>
      <c r="U28" s="31"/>
      <c r="V28" s="31"/>
      <c r="W28" s="31"/>
      <c r="X28" s="31"/>
      <c r="Y28" s="31"/>
      <c r="Z28" s="31"/>
      <c r="AA28" s="31">
        <v>-2</v>
      </c>
      <c r="AB28" s="31"/>
      <c r="AC28" s="31"/>
      <c r="AD28" s="31"/>
      <c r="AE28" s="31"/>
      <c r="AF28" s="31"/>
      <c r="AG28" s="31"/>
      <c r="AH28" s="31">
        <v>3</v>
      </c>
      <c r="AI28" s="3"/>
      <c r="AJ28" s="31">
        <v>-0.5</v>
      </c>
      <c r="AK28" s="31">
        <v>-0.5</v>
      </c>
      <c r="AL28" s="31">
        <v>-0.5</v>
      </c>
    </row>
    <row x14ac:dyDescent="0.25" r="29" customHeight="1" ht="18.75">
      <c r="A29" s="30" t="s">
        <v>129</v>
      </c>
      <c r="B29" s="31" t="s">
        <v>134</v>
      </c>
      <c r="C29" s="31" t="s">
        <v>169</v>
      </c>
      <c r="D29" s="31" t="s">
        <v>169</v>
      </c>
      <c r="E29" s="31" t="s">
        <v>134</v>
      </c>
      <c r="F29" s="31" t="s">
        <v>134</v>
      </c>
      <c r="G29" s="31" t="s">
        <v>134</v>
      </c>
      <c r="H29" s="31" t="s">
        <v>134</v>
      </c>
      <c r="I29" s="31" t="s">
        <v>134</v>
      </c>
      <c r="J29" s="31" t="s">
        <v>134</v>
      </c>
      <c r="K29" s="33" t="s">
        <v>369</v>
      </c>
      <c r="L29" s="33" t="s">
        <v>369</v>
      </c>
      <c r="M29" s="33" t="s">
        <v>369</v>
      </c>
      <c r="N29" s="32"/>
      <c r="O29" s="32"/>
      <c r="P29" s="31" t="s">
        <v>169</v>
      </c>
      <c r="Q29" s="31" t="s">
        <v>169</v>
      </c>
      <c r="R29" s="32"/>
      <c r="S29" s="32"/>
      <c r="T29" s="32"/>
      <c r="U29" s="32"/>
      <c r="V29" s="32"/>
      <c r="W29" s="32"/>
      <c r="X29" s="32"/>
      <c r="Y29" s="32"/>
      <c r="Z29" s="32"/>
      <c r="AA29" s="31" t="s">
        <v>134</v>
      </c>
      <c r="AB29" s="32"/>
      <c r="AC29" s="32"/>
      <c r="AD29" s="32"/>
      <c r="AE29" s="32"/>
      <c r="AF29" s="32"/>
      <c r="AG29" s="32"/>
      <c r="AH29" s="31" t="s">
        <v>138</v>
      </c>
      <c r="AI29" s="3"/>
      <c r="AJ29" s="31" t="s">
        <v>169</v>
      </c>
      <c r="AK29" s="31" t="s">
        <v>274</v>
      </c>
      <c r="AL29" s="31" t="s">
        <v>169</v>
      </c>
    </row>
    <row x14ac:dyDescent="0.25" r="30" customHeight="1" ht="18.75">
      <c r="A30" s="30" t="s">
        <v>130</v>
      </c>
      <c r="B30" s="31">
        <f>1/3</f>
      </c>
      <c r="C30" s="31">
        <v>2</v>
      </c>
      <c r="D30" s="31">
        <v>2</v>
      </c>
      <c r="E30" s="31">
        <f>1/3</f>
      </c>
      <c r="F30" s="31">
        <f>1/3</f>
      </c>
      <c r="G30" s="31">
        <f>1/3</f>
      </c>
      <c r="H30" s="31">
        <f>1/3</f>
      </c>
      <c r="I30" s="31">
        <f>1/3</f>
      </c>
      <c r="J30" s="31">
        <f>1/3</f>
      </c>
      <c r="K30" s="31">
        <f>AVERAGE(1/3,0)</f>
      </c>
      <c r="L30" s="31">
        <f>AVERAGE(1/3,0)</f>
      </c>
      <c r="M30" s="31">
        <f>AVERAGE(1/3,0)</f>
      </c>
      <c r="N30" s="31"/>
      <c r="O30" s="31"/>
      <c r="P30" s="31">
        <v>2</v>
      </c>
      <c r="Q30" s="31">
        <v>2</v>
      </c>
      <c r="R30" s="31"/>
      <c r="S30" s="31"/>
      <c r="T30" s="31"/>
      <c r="U30" s="31"/>
      <c r="V30" s="31"/>
      <c r="W30" s="31"/>
      <c r="X30" s="31"/>
      <c r="Y30" s="31"/>
      <c r="Z30" s="31"/>
      <c r="AA30" s="31">
        <f>1/3</f>
      </c>
      <c r="AB30" s="31"/>
      <c r="AC30" s="31"/>
      <c r="AD30" s="31"/>
      <c r="AE30" s="31"/>
      <c r="AF30" s="31"/>
      <c r="AG30" s="31"/>
      <c r="AH30" s="31">
        <v>4</v>
      </c>
      <c r="AI30" s="3"/>
      <c r="AJ30" s="31">
        <v>2</v>
      </c>
      <c r="AK30" s="31">
        <v>3</v>
      </c>
      <c r="AL30" s="31">
        <v>2</v>
      </c>
    </row>
    <row x14ac:dyDescent="0.25" r="31" customHeight="1" ht="18.75">
      <c r="A31" s="46"/>
      <c r="B31" s="2"/>
      <c r="C31" s="2"/>
      <c r="D31" s="2"/>
      <c r="E31" s="149"/>
      <c r="F31" s="149"/>
      <c r="G31" s="2"/>
      <c r="H31" s="2"/>
      <c r="I31" s="2"/>
      <c r="J31" s="2"/>
      <c r="K31" s="121" t="s">
        <v>491</v>
      </c>
      <c r="L31" s="121"/>
      <c r="M31" s="121"/>
      <c r="N31" s="3"/>
      <c r="O31" s="3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3"/>
      <c r="AD31" s="3"/>
      <c r="AE31" s="3"/>
      <c r="AF31" s="3"/>
      <c r="AG31" s="3"/>
      <c r="AH31" s="2"/>
      <c r="AI31" s="3"/>
      <c r="AJ31" s="121" t="s">
        <v>492</v>
      </c>
      <c r="AK31" s="121"/>
      <c r="AL31" s="121"/>
    </row>
    <row x14ac:dyDescent="0.25" r="32" customHeight="1" ht="18.75">
      <c r="A32" s="38" t="s">
        <v>64</v>
      </c>
      <c r="B32" s="2"/>
      <c r="C32" s="2"/>
      <c r="D32" s="2"/>
      <c r="E32" s="149"/>
      <c r="F32" s="149"/>
      <c r="G32" s="2"/>
      <c r="H32" s="2"/>
      <c r="I32" s="2"/>
      <c r="J32" s="2"/>
      <c r="K32" s="2"/>
      <c r="L32" s="2"/>
      <c r="M32" s="2"/>
      <c r="N32" s="3"/>
      <c r="O32" s="3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3"/>
      <c r="AH32" s="2"/>
      <c r="AI32" s="3"/>
      <c r="AJ32" s="2"/>
      <c r="AK32" s="2"/>
      <c r="AL32" s="2"/>
    </row>
    <row x14ac:dyDescent="0.25" r="33" customHeight="1" ht="18.75">
      <c r="A33" s="30" t="s">
        <v>493</v>
      </c>
      <c r="B33" s="40"/>
      <c r="C33" s="150"/>
      <c r="D33" s="2"/>
      <c r="E33" s="149"/>
      <c r="F33" s="149"/>
      <c r="G33" s="2"/>
      <c r="H33" s="150"/>
      <c r="I33" s="2"/>
      <c r="J33" s="2"/>
      <c r="K33" s="2"/>
      <c r="L33" s="2"/>
      <c r="M33" s="150"/>
      <c r="N33" s="3"/>
      <c r="O33" s="3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3"/>
      <c r="AH33" s="2"/>
      <c r="AI33" s="3"/>
      <c r="AJ33" s="2"/>
      <c r="AK33" s="2"/>
      <c r="AL33" s="2"/>
    </row>
    <row x14ac:dyDescent="0.25" r="34" customHeight="1" ht="39" customFormat="1" s="159">
      <c r="A34" s="160" t="s">
        <v>494</v>
      </c>
      <c r="B34" s="161"/>
      <c r="C34" s="161"/>
      <c r="D34" s="161"/>
      <c r="E34" s="161"/>
      <c r="F34" s="161"/>
      <c r="G34" s="161"/>
      <c r="H34" s="162"/>
      <c r="I34" s="162"/>
      <c r="J34" s="162"/>
      <c r="K34" s="162"/>
      <c r="L34" s="162"/>
      <c r="M34" s="162"/>
      <c r="N34" s="163"/>
      <c r="O34" s="163"/>
      <c r="P34" s="162"/>
      <c r="Q34" s="162"/>
      <c r="R34" s="163"/>
      <c r="S34" s="163"/>
      <c r="T34" s="163"/>
      <c r="U34" s="163"/>
      <c r="V34" s="163"/>
      <c r="W34" s="163"/>
      <c r="X34" s="163"/>
      <c r="Y34" s="163"/>
      <c r="Z34" s="163"/>
      <c r="AA34" s="162"/>
      <c r="AB34" s="163"/>
      <c r="AC34" s="163"/>
      <c r="AD34" s="163"/>
      <c r="AE34" s="163"/>
      <c r="AF34" s="163"/>
      <c r="AG34" s="163"/>
      <c r="AH34" s="162"/>
      <c r="AI34" s="163"/>
      <c r="AJ34" s="162"/>
      <c r="AK34" s="162"/>
      <c r="AL34" s="162"/>
    </row>
    <row x14ac:dyDescent="0.25" r="35" customHeight="1" ht="18.75">
      <c r="A35" s="30" t="s">
        <v>495</v>
      </c>
      <c r="B35" s="40"/>
      <c r="C35" s="2"/>
      <c r="D35" s="2"/>
      <c r="E35" s="149"/>
      <c r="F35" s="149"/>
      <c r="G35" s="2"/>
      <c r="H35" s="2"/>
      <c r="I35" s="2"/>
      <c r="J35" s="2"/>
      <c r="K35" s="2"/>
      <c r="L35" s="2"/>
      <c r="M35" s="2"/>
      <c r="N35" s="3"/>
      <c r="O35" s="3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3"/>
      <c r="AH35" s="2"/>
      <c r="AI35" s="3"/>
      <c r="AJ35" s="2"/>
      <c r="AK35" s="2"/>
      <c r="AL35" s="2"/>
    </row>
    <row x14ac:dyDescent="0.25" r="36" customHeight="1" ht="18.75">
      <c r="A36" s="46"/>
      <c r="B36" s="2"/>
      <c r="C36" s="2"/>
      <c r="D36" s="2"/>
      <c r="E36" s="149"/>
      <c r="F36" s="149"/>
      <c r="G36" s="2"/>
      <c r="H36" s="2"/>
      <c r="I36" s="2"/>
      <c r="J36" s="2"/>
      <c r="K36" s="2"/>
      <c r="L36" s="2"/>
      <c r="M36" s="2"/>
      <c r="N36" s="3"/>
      <c r="O36" s="3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3"/>
      <c r="AH36" s="2"/>
      <c r="AI36" s="3"/>
      <c r="AJ36" s="2"/>
      <c r="AK36" s="2"/>
      <c r="AL36" s="2"/>
    </row>
    <row x14ac:dyDescent="0.25" r="37" customHeight="1" ht="18.75">
      <c r="A37" s="1" t="s">
        <v>416</v>
      </c>
      <c r="B37" s="2"/>
      <c r="C37" s="2"/>
      <c r="D37" s="2"/>
      <c r="E37" s="149"/>
      <c r="F37" s="149"/>
      <c r="G37" s="2"/>
      <c r="H37" s="2"/>
      <c r="I37" s="2"/>
      <c r="J37" s="2"/>
      <c r="K37" s="2"/>
      <c r="L37" s="2"/>
      <c r="M37" s="2"/>
      <c r="N37" s="3"/>
      <c r="O37" s="3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2"/>
      <c r="AB37" s="3"/>
      <c r="AC37" s="3"/>
      <c r="AD37" s="3"/>
      <c r="AE37" s="3"/>
      <c r="AF37" s="3"/>
      <c r="AG37" s="3"/>
      <c r="AH37" s="2"/>
      <c r="AI37" s="3"/>
      <c r="AJ37" s="2"/>
      <c r="AK37" s="2"/>
      <c r="AL37" s="2"/>
    </row>
    <row x14ac:dyDescent="0.25" r="38" customHeight="1" ht="18.75">
      <c r="A38" s="164" t="s">
        <v>496</v>
      </c>
      <c r="B38" s="2"/>
      <c r="C38" s="2"/>
      <c r="D38" s="2"/>
      <c r="E38" s="150" t="s">
        <v>497</v>
      </c>
      <c r="F38" s="150" t="s">
        <v>497</v>
      </c>
      <c r="G38" s="2"/>
      <c r="H38" s="2"/>
      <c r="I38" s="2"/>
      <c r="J38" s="2"/>
      <c r="K38" s="2"/>
      <c r="L38" s="2"/>
      <c r="M38" s="2"/>
      <c r="N38" s="3"/>
      <c r="O38" s="3"/>
      <c r="P38" s="2"/>
      <c r="Q38" s="2"/>
      <c r="R38" s="3"/>
      <c r="S38" s="3"/>
      <c r="T38" s="3"/>
      <c r="U38" s="3"/>
      <c r="V38" s="3"/>
      <c r="W38" s="3"/>
      <c r="X38" s="3"/>
      <c r="Y38" s="3"/>
      <c r="Z38" s="3"/>
      <c r="AA38" s="2"/>
      <c r="AB38" s="3"/>
      <c r="AC38" s="3"/>
      <c r="AD38" s="3"/>
      <c r="AE38" s="3"/>
      <c r="AF38" s="3"/>
      <c r="AG38" s="3"/>
      <c r="AH38" s="2"/>
      <c r="AI38" s="3"/>
      <c r="AJ38" s="2"/>
      <c r="AK38" s="2"/>
      <c r="AL38" s="2"/>
    </row>
    <row x14ac:dyDescent="0.25" r="39" customHeight="1" ht="18.75">
      <c r="A39" s="30" t="s">
        <v>498</v>
      </c>
      <c r="B39" s="2"/>
      <c r="C39" s="2"/>
      <c r="D39" s="2"/>
      <c r="E39" s="150" t="s">
        <v>499</v>
      </c>
      <c r="F39" s="150" t="s">
        <v>497</v>
      </c>
      <c r="G39" s="2"/>
      <c r="H39" s="2"/>
      <c r="I39" s="2"/>
      <c r="J39" s="2"/>
      <c r="K39" s="2"/>
      <c r="L39" s="2"/>
      <c r="M39" s="2"/>
      <c r="N39" s="3"/>
      <c r="O39" s="3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2"/>
      <c r="AB39" s="3"/>
      <c r="AC39" s="3"/>
      <c r="AD39" s="3"/>
      <c r="AE39" s="3"/>
      <c r="AF39" s="3"/>
      <c r="AG39" s="3"/>
      <c r="AH39" s="2"/>
      <c r="AI39" s="3"/>
      <c r="AJ39" s="2"/>
      <c r="AK39" s="2"/>
      <c r="AL39" s="2"/>
    </row>
    <row x14ac:dyDescent="0.25" r="40" customHeight="1" ht="18.75">
      <c r="A40" s="30" t="s">
        <v>500</v>
      </c>
      <c r="B40" s="2"/>
      <c r="C40" s="2"/>
      <c r="D40" s="2"/>
      <c r="E40" s="165" t="s">
        <v>227</v>
      </c>
      <c r="F40" s="165" t="s">
        <v>158</v>
      </c>
      <c r="G40" s="2"/>
      <c r="H40" s="2"/>
      <c r="I40" s="2"/>
      <c r="J40" s="2"/>
      <c r="K40" s="2"/>
      <c r="L40" s="2"/>
      <c r="M40" s="2"/>
      <c r="N40" s="3"/>
      <c r="O40" s="3"/>
      <c r="P40" s="2"/>
      <c r="Q40" s="2"/>
      <c r="R40" s="3"/>
      <c r="S40" s="3"/>
      <c r="T40" s="3"/>
      <c r="U40" s="3"/>
      <c r="V40" s="3"/>
      <c r="W40" s="3"/>
      <c r="X40" s="3"/>
      <c r="Y40" s="3"/>
      <c r="Z40" s="3"/>
      <c r="AA40" s="2"/>
      <c r="AB40" s="3"/>
      <c r="AC40" s="3"/>
      <c r="AD40" s="3"/>
      <c r="AE40" s="3"/>
      <c r="AF40" s="3"/>
      <c r="AG40" s="3"/>
      <c r="AH40" s="2"/>
      <c r="AI40" s="3"/>
      <c r="AJ40" s="2"/>
      <c r="AK40" s="2"/>
      <c r="AL40" s="2"/>
    </row>
    <row x14ac:dyDescent="0.25" r="41" customHeight="1" ht="18.75">
      <c r="A41" s="30" t="s">
        <v>501</v>
      </c>
      <c r="B41" s="2"/>
      <c r="C41" s="2"/>
      <c r="D41" s="2"/>
      <c r="E41" s="150" t="s">
        <v>431</v>
      </c>
      <c r="F41" s="150" t="s">
        <v>431</v>
      </c>
      <c r="G41" s="2"/>
      <c r="H41" s="2"/>
      <c r="I41" s="2"/>
      <c r="J41" s="2"/>
      <c r="K41" s="2"/>
      <c r="L41" s="2"/>
      <c r="M41" s="2"/>
      <c r="N41" s="3"/>
      <c r="O41" s="3"/>
      <c r="P41" s="2"/>
      <c r="Q41" s="2"/>
      <c r="R41" s="3"/>
      <c r="S41" s="3"/>
      <c r="T41" s="3"/>
      <c r="U41" s="3"/>
      <c r="V41" s="3"/>
      <c r="W41" s="3"/>
      <c r="X41" s="3"/>
      <c r="Y41" s="3"/>
      <c r="Z41" s="3"/>
      <c r="AA41" s="2"/>
      <c r="AB41" s="3"/>
      <c r="AC41" s="3"/>
      <c r="AD41" s="3"/>
      <c r="AE41" s="3"/>
      <c r="AF41" s="3"/>
      <c r="AG41" s="3"/>
      <c r="AH41" s="2"/>
      <c r="AI41" s="3"/>
      <c r="AJ41" s="2"/>
      <c r="AK41" s="2"/>
      <c r="AL41" s="2"/>
    </row>
    <row x14ac:dyDescent="0.25" r="42" customHeight="1" ht="18.75">
      <c r="A42" s="30" t="s">
        <v>502</v>
      </c>
      <c r="B42" s="2"/>
      <c r="C42" s="2"/>
      <c r="D42" s="2"/>
      <c r="E42" s="150" t="s">
        <v>499</v>
      </c>
      <c r="F42" s="150" t="s">
        <v>497</v>
      </c>
      <c r="G42" s="2"/>
      <c r="H42" s="2"/>
      <c r="I42" s="2"/>
      <c r="J42" s="2"/>
      <c r="K42" s="2"/>
      <c r="L42" s="2"/>
      <c r="M42" s="2"/>
      <c r="N42" s="3"/>
      <c r="O42" s="3"/>
      <c r="P42" s="2"/>
      <c r="Q42" s="2"/>
      <c r="R42" s="3"/>
      <c r="S42" s="3"/>
      <c r="T42" s="3"/>
      <c r="U42" s="3"/>
      <c r="V42" s="3"/>
      <c r="W42" s="3"/>
      <c r="X42" s="3"/>
      <c r="Y42" s="3"/>
      <c r="Z42" s="3"/>
      <c r="AA42" s="2"/>
      <c r="AB42" s="3"/>
      <c r="AC42" s="3"/>
      <c r="AD42" s="3"/>
      <c r="AE42" s="3"/>
      <c r="AF42" s="3"/>
      <c r="AG42" s="3"/>
      <c r="AH42" s="2"/>
      <c r="AI42" s="3"/>
      <c r="AJ42" s="2"/>
      <c r="AK42" s="2"/>
      <c r="AL42" s="2"/>
    </row>
    <row x14ac:dyDescent="0.25" r="43" customHeight="1" ht="18.75">
      <c r="A43" s="30" t="s">
        <v>503</v>
      </c>
      <c r="B43" s="2"/>
      <c r="C43" s="2"/>
      <c r="D43" s="2"/>
      <c r="E43" s="150" t="s">
        <v>497</v>
      </c>
      <c r="F43" s="150" t="s">
        <v>497</v>
      </c>
      <c r="G43" s="2"/>
      <c r="H43" s="2"/>
      <c r="I43" s="2"/>
      <c r="J43" s="2"/>
      <c r="K43" s="2"/>
      <c r="L43" s="2"/>
      <c r="M43" s="2"/>
      <c r="N43" s="3"/>
      <c r="O43" s="3"/>
      <c r="P43" s="2"/>
      <c r="Q43" s="2"/>
      <c r="R43" s="3"/>
      <c r="S43" s="3"/>
      <c r="T43" s="3"/>
      <c r="U43" s="3"/>
      <c r="V43" s="3"/>
      <c r="W43" s="3"/>
      <c r="X43" s="3"/>
      <c r="Y43" s="3"/>
      <c r="Z43" s="3"/>
      <c r="AA43" s="2"/>
      <c r="AB43" s="3"/>
      <c r="AC43" s="3"/>
      <c r="AD43" s="3"/>
      <c r="AE43" s="3"/>
      <c r="AF43" s="3"/>
      <c r="AG43" s="3"/>
      <c r="AH43" s="2"/>
      <c r="AI43" s="3"/>
      <c r="AJ43" s="2"/>
      <c r="AK43" s="2"/>
      <c r="AL43" s="2"/>
    </row>
    <row x14ac:dyDescent="0.25" r="44" customHeight="1" ht="18.75">
      <c r="A44" s="46"/>
      <c r="B44" s="2"/>
      <c r="C44" s="2"/>
      <c r="D44" s="2"/>
      <c r="E44" s="149"/>
      <c r="F44" s="149"/>
      <c r="G44" s="2"/>
      <c r="H44" s="2"/>
      <c r="I44" s="2"/>
      <c r="J44" s="2"/>
      <c r="K44" s="2"/>
      <c r="L44" s="2"/>
      <c r="M44" s="2"/>
      <c r="N44" s="3"/>
      <c r="O44" s="3"/>
      <c r="P44" s="2"/>
      <c r="Q44" s="2"/>
      <c r="R44" s="3"/>
      <c r="S44" s="3"/>
      <c r="T44" s="3"/>
      <c r="U44" s="3"/>
      <c r="V44" s="3"/>
      <c r="W44" s="3"/>
      <c r="X44" s="3"/>
      <c r="Y44" s="3"/>
      <c r="Z44" s="3"/>
      <c r="AA44" s="2"/>
      <c r="AB44" s="3"/>
      <c r="AC44" s="3"/>
      <c r="AD44" s="3"/>
      <c r="AE44" s="3"/>
      <c r="AF44" s="3"/>
      <c r="AG44" s="3"/>
      <c r="AH44" s="2"/>
      <c r="AI44" s="3"/>
      <c r="AJ44" s="2"/>
      <c r="AK44" s="2"/>
      <c r="AL44" s="2"/>
    </row>
    <row x14ac:dyDescent="0.25" r="45" customHeight="1" ht="18.75">
      <c r="A45" s="30" t="s">
        <v>504</v>
      </c>
      <c r="B45" s="2"/>
      <c r="C45" s="2"/>
      <c r="D45" s="2"/>
      <c r="E45" s="150" t="s">
        <v>132</v>
      </c>
      <c r="F45" s="150" t="s">
        <v>431</v>
      </c>
      <c r="G45" s="2"/>
      <c r="H45" s="2"/>
      <c r="I45" s="2"/>
      <c r="J45" s="2"/>
      <c r="K45" s="2"/>
      <c r="L45" s="2"/>
      <c r="M45" s="2"/>
      <c r="N45" s="3"/>
      <c r="O45" s="3"/>
      <c r="P45" s="2"/>
      <c r="Q45" s="2"/>
      <c r="R45" s="3"/>
      <c r="S45" s="3"/>
      <c r="T45" s="3"/>
      <c r="U45" s="3"/>
      <c r="V45" s="3"/>
      <c r="W45" s="3"/>
      <c r="X45" s="3"/>
      <c r="Y45" s="3"/>
      <c r="Z45" s="3"/>
      <c r="AA45" s="2"/>
      <c r="AB45" s="3"/>
      <c r="AC45" s="3"/>
      <c r="AD45" s="3"/>
      <c r="AE45" s="3"/>
      <c r="AF45" s="3"/>
      <c r="AG45" s="3"/>
      <c r="AH45" s="2"/>
      <c r="AI45" s="3"/>
      <c r="AJ45" s="2"/>
      <c r="AK45" s="2"/>
      <c r="AL45" s="2"/>
    </row>
    <row x14ac:dyDescent="0.25" r="46" customHeight="1" ht="18.75">
      <c r="A46" s="30" t="s">
        <v>505</v>
      </c>
      <c r="B46" s="2"/>
      <c r="C46" s="2"/>
      <c r="D46" s="2"/>
      <c r="E46" s="150" t="s">
        <v>497</v>
      </c>
      <c r="F46" s="150" t="s">
        <v>497</v>
      </c>
      <c r="G46" s="2"/>
      <c r="H46" s="2"/>
      <c r="I46" s="2"/>
      <c r="J46" s="2"/>
      <c r="K46" s="2"/>
      <c r="L46" s="2"/>
      <c r="M46" s="2"/>
      <c r="N46" s="3"/>
      <c r="O46" s="3"/>
      <c r="P46" s="2"/>
      <c r="Q46" s="2"/>
      <c r="R46" s="3"/>
      <c r="S46" s="3"/>
      <c r="T46" s="3"/>
      <c r="U46" s="3"/>
      <c r="V46" s="3"/>
      <c r="W46" s="3"/>
      <c r="X46" s="3"/>
      <c r="Y46" s="3"/>
      <c r="Z46" s="3"/>
      <c r="AA46" s="2"/>
      <c r="AB46" s="3"/>
      <c r="AC46" s="3"/>
      <c r="AD46" s="3"/>
      <c r="AE46" s="3"/>
      <c r="AF46" s="3"/>
      <c r="AG46" s="3"/>
      <c r="AH46" s="2"/>
      <c r="AI46" s="3"/>
      <c r="AJ46" s="2"/>
      <c r="AK46" s="2"/>
      <c r="AL46" s="2"/>
    </row>
    <row x14ac:dyDescent="0.25" r="47" customHeight="1" ht="18.75">
      <c r="A47" s="30" t="s">
        <v>506</v>
      </c>
      <c r="B47" s="2"/>
      <c r="C47" s="2"/>
      <c r="D47" s="2"/>
      <c r="E47" s="150" t="s">
        <v>497</v>
      </c>
      <c r="F47" s="150" t="s">
        <v>497</v>
      </c>
      <c r="G47" s="2"/>
      <c r="H47" s="2"/>
      <c r="I47" s="2"/>
      <c r="J47" s="2"/>
      <c r="K47" s="2"/>
      <c r="L47" s="2"/>
      <c r="M47" s="2"/>
      <c r="N47" s="3"/>
      <c r="O47" s="3"/>
      <c r="P47" s="2"/>
      <c r="Q47" s="2"/>
      <c r="R47" s="3"/>
      <c r="S47" s="3"/>
      <c r="T47" s="3"/>
      <c r="U47" s="3"/>
      <c r="V47" s="3"/>
      <c r="W47" s="3"/>
      <c r="X47" s="3"/>
      <c r="Y47" s="3"/>
      <c r="Z47" s="3"/>
      <c r="AA47" s="2"/>
      <c r="AB47" s="3"/>
      <c r="AC47" s="3"/>
      <c r="AD47" s="3"/>
      <c r="AE47" s="3"/>
      <c r="AF47" s="3"/>
      <c r="AG47" s="3"/>
      <c r="AH47" s="2"/>
      <c r="AI47" s="3"/>
      <c r="AJ47" s="2"/>
      <c r="AK47" s="2"/>
      <c r="AL47" s="2"/>
    </row>
  </sheetData>
  <mergeCells count="8">
    <mergeCell ref="B3:D3"/>
    <mergeCell ref="F3:O3"/>
    <mergeCell ref="B4:D4"/>
    <mergeCell ref="F4:O5"/>
    <mergeCell ref="B5:D5"/>
    <mergeCell ref="K31:M31"/>
    <mergeCell ref="AJ31:AL31"/>
    <mergeCell ref="A34:G3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9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3"/>
      <c r="G1" s="2"/>
      <c r="H1" s="2"/>
      <c r="I1" s="45" t="s">
        <v>136</v>
      </c>
      <c r="J1" s="3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2"/>
      <c r="C2" s="2"/>
      <c r="D2" s="2"/>
      <c r="E2" s="2"/>
      <c r="F2" s="3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7">
        <v>83.5</v>
      </c>
      <c r="C3" s="7"/>
      <c r="D3" s="7"/>
      <c r="E3" s="45"/>
      <c r="F3" s="89" t="s">
        <v>3</v>
      </c>
      <c r="G3" s="90"/>
      <c r="H3" s="90"/>
      <c r="I3" s="90"/>
      <c r="J3" s="89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466</v>
      </c>
      <c r="C4" s="7"/>
      <c r="D4" s="7"/>
      <c r="E4" s="2"/>
      <c r="F4" s="91" t="s">
        <v>467</v>
      </c>
      <c r="G4" s="92"/>
      <c r="H4" s="92"/>
      <c r="I4" s="92"/>
      <c r="J4" s="93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95"/>
      <c r="G5" s="96"/>
      <c r="H5" s="96"/>
      <c r="I5" s="96"/>
      <c r="J5" s="97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2"/>
      <c r="C6" s="2"/>
      <c r="D6" s="2"/>
      <c r="E6" s="2"/>
      <c r="F6" s="3"/>
      <c r="G6" s="2"/>
      <c r="H6" s="2"/>
      <c r="I6" s="2"/>
      <c r="J6" s="3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169</v>
      </c>
      <c r="C8" s="31" t="s">
        <v>68</v>
      </c>
      <c r="D8" s="31" t="s">
        <v>68</v>
      </c>
      <c r="E8" s="31" t="s">
        <v>243</v>
      </c>
      <c r="F8" s="32"/>
      <c r="G8" s="31" t="s">
        <v>243</v>
      </c>
      <c r="H8" s="31" t="s">
        <v>243</v>
      </c>
      <c r="I8" s="31" t="s">
        <v>243</v>
      </c>
      <c r="J8" s="32"/>
      <c r="K8" s="31" t="s">
        <v>243</v>
      </c>
      <c r="L8" s="31" t="s">
        <v>243</v>
      </c>
      <c r="M8" s="31" t="s">
        <v>243</v>
      </c>
      <c r="N8" s="31" t="s">
        <v>243</v>
      </c>
      <c r="O8" s="31" t="s">
        <v>243</v>
      </c>
      <c r="P8" s="31" t="s">
        <v>243</v>
      </c>
      <c r="Q8" s="31" t="s">
        <v>243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244</v>
      </c>
      <c r="AB8" s="32"/>
      <c r="AC8" s="32"/>
      <c r="AD8" s="32"/>
      <c r="AE8" s="32"/>
      <c r="AF8" s="32"/>
      <c r="AG8" s="32"/>
      <c r="AH8" s="31" t="s">
        <v>68</v>
      </c>
    </row>
    <row x14ac:dyDescent="0.25" r="9" customHeight="1" ht="18.75">
      <c r="A9" s="30" t="s">
        <v>45</v>
      </c>
      <c r="B9" s="33" t="s">
        <v>468</v>
      </c>
      <c r="C9" s="31" t="s">
        <v>132</v>
      </c>
      <c r="D9" s="31" t="s">
        <v>132</v>
      </c>
      <c r="E9" s="33" t="s">
        <v>243</v>
      </c>
      <c r="F9" s="34"/>
      <c r="G9" s="33" t="s">
        <v>243</v>
      </c>
      <c r="H9" s="33" t="s">
        <v>243</v>
      </c>
      <c r="I9" s="33" t="s">
        <v>243</v>
      </c>
      <c r="J9" s="34"/>
      <c r="K9" s="33" t="s">
        <v>243</v>
      </c>
      <c r="L9" s="33" t="s">
        <v>243</v>
      </c>
      <c r="M9" s="33" t="s">
        <v>243</v>
      </c>
      <c r="N9" s="33" t="s">
        <v>243</v>
      </c>
      <c r="O9" s="33" t="s">
        <v>243</v>
      </c>
      <c r="P9" s="33" t="s">
        <v>243</v>
      </c>
      <c r="Q9" s="33" t="s">
        <v>243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244</v>
      </c>
      <c r="AB9" s="34"/>
      <c r="AC9" s="34"/>
      <c r="AD9" s="34"/>
      <c r="AE9" s="34"/>
      <c r="AF9" s="34"/>
      <c r="AG9" s="34"/>
      <c r="AH9" s="31" t="s">
        <v>132</v>
      </c>
    </row>
    <row x14ac:dyDescent="0.25" r="10" customHeight="1" ht="18.75">
      <c r="A10" s="35" t="s">
        <v>47</v>
      </c>
      <c r="B10" s="117">
        <v>114</v>
      </c>
      <c r="C10" s="117">
        <v>98</v>
      </c>
      <c r="D10" s="117">
        <v>98</v>
      </c>
      <c r="E10" s="117">
        <v>42</v>
      </c>
      <c r="F10" s="37"/>
      <c r="G10" s="117">
        <v>42</v>
      </c>
      <c r="H10" s="117">
        <v>42</v>
      </c>
      <c r="I10" s="117">
        <v>42</v>
      </c>
      <c r="J10" s="37"/>
      <c r="K10" s="117">
        <v>42</v>
      </c>
      <c r="L10" s="117">
        <v>42</v>
      </c>
      <c r="M10" s="117">
        <v>42</v>
      </c>
      <c r="N10" s="117">
        <v>42</v>
      </c>
      <c r="O10" s="117">
        <v>42</v>
      </c>
      <c r="P10" s="117">
        <v>42</v>
      </c>
      <c r="Q10" s="117">
        <v>42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208</v>
      </c>
      <c r="AB10" s="37"/>
      <c r="AC10" s="37"/>
      <c r="AD10" s="37"/>
      <c r="AE10" s="37"/>
      <c r="AF10" s="37"/>
      <c r="AG10" s="37"/>
      <c r="AH10" s="117">
        <v>98</v>
      </c>
    </row>
    <row x14ac:dyDescent="0.25" r="11" customHeight="1" ht="18.75">
      <c r="A11" s="30" t="s">
        <v>123</v>
      </c>
      <c r="B11" s="31" t="s">
        <v>52</v>
      </c>
      <c r="C11" s="33" t="s">
        <v>52</v>
      </c>
      <c r="D11" s="33" t="s">
        <v>52</v>
      </c>
      <c r="E11" s="33" t="s">
        <v>52</v>
      </c>
      <c r="F11" s="32"/>
      <c r="G11" s="33" t="s">
        <v>52</v>
      </c>
      <c r="H11" s="33" t="s">
        <v>52</v>
      </c>
      <c r="I11" s="33" t="s">
        <v>52</v>
      </c>
      <c r="J11" s="32"/>
      <c r="K11" s="33" t="s">
        <v>52</v>
      </c>
      <c r="L11" s="33" t="s">
        <v>52</v>
      </c>
      <c r="M11" s="33" t="s">
        <v>52</v>
      </c>
      <c r="N11" s="33" t="s">
        <v>52</v>
      </c>
      <c r="O11" s="33" t="s">
        <v>52</v>
      </c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1" t="s">
        <v>49</v>
      </c>
      <c r="F12" s="32"/>
      <c r="G12" s="31" t="s">
        <v>49</v>
      </c>
      <c r="H12" s="31" t="s">
        <v>49</v>
      </c>
      <c r="I12" s="31" t="s">
        <v>49</v>
      </c>
      <c r="J12" s="32"/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2"/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2"/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133</v>
      </c>
      <c r="D15" s="31" t="s">
        <v>133</v>
      </c>
      <c r="E15" s="31" t="s">
        <v>140</v>
      </c>
      <c r="F15" s="32"/>
      <c r="G15" s="31" t="s">
        <v>140</v>
      </c>
      <c r="H15" s="31" t="s">
        <v>140</v>
      </c>
      <c r="I15" s="31" t="s">
        <v>140</v>
      </c>
      <c r="J15" s="32"/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2.75</v>
      </c>
      <c r="C16" s="31">
        <v>-2</v>
      </c>
      <c r="D16" s="31">
        <v>-2</v>
      </c>
      <c r="E16" s="31">
        <v>2.5</v>
      </c>
      <c r="F16" s="31"/>
      <c r="G16" s="31">
        <v>2.5</v>
      </c>
      <c r="H16" s="31">
        <v>2.5</v>
      </c>
      <c r="I16" s="31">
        <v>2.5</v>
      </c>
      <c r="J16" s="31"/>
      <c r="K16" s="31">
        <v>2.5</v>
      </c>
      <c r="L16" s="31">
        <v>2.5</v>
      </c>
      <c r="M16" s="31">
        <v>2.5</v>
      </c>
      <c r="N16" s="31">
        <v>2.5</v>
      </c>
      <c r="O16" s="31">
        <v>2.5</v>
      </c>
      <c r="P16" s="31">
        <v>2.5</v>
      </c>
      <c r="Q16" s="31">
        <v>2.5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2.5</v>
      </c>
      <c r="AB16" s="31"/>
      <c r="AC16" s="31"/>
      <c r="AD16" s="31"/>
      <c r="AE16" s="31"/>
      <c r="AF16" s="31"/>
      <c r="AG16" s="31"/>
      <c r="AH16" s="31">
        <v>-2</v>
      </c>
    </row>
    <row x14ac:dyDescent="0.25" r="17" customHeight="1" ht="18.75">
      <c r="A17" s="30" t="s">
        <v>129</v>
      </c>
      <c r="B17" s="31" t="s">
        <v>169</v>
      </c>
      <c r="C17" s="31" t="s">
        <v>134</v>
      </c>
      <c r="D17" s="31" t="s">
        <v>134</v>
      </c>
      <c r="E17" s="31" t="s">
        <v>169</v>
      </c>
      <c r="F17" s="32"/>
      <c r="G17" s="31" t="s">
        <v>169</v>
      </c>
      <c r="H17" s="31" t="s">
        <v>169</v>
      </c>
      <c r="I17" s="31" t="s">
        <v>169</v>
      </c>
      <c r="J17" s="32"/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213</v>
      </c>
      <c r="AB17" s="32"/>
      <c r="AC17" s="32"/>
      <c r="AD17" s="32"/>
      <c r="AE17" s="32"/>
      <c r="AF17" s="32"/>
      <c r="AG17" s="32"/>
      <c r="AH17" s="31" t="s">
        <v>134</v>
      </c>
    </row>
    <row x14ac:dyDescent="0.25" r="18" customHeight="1" ht="18.75">
      <c r="A18" s="30" t="s">
        <v>130</v>
      </c>
      <c r="B18" s="31">
        <v>2</v>
      </c>
      <c r="C18" s="31">
        <f>1/3</f>
      </c>
      <c r="D18" s="31">
        <f>1/3</f>
      </c>
      <c r="E18" s="31">
        <v>2</v>
      </c>
      <c r="F18" s="31"/>
      <c r="G18" s="31">
        <v>2</v>
      </c>
      <c r="H18" s="31">
        <v>2</v>
      </c>
      <c r="I18" s="31">
        <v>2</v>
      </c>
      <c r="J18" s="31"/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2.5</v>
      </c>
      <c r="AB18" s="31"/>
      <c r="AC18" s="31"/>
      <c r="AD18" s="31"/>
      <c r="AE18" s="31"/>
      <c r="AF18" s="31"/>
      <c r="AG18" s="31"/>
      <c r="AH18" s="31">
        <f>1/3</f>
      </c>
    </row>
    <row x14ac:dyDescent="0.25" r="19" customHeight="1" ht="18.75">
      <c r="A19" s="46"/>
      <c r="B19" s="2"/>
      <c r="C19" s="2"/>
      <c r="D19" s="2"/>
      <c r="E19" s="2"/>
      <c r="F19" s="3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0" t="s">
        <v>43</v>
      </c>
      <c r="B20" s="31" t="s">
        <v>131</v>
      </c>
      <c r="C20" s="31" t="s">
        <v>243</v>
      </c>
      <c r="D20" s="31" t="s">
        <v>243</v>
      </c>
      <c r="E20" s="31" t="s">
        <v>68</v>
      </c>
      <c r="F20" s="32"/>
      <c r="G20" s="31" t="s">
        <v>68</v>
      </c>
      <c r="H20" s="31" t="s">
        <v>68</v>
      </c>
      <c r="I20" s="31" t="s">
        <v>68</v>
      </c>
      <c r="J20" s="32"/>
      <c r="K20" s="31" t="s">
        <v>68</v>
      </c>
      <c r="L20" s="31" t="s">
        <v>68</v>
      </c>
      <c r="M20" s="31" t="s">
        <v>68</v>
      </c>
      <c r="N20" s="31" t="s">
        <v>68</v>
      </c>
      <c r="O20" s="31" t="s">
        <v>68</v>
      </c>
      <c r="P20" s="31" t="s">
        <v>68</v>
      </c>
      <c r="Q20" s="31" t="s">
        <v>68</v>
      </c>
      <c r="R20" s="32"/>
      <c r="S20" s="32"/>
      <c r="T20" s="32"/>
      <c r="U20" s="32"/>
      <c r="V20" s="32"/>
      <c r="W20" s="32"/>
      <c r="X20" s="32"/>
      <c r="Y20" s="32"/>
      <c r="Z20" s="32"/>
      <c r="AA20" s="31" t="s">
        <v>68</v>
      </c>
      <c r="AB20" s="32"/>
      <c r="AC20" s="32"/>
      <c r="AD20" s="32"/>
      <c r="AE20" s="32"/>
      <c r="AF20" s="32"/>
      <c r="AG20" s="32"/>
      <c r="AH20" s="31" t="s">
        <v>243</v>
      </c>
    </row>
    <row x14ac:dyDescent="0.25" r="21" customHeight="1" ht="18.75">
      <c r="A21" s="30" t="s">
        <v>45</v>
      </c>
      <c r="B21" s="31" t="s">
        <v>132</v>
      </c>
      <c r="C21" s="33" t="s">
        <v>243</v>
      </c>
      <c r="D21" s="33" t="s">
        <v>243</v>
      </c>
      <c r="E21" s="31" t="s">
        <v>132</v>
      </c>
      <c r="F21" s="34"/>
      <c r="G21" s="31" t="s">
        <v>132</v>
      </c>
      <c r="H21" s="31" t="s">
        <v>132</v>
      </c>
      <c r="I21" s="31" t="s">
        <v>132</v>
      </c>
      <c r="J21" s="34"/>
      <c r="K21" s="33" t="s">
        <v>368</v>
      </c>
      <c r="L21" s="33" t="s">
        <v>368</v>
      </c>
      <c r="M21" s="33" t="s">
        <v>368</v>
      </c>
      <c r="N21" s="31" t="s">
        <v>132</v>
      </c>
      <c r="O21" s="31" t="s">
        <v>132</v>
      </c>
      <c r="P21" s="33" t="s">
        <v>368</v>
      </c>
      <c r="Q21" s="33" t="s">
        <v>368</v>
      </c>
      <c r="R21" s="34"/>
      <c r="S21" s="34"/>
      <c r="T21" s="34"/>
      <c r="U21" s="34"/>
      <c r="V21" s="34"/>
      <c r="W21" s="34"/>
      <c r="X21" s="34"/>
      <c r="Y21" s="34"/>
      <c r="Z21" s="34"/>
      <c r="AA21" s="31" t="s">
        <v>132</v>
      </c>
      <c r="AB21" s="34"/>
      <c r="AC21" s="34"/>
      <c r="AD21" s="34"/>
      <c r="AE21" s="34"/>
      <c r="AF21" s="34"/>
      <c r="AG21" s="34"/>
      <c r="AH21" s="33" t="s">
        <v>243</v>
      </c>
    </row>
    <row x14ac:dyDescent="0.25" r="22" customHeight="1" ht="18.75">
      <c r="A22" s="35" t="s">
        <v>47</v>
      </c>
      <c r="B22" s="117">
        <v>98</v>
      </c>
      <c r="C22" s="117">
        <v>42</v>
      </c>
      <c r="D22" s="117">
        <v>42</v>
      </c>
      <c r="E22" s="117">
        <v>98</v>
      </c>
      <c r="F22" s="37"/>
      <c r="G22" s="117">
        <v>98</v>
      </c>
      <c r="H22" s="117">
        <v>98</v>
      </c>
      <c r="I22" s="117">
        <v>98</v>
      </c>
      <c r="J22" s="37"/>
      <c r="K22" s="117">
        <v>151</v>
      </c>
      <c r="L22" s="117">
        <v>151</v>
      </c>
      <c r="M22" s="117">
        <v>151</v>
      </c>
      <c r="N22" s="117">
        <v>98</v>
      </c>
      <c r="O22" s="117">
        <v>98</v>
      </c>
      <c r="P22" s="117">
        <v>151</v>
      </c>
      <c r="Q22" s="117">
        <v>151</v>
      </c>
      <c r="R22" s="37"/>
      <c r="S22" s="37"/>
      <c r="T22" s="37"/>
      <c r="U22" s="37"/>
      <c r="V22" s="37"/>
      <c r="W22" s="37"/>
      <c r="X22" s="37"/>
      <c r="Y22" s="37"/>
      <c r="Z22" s="37"/>
      <c r="AA22" s="117">
        <v>98</v>
      </c>
      <c r="AB22" s="37"/>
      <c r="AC22" s="37"/>
      <c r="AD22" s="37"/>
      <c r="AE22" s="37"/>
      <c r="AF22" s="37"/>
      <c r="AG22" s="37"/>
      <c r="AH22" s="117">
        <v>42</v>
      </c>
    </row>
    <row x14ac:dyDescent="0.25" r="23" customHeight="1" ht="18.75">
      <c r="A23" s="30" t="s">
        <v>123</v>
      </c>
      <c r="B23" s="33" t="s">
        <v>52</v>
      </c>
      <c r="C23" s="33" t="s">
        <v>52</v>
      </c>
      <c r="D23" s="33" t="s">
        <v>52</v>
      </c>
      <c r="E23" s="33" t="s">
        <v>52</v>
      </c>
      <c r="F23" s="32"/>
      <c r="G23" s="33" t="s">
        <v>52</v>
      </c>
      <c r="H23" s="33" t="s">
        <v>52</v>
      </c>
      <c r="I23" s="33" t="s">
        <v>52</v>
      </c>
      <c r="J23" s="32"/>
      <c r="K23" s="33" t="s">
        <v>162</v>
      </c>
      <c r="L23" s="33" t="s">
        <v>162</v>
      </c>
      <c r="M23" s="33" t="s">
        <v>162</v>
      </c>
      <c r="N23" s="33" t="s">
        <v>52</v>
      </c>
      <c r="O23" s="33" t="s">
        <v>52</v>
      </c>
      <c r="P23" s="33" t="s">
        <v>162</v>
      </c>
      <c r="Q23" s="33" t="s">
        <v>162</v>
      </c>
      <c r="R23" s="32"/>
      <c r="S23" s="32"/>
      <c r="T23" s="32"/>
      <c r="U23" s="32"/>
      <c r="V23" s="32"/>
      <c r="W23" s="32"/>
      <c r="X23" s="32"/>
      <c r="Y23" s="32"/>
      <c r="Z23" s="32"/>
      <c r="AA23" s="33" t="s">
        <v>52</v>
      </c>
      <c r="AB23" s="32"/>
      <c r="AC23" s="34"/>
      <c r="AD23" s="32"/>
      <c r="AE23" s="34"/>
      <c r="AF23" s="32"/>
      <c r="AG23" s="32"/>
      <c r="AH23" s="33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49</v>
      </c>
      <c r="D24" s="31" t="s">
        <v>49</v>
      </c>
      <c r="E24" s="31" t="s">
        <v>52</v>
      </c>
      <c r="F24" s="32"/>
      <c r="G24" s="31" t="s">
        <v>52</v>
      </c>
      <c r="H24" s="31" t="s">
        <v>52</v>
      </c>
      <c r="I24" s="31" t="s">
        <v>52</v>
      </c>
      <c r="J24" s="32"/>
      <c r="K24" s="31" t="s">
        <v>162</v>
      </c>
      <c r="L24" s="31" t="s">
        <v>162</v>
      </c>
      <c r="M24" s="31" t="s">
        <v>162</v>
      </c>
      <c r="N24" s="31" t="s">
        <v>52</v>
      </c>
      <c r="O24" s="31" t="s">
        <v>52</v>
      </c>
      <c r="P24" s="31" t="s">
        <v>162</v>
      </c>
      <c r="Q24" s="31" t="s">
        <v>162</v>
      </c>
      <c r="R24" s="32"/>
      <c r="S24" s="32"/>
      <c r="T24" s="32"/>
      <c r="U24" s="32"/>
      <c r="V24" s="32"/>
      <c r="W24" s="32"/>
      <c r="X24" s="32"/>
      <c r="Y24" s="32"/>
      <c r="Z24" s="32"/>
      <c r="AA24" s="31" t="s">
        <v>52</v>
      </c>
      <c r="AB24" s="32"/>
      <c r="AC24" s="32"/>
      <c r="AD24" s="32"/>
      <c r="AE24" s="32"/>
      <c r="AF24" s="32"/>
      <c r="AG24" s="32"/>
      <c r="AH24" s="31" t="s">
        <v>49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2"/>
      <c r="G25" s="31" t="s">
        <v>49</v>
      </c>
      <c r="H25" s="31" t="s">
        <v>49</v>
      </c>
      <c r="I25" s="31" t="s">
        <v>49</v>
      </c>
      <c r="J25" s="32"/>
      <c r="K25" s="31" t="s">
        <v>49</v>
      </c>
      <c r="L25" s="31" t="s">
        <v>49</v>
      </c>
      <c r="M25" s="31" t="s">
        <v>49</v>
      </c>
      <c r="N25" s="31" t="s">
        <v>49</v>
      </c>
      <c r="O25" s="31" t="s">
        <v>49</v>
      </c>
      <c r="P25" s="31" t="s">
        <v>49</v>
      </c>
      <c r="Q25" s="31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31" t="s">
        <v>49</v>
      </c>
      <c r="AB25" s="32"/>
      <c r="AC25" s="32"/>
      <c r="AD25" s="32"/>
      <c r="AE25" s="32"/>
      <c r="AF25" s="32"/>
      <c r="AG25" s="32"/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2"/>
      <c r="G26" s="31" t="s">
        <v>49</v>
      </c>
      <c r="H26" s="31" t="s">
        <v>49</v>
      </c>
      <c r="I26" s="31" t="s">
        <v>49</v>
      </c>
      <c r="J26" s="32"/>
      <c r="K26" s="31" t="s">
        <v>49</v>
      </c>
      <c r="L26" s="31" t="s">
        <v>49</v>
      </c>
      <c r="M26" s="31" t="s">
        <v>49</v>
      </c>
      <c r="N26" s="31" t="s">
        <v>49</v>
      </c>
      <c r="O26" s="31" t="s">
        <v>49</v>
      </c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31" t="s">
        <v>49</v>
      </c>
      <c r="AB26" s="32"/>
      <c r="AC26" s="32"/>
      <c r="AD26" s="32"/>
      <c r="AE26" s="32"/>
      <c r="AF26" s="32"/>
      <c r="AG26" s="32"/>
      <c r="AH26" s="31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140</v>
      </c>
      <c r="D27" s="31" t="s">
        <v>140</v>
      </c>
      <c r="E27" s="31" t="s">
        <v>133</v>
      </c>
      <c r="F27" s="32"/>
      <c r="G27" s="31" t="s">
        <v>133</v>
      </c>
      <c r="H27" s="31" t="s">
        <v>133</v>
      </c>
      <c r="I27" s="31" t="s">
        <v>133</v>
      </c>
      <c r="J27" s="32"/>
      <c r="K27" s="31" t="s">
        <v>133</v>
      </c>
      <c r="L27" s="31" t="s">
        <v>133</v>
      </c>
      <c r="M27" s="31" t="s">
        <v>133</v>
      </c>
      <c r="N27" s="31" t="s">
        <v>133</v>
      </c>
      <c r="O27" s="31" t="s">
        <v>133</v>
      </c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31" t="s">
        <v>133</v>
      </c>
      <c r="AB27" s="32"/>
      <c r="AC27" s="32"/>
      <c r="AD27" s="32"/>
      <c r="AE27" s="32"/>
      <c r="AF27" s="32"/>
      <c r="AG27" s="32"/>
      <c r="AH27" s="31" t="s">
        <v>140</v>
      </c>
    </row>
    <row x14ac:dyDescent="0.25" r="28" customHeight="1" ht="18.75">
      <c r="A28" s="30" t="s">
        <v>128</v>
      </c>
      <c r="B28" s="31">
        <v>-2</v>
      </c>
      <c r="C28" s="31">
        <v>2.5</v>
      </c>
      <c r="D28" s="31">
        <v>2.5</v>
      </c>
      <c r="E28" s="31">
        <v>-2</v>
      </c>
      <c r="F28" s="31"/>
      <c r="G28" s="31">
        <v>-2</v>
      </c>
      <c r="H28" s="31">
        <v>-2</v>
      </c>
      <c r="I28" s="31">
        <v>-2</v>
      </c>
      <c r="J28" s="31"/>
      <c r="K28" s="31">
        <v>-2</v>
      </c>
      <c r="L28" s="31">
        <v>-2</v>
      </c>
      <c r="M28" s="31">
        <v>-2</v>
      </c>
      <c r="N28" s="31">
        <v>-2</v>
      </c>
      <c r="O28" s="31">
        <v>-2</v>
      </c>
      <c r="P28" s="31">
        <v>-2</v>
      </c>
      <c r="Q28" s="31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31">
        <v>-2</v>
      </c>
      <c r="AB28" s="31"/>
      <c r="AC28" s="31"/>
      <c r="AD28" s="31"/>
      <c r="AE28" s="31"/>
      <c r="AF28" s="31"/>
      <c r="AG28" s="31"/>
      <c r="AH28" s="31">
        <v>2.5</v>
      </c>
    </row>
    <row x14ac:dyDescent="0.25" r="29" customHeight="1" ht="18.75">
      <c r="A29" s="30" t="s">
        <v>129</v>
      </c>
      <c r="B29" s="31" t="s">
        <v>134</v>
      </c>
      <c r="C29" s="31" t="s">
        <v>169</v>
      </c>
      <c r="D29" s="31" t="s">
        <v>169</v>
      </c>
      <c r="E29" s="31" t="s">
        <v>134</v>
      </c>
      <c r="F29" s="32"/>
      <c r="G29" s="31" t="s">
        <v>134</v>
      </c>
      <c r="H29" s="31" t="s">
        <v>134</v>
      </c>
      <c r="I29" s="31" t="s">
        <v>134</v>
      </c>
      <c r="J29" s="32"/>
      <c r="K29" s="33" t="s">
        <v>369</v>
      </c>
      <c r="L29" s="33" t="s">
        <v>369</v>
      </c>
      <c r="M29" s="33" t="s">
        <v>369</v>
      </c>
      <c r="N29" s="31" t="s">
        <v>134</v>
      </c>
      <c r="O29" s="31" t="s">
        <v>134</v>
      </c>
      <c r="P29" s="33" t="s">
        <v>369</v>
      </c>
      <c r="Q29" s="33" t="s">
        <v>369</v>
      </c>
      <c r="R29" s="32"/>
      <c r="S29" s="32"/>
      <c r="T29" s="32"/>
      <c r="U29" s="32"/>
      <c r="V29" s="32"/>
      <c r="W29" s="32"/>
      <c r="X29" s="32"/>
      <c r="Y29" s="32"/>
      <c r="Z29" s="32"/>
      <c r="AA29" s="31" t="s">
        <v>134</v>
      </c>
      <c r="AB29" s="32"/>
      <c r="AC29" s="32"/>
      <c r="AD29" s="32"/>
      <c r="AE29" s="32"/>
      <c r="AF29" s="32"/>
      <c r="AG29" s="32"/>
      <c r="AH29" s="31" t="s">
        <v>169</v>
      </c>
    </row>
    <row x14ac:dyDescent="0.25" r="30" customHeight="1" ht="18.75">
      <c r="A30" s="30" t="s">
        <v>130</v>
      </c>
      <c r="B30" s="31">
        <f>1/3</f>
      </c>
      <c r="C30" s="31">
        <v>2</v>
      </c>
      <c r="D30" s="31">
        <v>2</v>
      </c>
      <c r="E30" s="31">
        <f>1/3</f>
      </c>
      <c r="F30" s="31"/>
      <c r="G30" s="31">
        <f>1/3</f>
      </c>
      <c r="H30" s="31">
        <f>1/3</f>
      </c>
      <c r="I30" s="31">
        <f>1/3</f>
      </c>
      <c r="J30" s="31"/>
      <c r="K30" s="31">
        <f>AVERAGE(1/3,0)</f>
      </c>
      <c r="L30" s="31">
        <f>AVERAGE(1/3,0)</f>
      </c>
      <c r="M30" s="31">
        <f>AVERAGE(1/3,0)</f>
      </c>
      <c r="N30" s="31">
        <f>1/3</f>
      </c>
      <c r="O30" s="31">
        <f>1/3</f>
      </c>
      <c r="P30" s="31">
        <f>AVERAGE(1/3,0)</f>
      </c>
      <c r="Q30" s="31">
        <f>AVERAGE(1/3,0)</f>
      </c>
      <c r="R30" s="31"/>
      <c r="S30" s="31"/>
      <c r="T30" s="31"/>
      <c r="U30" s="31"/>
      <c r="V30" s="31"/>
      <c r="W30" s="31"/>
      <c r="X30" s="31"/>
      <c r="Y30" s="31"/>
      <c r="Z30" s="31"/>
      <c r="AA30" s="31">
        <f>1/3</f>
      </c>
      <c r="AB30" s="31"/>
      <c r="AC30" s="31"/>
      <c r="AD30" s="31"/>
      <c r="AE30" s="31"/>
      <c r="AF30" s="31"/>
      <c r="AG30" s="31"/>
      <c r="AH30" s="31">
        <v>2</v>
      </c>
    </row>
    <row x14ac:dyDescent="0.25" r="31" customHeight="1" ht="18.75">
      <c r="A31" s="46"/>
      <c r="B31" s="2"/>
      <c r="C31" s="2"/>
      <c r="D31" s="2"/>
      <c r="E31" s="2"/>
      <c r="F31" s="3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3"/>
      <c r="AD31" s="3"/>
      <c r="AE31" s="3"/>
      <c r="AF31" s="3"/>
      <c r="AG31" s="3"/>
      <c r="AH31" s="2"/>
    </row>
    <row x14ac:dyDescent="0.25" r="32" customHeight="1" ht="18.75">
      <c r="A32" s="38" t="s">
        <v>64</v>
      </c>
      <c r="B32" s="2"/>
      <c r="C32" s="2"/>
      <c r="D32" s="2"/>
      <c r="E32" s="2"/>
      <c r="F32" s="3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3"/>
      <c r="AH32" s="2"/>
    </row>
    <row x14ac:dyDescent="0.25" r="33" customHeight="1" ht="18.75">
      <c r="A33" s="30" t="s">
        <v>469</v>
      </c>
      <c r="B33" s="40" t="s">
        <v>470</v>
      </c>
      <c r="C33" s="150"/>
      <c r="D33" s="2"/>
      <c r="E33" s="2"/>
      <c r="F33" s="3"/>
      <c r="G33" s="2"/>
      <c r="H33" s="150"/>
      <c r="I33" s="2"/>
      <c r="J33" s="3"/>
      <c r="K33" s="2"/>
      <c r="L33" s="2"/>
      <c r="M33" s="150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3"/>
      <c r="AH33" s="2"/>
    </row>
    <row x14ac:dyDescent="0.25" r="34" customHeight="1" ht="18.75">
      <c r="A34" s="157" t="s">
        <v>471</v>
      </c>
      <c r="B34" s="40"/>
      <c r="C34" s="2"/>
      <c r="D34" s="2"/>
      <c r="E34" s="2"/>
      <c r="F34" s="3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3"/>
      <c r="AH34" s="2"/>
    </row>
    <row x14ac:dyDescent="0.25" r="35" customHeight="1" ht="18.75">
      <c r="A35" s="46"/>
      <c r="B35" s="2"/>
      <c r="C35" s="2"/>
      <c r="D35" s="2"/>
      <c r="E35" s="2"/>
      <c r="F35" s="3"/>
      <c r="G35" s="2"/>
      <c r="H35" s="2"/>
      <c r="I35" s="2"/>
      <c r="J35" s="3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3"/>
      <c r="AH35" s="2"/>
    </row>
    <row x14ac:dyDescent="0.25" r="36" customHeight="1" ht="18.75">
      <c r="A36" s="1" t="s">
        <v>416</v>
      </c>
      <c r="B36" s="2"/>
      <c r="C36" s="2"/>
      <c r="D36" s="2"/>
      <c r="E36" s="2"/>
      <c r="F36" s="3"/>
      <c r="G36" s="2"/>
      <c r="H36" s="2"/>
      <c r="I36" s="2"/>
      <c r="J36" s="3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3"/>
      <c r="AH36" s="2"/>
    </row>
    <row x14ac:dyDescent="0.25" r="37" customHeight="1" ht="18.75">
      <c r="A37" s="30" t="s">
        <v>472</v>
      </c>
      <c r="B37" s="2"/>
      <c r="C37" s="150" t="s">
        <v>473</v>
      </c>
      <c r="D37" s="150"/>
      <c r="E37" s="150" t="s">
        <v>474</v>
      </c>
      <c r="F37" s="3"/>
      <c r="G37" s="2"/>
      <c r="H37" s="2"/>
      <c r="I37" s="2"/>
      <c r="J37" s="3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3"/>
      <c r="AA37" s="2"/>
      <c r="AB37" s="3"/>
      <c r="AC37" s="3"/>
      <c r="AD37" s="3"/>
      <c r="AE37" s="3"/>
      <c r="AF37" s="3"/>
      <c r="AG37" s="3"/>
      <c r="AH37" s="2"/>
    </row>
    <row x14ac:dyDescent="0.25" r="38" customHeight="1" ht="18.75">
      <c r="A38" s="30" t="s">
        <v>475</v>
      </c>
      <c r="B38" s="2"/>
      <c r="C38" s="2"/>
      <c r="D38" s="2"/>
      <c r="E38" s="2"/>
      <c r="F38" s="3"/>
      <c r="G38" s="2"/>
      <c r="H38" s="2"/>
      <c r="I38" s="2"/>
      <c r="J38" s="3"/>
      <c r="K38" s="2"/>
      <c r="L38" s="2"/>
      <c r="M38" s="2"/>
      <c r="N38" s="150" t="s">
        <v>476</v>
      </c>
      <c r="O38" s="150" t="s">
        <v>476</v>
      </c>
      <c r="P38" s="2"/>
      <c r="Q38" s="2"/>
      <c r="R38" s="3"/>
      <c r="S38" s="3"/>
      <c r="T38" s="3"/>
      <c r="U38" s="3"/>
      <c r="V38" s="3"/>
      <c r="W38" s="3"/>
      <c r="X38" s="3"/>
      <c r="Y38" s="3"/>
      <c r="Z38" s="3"/>
      <c r="AA38" s="2"/>
      <c r="AB38" s="3"/>
      <c r="AC38" s="3"/>
      <c r="AD38" s="3"/>
      <c r="AE38" s="3"/>
      <c r="AF38" s="3"/>
      <c r="AG38" s="3"/>
      <c r="AH38" s="2"/>
    </row>
    <row x14ac:dyDescent="0.25" r="39" customHeight="1" ht="18.75">
      <c r="A39" s="30" t="s">
        <v>477</v>
      </c>
      <c r="B39" s="2"/>
      <c r="C39" s="2"/>
      <c r="D39" s="2"/>
      <c r="E39" s="2"/>
      <c r="F39" s="3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3"/>
      <c r="AA39" s="2"/>
      <c r="AB39" s="3"/>
      <c r="AC39" s="3"/>
      <c r="AD39" s="3"/>
      <c r="AE39" s="3"/>
      <c r="AF39" s="3"/>
      <c r="AG39" s="3"/>
      <c r="AH39" s="2"/>
    </row>
  </sheetData>
  <mergeCells count="6">
    <mergeCell ref="B3:D3"/>
    <mergeCell ref="F3:O3"/>
    <mergeCell ref="B4:D4"/>
    <mergeCell ref="F4:O5"/>
    <mergeCell ref="B5:D5"/>
    <mergeCell ref="C37:D37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49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151" width="13.576428571428572" customWidth="1" bestFit="1"/>
    <col min="4" max="4" style="151" width="13.576428571428572" customWidth="1" bestFit="1"/>
    <col min="5" max="5" style="151" width="13.576428571428572" customWidth="1" bestFit="1"/>
    <col min="6" max="6" style="57" width="13.576428571428572" customWidth="1" bestFit="1"/>
    <col min="7" max="7" style="151" width="13.576428571428572" customWidth="1" bestFit="1"/>
    <col min="8" max="8" style="151" width="13.576428571428572" customWidth="1" bestFit="1"/>
    <col min="9" max="9" style="151" width="13.576428571428572" customWidth="1" bestFit="1"/>
    <col min="10" max="10" style="57" width="13.576428571428572" customWidth="1" bestFit="1"/>
    <col min="11" max="11" style="151" width="13.576428571428572" customWidth="1" bestFit="1"/>
    <col min="12" max="12" style="151" width="13.576428571428572" customWidth="1" bestFit="1"/>
    <col min="13" max="13" style="151" width="13.576428571428572" customWidth="1" bestFit="1"/>
    <col min="14" max="14" style="57" width="13.576428571428572" customWidth="1" bestFit="1"/>
    <col min="15" max="15" style="57" width="13.576428571428572" customWidth="1" bestFit="1"/>
    <col min="16" max="16" style="151" width="13.576428571428572" customWidth="1" bestFit="1"/>
    <col min="17" max="17" style="151" width="13.576428571428572" customWidth="1" bestFit="1"/>
    <col min="18" max="18" style="57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151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</cols>
  <sheetData>
    <row x14ac:dyDescent="0.25" r="1" customHeight="1" ht="18.75">
      <c r="A1" s="1" t="s">
        <v>70</v>
      </c>
      <c r="B1" s="2"/>
      <c r="C1" s="149"/>
      <c r="D1" s="45" t="s">
        <v>71</v>
      </c>
      <c r="E1" s="149"/>
      <c r="F1" s="46"/>
      <c r="G1" s="149"/>
      <c r="H1" s="149"/>
      <c r="I1" s="45" t="s">
        <v>136</v>
      </c>
      <c r="J1" s="46"/>
      <c r="K1" s="149"/>
      <c r="L1" s="149"/>
      <c r="M1" s="149"/>
      <c r="N1" s="46"/>
      <c r="O1" s="46"/>
      <c r="P1" s="149"/>
      <c r="Q1" s="149"/>
      <c r="R1" s="46"/>
      <c r="S1" s="3"/>
      <c r="T1" s="3"/>
      <c r="U1" s="3"/>
      <c r="V1" s="3"/>
      <c r="W1" s="3"/>
      <c r="X1" s="3"/>
      <c r="Y1" s="3"/>
      <c r="Z1" s="3"/>
      <c r="AA1" s="149"/>
      <c r="AB1" s="2"/>
      <c r="AC1" s="2"/>
      <c r="AD1" s="2"/>
      <c r="AE1" s="2"/>
      <c r="AF1" s="3"/>
      <c r="AG1" s="2"/>
      <c r="AH1" s="2"/>
      <c r="AI1" s="3"/>
      <c r="AJ1" s="2"/>
      <c r="AK1" s="2"/>
      <c r="AL1" s="2"/>
    </row>
    <row x14ac:dyDescent="0.25" r="2" customHeight="1" ht="18.75">
      <c r="A2" s="46"/>
      <c r="B2" s="2"/>
      <c r="C2" s="149"/>
      <c r="D2" s="149"/>
      <c r="E2" s="149"/>
      <c r="F2" s="46"/>
      <c r="G2" s="149"/>
      <c r="H2" s="149"/>
      <c r="I2" s="149"/>
      <c r="J2" s="46"/>
      <c r="K2" s="149"/>
      <c r="L2" s="149"/>
      <c r="M2" s="149"/>
      <c r="N2" s="46"/>
      <c r="O2" s="46"/>
      <c r="P2" s="149"/>
      <c r="Q2" s="149"/>
      <c r="R2" s="46"/>
      <c r="S2" s="3"/>
      <c r="T2" s="3"/>
      <c r="U2" s="3"/>
      <c r="V2" s="3"/>
      <c r="W2" s="3"/>
      <c r="X2" s="3"/>
      <c r="Y2" s="3"/>
      <c r="Z2" s="3"/>
      <c r="AA2" s="149"/>
      <c r="AB2" s="2"/>
      <c r="AC2" s="2"/>
      <c r="AD2" s="2"/>
      <c r="AE2" s="2"/>
      <c r="AF2" s="3"/>
      <c r="AG2" s="2"/>
      <c r="AH2" s="2"/>
      <c r="AI2" s="3"/>
      <c r="AJ2" s="2"/>
      <c r="AK2" s="2"/>
      <c r="AL2" s="2"/>
    </row>
    <row x14ac:dyDescent="0.25" r="3" customHeight="1" ht="18.75">
      <c r="A3" s="1" t="s">
        <v>2</v>
      </c>
      <c r="B3" s="5">
        <v>84</v>
      </c>
      <c r="C3" s="7"/>
      <c r="D3" s="7"/>
      <c r="E3" s="45"/>
      <c r="F3" s="1" t="s">
        <v>3</v>
      </c>
      <c r="G3" s="45"/>
      <c r="H3" s="45"/>
      <c r="I3" s="45"/>
      <c r="J3" s="1"/>
      <c r="K3" s="45"/>
      <c r="L3" s="45"/>
      <c r="M3" s="45"/>
      <c r="N3" s="1"/>
      <c r="O3" s="1"/>
      <c r="P3" s="149"/>
      <c r="Q3" s="149"/>
      <c r="R3" s="46"/>
      <c r="S3" s="3"/>
      <c r="T3" s="3"/>
      <c r="U3" s="3"/>
      <c r="V3" s="3"/>
      <c r="W3" s="3"/>
      <c r="X3" s="3"/>
      <c r="Y3" s="3"/>
      <c r="Z3" s="3"/>
      <c r="AA3" s="149"/>
      <c r="AB3" s="2"/>
      <c r="AC3" s="2"/>
      <c r="AD3" s="2"/>
      <c r="AE3" s="2"/>
      <c r="AF3" s="3"/>
      <c r="AG3" s="2"/>
      <c r="AH3" s="2"/>
      <c r="AI3" s="3"/>
      <c r="AJ3" s="2"/>
      <c r="AK3" s="2"/>
      <c r="AL3" s="2"/>
    </row>
    <row x14ac:dyDescent="0.25" r="4" customHeight="1" ht="18.75">
      <c r="A4" s="1" t="s">
        <v>4</v>
      </c>
      <c r="B4" s="7" t="s">
        <v>399</v>
      </c>
      <c r="C4" s="7"/>
      <c r="D4" s="7"/>
      <c r="E4" s="149"/>
      <c r="F4" s="91" t="s">
        <v>400</v>
      </c>
      <c r="G4" s="92"/>
      <c r="H4" s="92"/>
      <c r="I4" s="92"/>
      <c r="J4" s="93"/>
      <c r="K4" s="92"/>
      <c r="L4" s="92"/>
      <c r="M4" s="92"/>
      <c r="N4" s="93"/>
      <c r="O4" s="93"/>
      <c r="P4" s="125"/>
      <c r="Q4" s="149"/>
      <c r="R4" s="46"/>
      <c r="S4" s="3"/>
      <c r="T4" s="3"/>
      <c r="U4" s="3"/>
      <c r="V4" s="3"/>
      <c r="W4" s="3"/>
      <c r="X4" s="3"/>
      <c r="Y4" s="3"/>
      <c r="Z4" s="3"/>
      <c r="AA4" s="149"/>
      <c r="AB4" s="2"/>
      <c r="AC4" s="2"/>
      <c r="AD4" s="2"/>
      <c r="AE4" s="2"/>
      <c r="AF4" s="3"/>
      <c r="AG4" s="2"/>
      <c r="AH4" s="2"/>
      <c r="AI4" s="3"/>
      <c r="AJ4" s="2"/>
      <c r="AK4" s="2"/>
      <c r="AL4" s="2"/>
    </row>
    <row x14ac:dyDescent="0.25" r="5" customHeight="1" ht="18.75">
      <c r="A5" s="1" t="s">
        <v>7</v>
      </c>
      <c r="B5" s="7" t="s">
        <v>75</v>
      </c>
      <c r="C5" s="7"/>
      <c r="D5" s="7"/>
      <c r="E5" s="149"/>
      <c r="F5" s="95"/>
      <c r="G5" s="96"/>
      <c r="H5" s="96"/>
      <c r="I5" s="96"/>
      <c r="J5" s="97"/>
      <c r="K5" s="96"/>
      <c r="L5" s="96"/>
      <c r="M5" s="96"/>
      <c r="N5" s="97"/>
      <c r="O5" s="97"/>
      <c r="P5" s="127"/>
      <c r="Q5" s="149"/>
      <c r="R5" s="46"/>
      <c r="S5" s="3"/>
      <c r="T5" s="3"/>
      <c r="U5" s="3"/>
      <c r="V5" s="3"/>
      <c r="W5" s="3"/>
      <c r="X5" s="3"/>
      <c r="Y5" s="3"/>
      <c r="Z5" s="3"/>
      <c r="AA5" s="149"/>
      <c r="AB5" s="2"/>
      <c r="AC5" s="2"/>
      <c r="AD5" s="2"/>
      <c r="AE5" s="2"/>
      <c r="AF5" s="3"/>
      <c r="AG5" s="2"/>
      <c r="AH5" s="2"/>
      <c r="AI5" s="3"/>
      <c r="AJ5" s="2"/>
      <c r="AK5" s="2"/>
      <c r="AL5" s="2"/>
    </row>
    <row x14ac:dyDescent="0.25" r="6" customHeight="1" ht="18.75">
      <c r="A6" s="46"/>
      <c r="B6" s="2"/>
      <c r="C6" s="149"/>
      <c r="D6" s="149"/>
      <c r="E6" s="149"/>
      <c r="F6" s="46"/>
      <c r="G6" s="149"/>
      <c r="H6" s="149"/>
      <c r="I6" s="149"/>
      <c r="J6" s="46"/>
      <c r="K6" s="149"/>
      <c r="L6" s="149"/>
      <c r="M6" s="149"/>
      <c r="N6" s="46"/>
      <c r="O6" s="46"/>
      <c r="P6" s="149"/>
      <c r="Q6" s="149"/>
      <c r="R6" s="46"/>
      <c r="S6" s="3"/>
      <c r="T6" s="3"/>
      <c r="U6" s="3"/>
      <c r="V6" s="3"/>
      <c r="W6" s="3"/>
      <c r="X6" s="3"/>
      <c r="Y6" s="3"/>
      <c r="Z6" s="3"/>
      <c r="AA6" s="149"/>
      <c r="AB6" s="2"/>
      <c r="AC6" s="2"/>
      <c r="AD6" s="2"/>
      <c r="AE6" s="2"/>
      <c r="AF6" s="3"/>
      <c r="AG6" s="2"/>
      <c r="AH6" s="2"/>
      <c r="AI6" s="3"/>
      <c r="AJ6" s="2"/>
      <c r="AK6" s="2"/>
      <c r="AL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110" t="s">
        <v>40</v>
      </c>
      <c r="AG7" s="112" t="s">
        <v>41</v>
      </c>
      <c r="AH7" s="56" t="s">
        <v>42</v>
      </c>
      <c r="AI7" s="3"/>
      <c r="AJ7" s="49" t="s">
        <v>11</v>
      </c>
      <c r="AK7" s="49" t="s">
        <v>12</v>
      </c>
      <c r="AL7" s="128" t="s">
        <v>13</v>
      </c>
    </row>
    <row x14ac:dyDescent="0.25" r="8" customHeight="1" ht="18.75">
      <c r="A8" s="30" t="s">
        <v>43</v>
      </c>
      <c r="B8" s="31" t="s">
        <v>401</v>
      </c>
      <c r="C8" s="31" t="s">
        <v>68</v>
      </c>
      <c r="D8" s="31" t="s">
        <v>68</v>
      </c>
      <c r="E8" s="31" t="s">
        <v>68</v>
      </c>
      <c r="F8" s="32"/>
      <c r="G8" s="143" t="s">
        <v>358</v>
      </c>
      <c r="H8" s="143" t="s">
        <v>358</v>
      </c>
      <c r="I8" s="143" t="s">
        <v>358</v>
      </c>
      <c r="J8" s="32"/>
      <c r="K8" s="143" t="s">
        <v>358</v>
      </c>
      <c r="L8" s="143" t="s">
        <v>358</v>
      </c>
      <c r="M8" s="143" t="s">
        <v>358</v>
      </c>
      <c r="N8" s="32"/>
      <c r="O8" s="32"/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402</v>
      </c>
      <c r="AB8" s="31" t="s">
        <v>403</v>
      </c>
      <c r="AC8" s="31" t="s">
        <v>207</v>
      </c>
      <c r="AD8" s="31" t="s">
        <v>207</v>
      </c>
      <c r="AE8" s="31" t="s">
        <v>207</v>
      </c>
      <c r="AF8" s="32"/>
      <c r="AG8" s="31" t="s">
        <v>222</v>
      </c>
      <c r="AH8" s="31" t="s">
        <v>224</v>
      </c>
      <c r="AI8" s="3"/>
      <c r="AJ8" s="143" t="s">
        <v>358</v>
      </c>
      <c r="AK8" s="143" t="s">
        <v>358</v>
      </c>
      <c r="AL8" s="143" t="s">
        <v>358</v>
      </c>
    </row>
    <row x14ac:dyDescent="0.25" r="9" customHeight="1" ht="15.75">
      <c r="A9" s="30" t="s">
        <v>45</v>
      </c>
      <c r="B9" s="31" t="s">
        <v>210</v>
      </c>
      <c r="C9" s="31" t="s">
        <v>132</v>
      </c>
      <c r="D9" s="31" t="s">
        <v>132</v>
      </c>
      <c r="E9" s="31" t="s">
        <v>132</v>
      </c>
      <c r="F9" s="34"/>
      <c r="G9" s="143" t="s">
        <v>358</v>
      </c>
      <c r="H9" s="143" t="s">
        <v>358</v>
      </c>
      <c r="I9" s="143" t="s">
        <v>358</v>
      </c>
      <c r="J9" s="34"/>
      <c r="K9" s="143" t="s">
        <v>358</v>
      </c>
      <c r="L9" s="143" t="s">
        <v>358</v>
      </c>
      <c r="M9" s="143" t="s">
        <v>358</v>
      </c>
      <c r="N9" s="34"/>
      <c r="O9" s="34"/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404</v>
      </c>
      <c r="AB9" s="31" t="s">
        <v>227</v>
      </c>
      <c r="AC9" s="31" t="s">
        <v>207</v>
      </c>
      <c r="AD9" s="31" t="s">
        <v>207</v>
      </c>
      <c r="AE9" s="31" t="s">
        <v>207</v>
      </c>
      <c r="AF9" s="34"/>
      <c r="AG9" s="31" t="s">
        <v>227</v>
      </c>
      <c r="AH9" s="31" t="s">
        <v>227</v>
      </c>
      <c r="AI9" s="3"/>
      <c r="AJ9" s="143" t="s">
        <v>358</v>
      </c>
      <c r="AK9" s="143" t="s">
        <v>358</v>
      </c>
      <c r="AL9" s="143" t="s">
        <v>358</v>
      </c>
    </row>
    <row x14ac:dyDescent="0.25" r="10" customHeight="1" ht="18.75">
      <c r="A10" s="35" t="s">
        <v>47</v>
      </c>
      <c r="B10" s="117">
        <v>52</v>
      </c>
      <c r="C10" s="117">
        <v>98</v>
      </c>
      <c r="D10" s="117">
        <v>98</v>
      </c>
      <c r="E10" s="117">
        <v>98</v>
      </c>
      <c r="F10" s="37"/>
      <c r="G10" s="144"/>
      <c r="H10" s="144"/>
      <c r="I10" s="144"/>
      <c r="J10" s="37"/>
      <c r="K10" s="144"/>
      <c r="L10" s="144"/>
      <c r="M10" s="144"/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263</v>
      </c>
      <c r="AB10" s="117">
        <v>56</v>
      </c>
      <c r="AC10" s="117">
        <v>50</v>
      </c>
      <c r="AD10" s="117">
        <v>50</v>
      </c>
      <c r="AE10" s="117">
        <v>50</v>
      </c>
      <c r="AF10" s="37"/>
      <c r="AG10" s="117">
        <v>56</v>
      </c>
      <c r="AH10" s="117">
        <v>56</v>
      </c>
      <c r="AI10" s="3"/>
      <c r="AJ10" s="144"/>
      <c r="AK10" s="144"/>
      <c r="AL10" s="144"/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2"/>
      <c r="G11" s="143" t="s">
        <v>49</v>
      </c>
      <c r="H11" s="143" t="s">
        <v>49</v>
      </c>
      <c r="I11" s="143" t="s">
        <v>49</v>
      </c>
      <c r="J11" s="32"/>
      <c r="K11" s="143" t="s">
        <v>49</v>
      </c>
      <c r="L11" s="143" t="s">
        <v>49</v>
      </c>
      <c r="M11" s="143" t="s">
        <v>49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2"/>
      <c r="AG11" s="31" t="s">
        <v>52</v>
      </c>
      <c r="AH11" s="31" t="s">
        <v>52</v>
      </c>
      <c r="AI11" s="3"/>
      <c r="AJ11" s="143" t="s">
        <v>49</v>
      </c>
      <c r="AK11" s="143" t="s">
        <v>49</v>
      </c>
      <c r="AL11" s="143" t="s">
        <v>49</v>
      </c>
    </row>
    <row x14ac:dyDescent="0.25" r="12" customHeight="1" ht="18.75">
      <c r="A12" s="30" t="s">
        <v>124</v>
      </c>
      <c r="B12" s="31" t="s">
        <v>49</v>
      </c>
      <c r="C12" s="31" t="s">
        <v>52</v>
      </c>
      <c r="D12" s="31" t="s">
        <v>52</v>
      </c>
      <c r="E12" s="31" t="s">
        <v>52</v>
      </c>
      <c r="F12" s="32"/>
      <c r="G12" s="143" t="s">
        <v>49</v>
      </c>
      <c r="H12" s="143" t="s">
        <v>49</v>
      </c>
      <c r="I12" s="143" t="s">
        <v>49</v>
      </c>
      <c r="J12" s="32"/>
      <c r="K12" s="143" t="s">
        <v>49</v>
      </c>
      <c r="L12" s="143" t="s">
        <v>49</v>
      </c>
      <c r="M12" s="143" t="s">
        <v>49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162</v>
      </c>
      <c r="AB12" s="31" t="s">
        <v>49</v>
      </c>
      <c r="AC12" s="33" t="s">
        <v>49</v>
      </c>
      <c r="AD12" s="33" t="s">
        <v>49</v>
      </c>
      <c r="AE12" s="33" t="s">
        <v>49</v>
      </c>
      <c r="AF12" s="32"/>
      <c r="AG12" s="31" t="s">
        <v>49</v>
      </c>
      <c r="AH12" s="31" t="s">
        <v>49</v>
      </c>
      <c r="AI12" s="3"/>
      <c r="AJ12" s="143" t="s">
        <v>49</v>
      </c>
      <c r="AK12" s="143" t="s">
        <v>49</v>
      </c>
      <c r="AL12" s="143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49</v>
      </c>
      <c r="D13" s="31" t="s">
        <v>49</v>
      </c>
      <c r="E13" s="31" t="s">
        <v>49</v>
      </c>
      <c r="F13" s="32"/>
      <c r="G13" s="143" t="s">
        <v>49</v>
      </c>
      <c r="H13" s="143" t="s">
        <v>49</v>
      </c>
      <c r="I13" s="143" t="s">
        <v>49</v>
      </c>
      <c r="J13" s="32"/>
      <c r="K13" s="143" t="s">
        <v>49</v>
      </c>
      <c r="L13" s="143" t="s">
        <v>49</v>
      </c>
      <c r="M13" s="143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1" t="s">
        <v>52</v>
      </c>
      <c r="AC13" s="31" t="s">
        <v>52</v>
      </c>
      <c r="AD13" s="31" t="s">
        <v>52</v>
      </c>
      <c r="AE13" s="31" t="s">
        <v>52</v>
      </c>
      <c r="AF13" s="32"/>
      <c r="AG13" s="31" t="s">
        <v>52</v>
      </c>
      <c r="AH13" s="31" t="s">
        <v>52</v>
      </c>
      <c r="AI13" s="3"/>
      <c r="AJ13" s="143" t="s">
        <v>49</v>
      </c>
      <c r="AK13" s="143" t="s">
        <v>49</v>
      </c>
      <c r="AL13" s="143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2"/>
      <c r="G14" s="143" t="s">
        <v>49</v>
      </c>
      <c r="H14" s="143" t="s">
        <v>49</v>
      </c>
      <c r="I14" s="143" t="s">
        <v>49</v>
      </c>
      <c r="J14" s="32"/>
      <c r="K14" s="143" t="s">
        <v>49</v>
      </c>
      <c r="L14" s="143" t="s">
        <v>49</v>
      </c>
      <c r="M14" s="143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2"/>
      <c r="AG14" s="31" t="s">
        <v>49</v>
      </c>
      <c r="AH14" s="31" t="s">
        <v>49</v>
      </c>
      <c r="AI14" s="3"/>
      <c r="AJ14" s="143" t="s">
        <v>49</v>
      </c>
      <c r="AK14" s="143" t="s">
        <v>49</v>
      </c>
      <c r="AL14" s="143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133</v>
      </c>
      <c r="D15" s="31" t="s">
        <v>133</v>
      </c>
      <c r="E15" s="31" t="s">
        <v>133</v>
      </c>
      <c r="F15" s="32"/>
      <c r="G15" s="143" t="s">
        <v>133</v>
      </c>
      <c r="H15" s="143" t="s">
        <v>133</v>
      </c>
      <c r="I15" s="143" t="s">
        <v>133</v>
      </c>
      <c r="J15" s="32"/>
      <c r="K15" s="143" t="s">
        <v>133</v>
      </c>
      <c r="L15" s="143" t="s">
        <v>133</v>
      </c>
      <c r="M15" s="143" t="s">
        <v>133</v>
      </c>
      <c r="N15" s="32"/>
      <c r="O15" s="32"/>
      <c r="P15" s="143" t="s">
        <v>133</v>
      </c>
      <c r="Q15" s="143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1" t="s">
        <v>133</v>
      </c>
      <c r="AC15" s="31" t="s">
        <v>143</v>
      </c>
      <c r="AD15" s="31" t="s">
        <v>143</v>
      </c>
      <c r="AE15" s="31" t="s">
        <v>143</v>
      </c>
      <c r="AF15" s="32"/>
      <c r="AG15" s="31" t="s">
        <v>133</v>
      </c>
      <c r="AH15" s="31" t="s">
        <v>133</v>
      </c>
      <c r="AI15" s="3"/>
      <c r="AJ15" s="143" t="s">
        <v>133</v>
      </c>
      <c r="AK15" s="143" t="s">
        <v>133</v>
      </c>
      <c r="AL15" s="143" t="s">
        <v>133</v>
      </c>
    </row>
    <row x14ac:dyDescent="0.25" r="16" customHeight="1" ht="18.75">
      <c r="A16" s="30" t="s">
        <v>128</v>
      </c>
      <c r="B16" s="31">
        <v>0.5</v>
      </c>
      <c r="C16" s="31">
        <v>-2</v>
      </c>
      <c r="D16" s="31">
        <v>-2</v>
      </c>
      <c r="E16" s="31">
        <v>-2</v>
      </c>
      <c r="F16" s="31"/>
      <c r="G16" s="143">
        <v>-2</v>
      </c>
      <c r="H16" s="143">
        <v>-2</v>
      </c>
      <c r="I16" s="143">
        <v>-2</v>
      </c>
      <c r="J16" s="31"/>
      <c r="K16" s="143">
        <v>-2</v>
      </c>
      <c r="L16" s="143">
        <v>-2</v>
      </c>
      <c r="M16" s="143">
        <v>-2</v>
      </c>
      <c r="N16" s="31"/>
      <c r="O16" s="31"/>
      <c r="P16" s="143">
        <v>-2</v>
      </c>
      <c r="Q16" s="143">
        <v>-2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>
        <v>-0.5</v>
      </c>
      <c r="AC16" s="31">
        <v>1</v>
      </c>
      <c r="AD16" s="31">
        <v>1</v>
      </c>
      <c r="AE16" s="31">
        <v>1</v>
      </c>
      <c r="AF16" s="31"/>
      <c r="AG16" s="31">
        <v>-0.5</v>
      </c>
      <c r="AH16" s="31">
        <v>-0.5</v>
      </c>
      <c r="AI16" s="3"/>
      <c r="AJ16" s="143">
        <v>-2</v>
      </c>
      <c r="AK16" s="143">
        <v>-2</v>
      </c>
      <c r="AL16" s="143">
        <v>-2</v>
      </c>
    </row>
    <row x14ac:dyDescent="0.25" r="17" customHeight="1" ht="18.75">
      <c r="A17" s="30" t="s">
        <v>129</v>
      </c>
      <c r="B17" s="31" t="s">
        <v>169</v>
      </c>
      <c r="C17" s="31" t="s">
        <v>134</v>
      </c>
      <c r="D17" s="31" t="s">
        <v>134</v>
      </c>
      <c r="E17" s="31" t="s">
        <v>134</v>
      </c>
      <c r="F17" s="32"/>
      <c r="G17" s="146" t="s">
        <v>358</v>
      </c>
      <c r="H17" s="146" t="s">
        <v>358</v>
      </c>
      <c r="I17" s="146" t="s">
        <v>358</v>
      </c>
      <c r="J17" s="32"/>
      <c r="K17" s="146" t="s">
        <v>358</v>
      </c>
      <c r="L17" s="146" t="s">
        <v>358</v>
      </c>
      <c r="M17" s="146" t="s">
        <v>358</v>
      </c>
      <c r="N17" s="32"/>
      <c r="O17" s="32"/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405</v>
      </c>
      <c r="AB17" s="31" t="s">
        <v>169</v>
      </c>
      <c r="AC17" s="31" t="s">
        <v>169</v>
      </c>
      <c r="AD17" s="31" t="s">
        <v>169</v>
      </c>
      <c r="AE17" s="31" t="s">
        <v>169</v>
      </c>
      <c r="AF17" s="32"/>
      <c r="AG17" s="31" t="s">
        <v>169</v>
      </c>
      <c r="AH17" s="31" t="s">
        <v>169</v>
      </c>
      <c r="AI17" s="3"/>
      <c r="AJ17" s="146" t="s">
        <v>358</v>
      </c>
      <c r="AK17" s="146" t="s">
        <v>358</v>
      </c>
      <c r="AL17" s="146" t="s">
        <v>358</v>
      </c>
    </row>
    <row x14ac:dyDescent="0.25" r="18" customHeight="1" ht="18.75">
      <c r="A18" s="30" t="s">
        <v>130</v>
      </c>
      <c r="B18" s="31">
        <v>2</v>
      </c>
      <c r="C18" s="31">
        <f>1/3</f>
      </c>
      <c r="D18" s="31">
        <f>1/3</f>
      </c>
      <c r="E18" s="31">
        <f>1/3</f>
      </c>
      <c r="F18" s="31"/>
      <c r="G18" s="143">
        <v>0</v>
      </c>
      <c r="H18" s="143">
        <v>0</v>
      </c>
      <c r="I18" s="143">
        <v>0</v>
      </c>
      <c r="J18" s="31"/>
      <c r="K18" s="143">
        <v>0</v>
      </c>
      <c r="L18" s="143">
        <v>0</v>
      </c>
      <c r="M18" s="143">
        <v>0</v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f>AVERAGE(2,3)</f>
      </c>
      <c r="AB18" s="31">
        <v>2</v>
      </c>
      <c r="AC18" s="31">
        <v>2</v>
      </c>
      <c r="AD18" s="31">
        <v>2</v>
      </c>
      <c r="AE18" s="31">
        <v>2</v>
      </c>
      <c r="AF18" s="31"/>
      <c r="AG18" s="31">
        <v>2</v>
      </c>
      <c r="AH18" s="31">
        <v>2</v>
      </c>
      <c r="AI18" s="3"/>
      <c r="AJ18" s="143">
        <v>0</v>
      </c>
      <c r="AK18" s="143">
        <v>0</v>
      </c>
      <c r="AL18" s="143">
        <v>0</v>
      </c>
    </row>
    <row x14ac:dyDescent="0.25" r="19" customHeight="1" ht="18.75">
      <c r="A19" s="46"/>
      <c r="B19" s="2"/>
      <c r="C19" s="149"/>
      <c r="D19" s="149"/>
      <c r="E19" s="149"/>
      <c r="F19" s="46"/>
      <c r="G19" s="149"/>
      <c r="H19" s="149"/>
      <c r="I19" s="149"/>
      <c r="J19" s="46"/>
      <c r="K19" s="149"/>
      <c r="L19" s="149"/>
      <c r="M19" s="149"/>
      <c r="N19" s="46"/>
      <c r="O19" s="46"/>
      <c r="P19" s="149"/>
      <c r="Q19" s="149"/>
      <c r="R19" s="46"/>
      <c r="S19" s="3"/>
      <c r="T19" s="3"/>
      <c r="U19" s="3"/>
      <c r="V19" s="3"/>
      <c r="W19" s="3"/>
      <c r="X19" s="3"/>
      <c r="Y19" s="3"/>
      <c r="Z19" s="3"/>
      <c r="AA19" s="149"/>
      <c r="AB19" s="2"/>
      <c r="AC19" s="2"/>
      <c r="AD19" s="2"/>
      <c r="AE19" s="2"/>
      <c r="AF19" s="3"/>
      <c r="AG19" s="2"/>
      <c r="AH19" s="2"/>
      <c r="AI19" s="3"/>
      <c r="AJ19" s="2"/>
      <c r="AK19" s="2"/>
      <c r="AL19" s="2"/>
    </row>
    <row x14ac:dyDescent="0.25" r="20" customHeight="1" ht="18.75">
      <c r="A20" s="30" t="s">
        <v>43</v>
      </c>
      <c r="B20" s="31" t="s">
        <v>131</v>
      </c>
      <c r="C20" s="31" t="s">
        <v>132</v>
      </c>
      <c r="D20" s="31" t="s">
        <v>132</v>
      </c>
      <c r="E20" s="31" t="s">
        <v>220</v>
      </c>
      <c r="F20" s="32"/>
      <c r="G20" s="31" t="s">
        <v>406</v>
      </c>
      <c r="H20" s="31" t="s">
        <v>406</v>
      </c>
      <c r="I20" s="31" t="s">
        <v>406</v>
      </c>
      <c r="J20" s="32"/>
      <c r="K20" s="31" t="s">
        <v>207</v>
      </c>
      <c r="L20" s="31" t="s">
        <v>207</v>
      </c>
      <c r="M20" s="31" t="s">
        <v>207</v>
      </c>
      <c r="N20" s="32"/>
      <c r="O20" s="32"/>
      <c r="P20" s="31" t="s">
        <v>207</v>
      </c>
      <c r="Q20" s="31" t="s">
        <v>207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143" t="s">
        <v>358</v>
      </c>
      <c r="AC20" s="143" t="s">
        <v>358</v>
      </c>
      <c r="AD20" s="143" t="s">
        <v>358</v>
      </c>
      <c r="AE20" s="143" t="s">
        <v>358</v>
      </c>
      <c r="AF20" s="32"/>
      <c r="AG20" s="143" t="s">
        <v>358</v>
      </c>
      <c r="AH20" s="143" t="s">
        <v>358</v>
      </c>
      <c r="AI20" s="3"/>
      <c r="AJ20" s="31" t="s">
        <v>406</v>
      </c>
      <c r="AK20" s="31" t="s">
        <v>406</v>
      </c>
      <c r="AL20" s="31" t="s">
        <v>207</v>
      </c>
    </row>
    <row x14ac:dyDescent="0.25" r="21" customHeight="1" ht="15.75">
      <c r="A21" s="30" t="s">
        <v>45</v>
      </c>
      <c r="B21" s="31" t="s">
        <v>132</v>
      </c>
      <c r="C21" s="31" t="s">
        <v>271</v>
      </c>
      <c r="D21" s="31" t="s">
        <v>271</v>
      </c>
      <c r="E21" s="31" t="s">
        <v>227</v>
      </c>
      <c r="F21" s="34"/>
      <c r="G21" s="31" t="s">
        <v>407</v>
      </c>
      <c r="H21" s="31" t="s">
        <v>211</v>
      </c>
      <c r="I21" s="31" t="s">
        <v>207</v>
      </c>
      <c r="J21" s="34"/>
      <c r="K21" s="33" t="s">
        <v>408</v>
      </c>
      <c r="L21" s="33" t="s">
        <v>408</v>
      </c>
      <c r="M21" s="33" t="s">
        <v>408</v>
      </c>
      <c r="N21" s="34"/>
      <c r="O21" s="34"/>
      <c r="P21" s="33" t="s">
        <v>409</v>
      </c>
      <c r="Q21" s="33" t="s">
        <v>409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143" t="s">
        <v>358</v>
      </c>
      <c r="AC21" s="143" t="s">
        <v>358</v>
      </c>
      <c r="AD21" s="143" t="s">
        <v>358</v>
      </c>
      <c r="AE21" s="143" t="s">
        <v>358</v>
      </c>
      <c r="AF21" s="34"/>
      <c r="AG21" s="143" t="s">
        <v>358</v>
      </c>
      <c r="AH21" s="143" t="s">
        <v>358</v>
      </c>
      <c r="AI21" s="3"/>
      <c r="AJ21" s="31" t="s">
        <v>410</v>
      </c>
      <c r="AK21" s="33" t="s">
        <v>411</v>
      </c>
      <c r="AL21" s="31" t="s">
        <v>210</v>
      </c>
    </row>
    <row x14ac:dyDescent="0.25" r="22" customHeight="1" ht="18.75">
      <c r="A22" s="35" t="s">
        <v>47</v>
      </c>
      <c r="B22" s="117">
        <v>98</v>
      </c>
      <c r="C22" s="117">
        <v>57</v>
      </c>
      <c r="D22" s="117">
        <v>57</v>
      </c>
      <c r="E22" s="117">
        <v>56</v>
      </c>
      <c r="F22" s="37"/>
      <c r="G22" s="117">
        <v>104</v>
      </c>
      <c r="H22" s="117">
        <v>46</v>
      </c>
      <c r="I22" s="117">
        <v>50</v>
      </c>
      <c r="J22" s="37"/>
      <c r="K22" s="117">
        <v>53</v>
      </c>
      <c r="L22" s="117">
        <v>53</v>
      </c>
      <c r="M22" s="117">
        <v>53</v>
      </c>
      <c r="N22" s="37"/>
      <c r="O22" s="37"/>
      <c r="P22" s="117">
        <v>49</v>
      </c>
      <c r="Q22" s="117">
        <v>49</v>
      </c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144"/>
      <c r="AC22" s="144"/>
      <c r="AD22" s="144"/>
      <c r="AE22" s="144"/>
      <c r="AF22" s="37"/>
      <c r="AG22" s="144"/>
      <c r="AH22" s="144"/>
      <c r="AI22" s="3"/>
      <c r="AJ22" s="117">
        <v>119</v>
      </c>
      <c r="AK22" s="117">
        <v>51</v>
      </c>
      <c r="AL22" s="117">
        <v>122</v>
      </c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2"/>
      <c r="G23" s="31" t="s">
        <v>52</v>
      </c>
      <c r="H23" s="31" t="s">
        <v>52</v>
      </c>
      <c r="I23" s="31" t="s">
        <v>52</v>
      </c>
      <c r="J23" s="32"/>
      <c r="K23" s="33" t="s">
        <v>52</v>
      </c>
      <c r="L23" s="33" t="s">
        <v>52</v>
      </c>
      <c r="M23" s="33" t="s">
        <v>52</v>
      </c>
      <c r="N23" s="32"/>
      <c r="O23" s="32"/>
      <c r="P23" s="33" t="s">
        <v>52</v>
      </c>
      <c r="Q23" s="33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143" t="s">
        <v>49</v>
      </c>
      <c r="AC23" s="143" t="s">
        <v>49</v>
      </c>
      <c r="AD23" s="143" t="s">
        <v>49</v>
      </c>
      <c r="AE23" s="143" t="s">
        <v>49</v>
      </c>
      <c r="AF23" s="32"/>
      <c r="AG23" s="143" t="s">
        <v>49</v>
      </c>
      <c r="AH23" s="143" t="s">
        <v>49</v>
      </c>
      <c r="AI23" s="3"/>
      <c r="AJ23" s="31" t="s">
        <v>52</v>
      </c>
      <c r="AK23" s="33" t="s">
        <v>52</v>
      </c>
      <c r="AL23" s="31" t="s">
        <v>52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49</v>
      </c>
      <c r="F24" s="32"/>
      <c r="G24" s="33" t="s">
        <v>49</v>
      </c>
      <c r="H24" s="33" t="s">
        <v>49</v>
      </c>
      <c r="I24" s="33" t="s">
        <v>49</v>
      </c>
      <c r="J24" s="32"/>
      <c r="K24" s="31" t="s">
        <v>52</v>
      </c>
      <c r="L24" s="31" t="s">
        <v>52</v>
      </c>
      <c r="M24" s="31" t="s">
        <v>52</v>
      </c>
      <c r="N24" s="32"/>
      <c r="O24" s="32"/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143" t="s">
        <v>49</v>
      </c>
      <c r="AC24" s="143" t="s">
        <v>49</v>
      </c>
      <c r="AD24" s="143" t="s">
        <v>49</v>
      </c>
      <c r="AE24" s="143" t="s">
        <v>49</v>
      </c>
      <c r="AF24" s="32"/>
      <c r="AG24" s="143" t="s">
        <v>49</v>
      </c>
      <c r="AH24" s="143" t="s">
        <v>49</v>
      </c>
      <c r="AI24" s="3"/>
      <c r="AJ24" s="31" t="s">
        <v>52</v>
      </c>
      <c r="AK24" s="33" t="s">
        <v>52</v>
      </c>
      <c r="AL24" s="31" t="s">
        <v>49</v>
      </c>
    </row>
    <row x14ac:dyDescent="0.25" r="25" customHeight="1" ht="18.75">
      <c r="A25" s="30" t="s">
        <v>125</v>
      </c>
      <c r="B25" s="31" t="s">
        <v>49</v>
      </c>
      <c r="C25" s="31" t="s">
        <v>52</v>
      </c>
      <c r="D25" s="31" t="s">
        <v>52</v>
      </c>
      <c r="E25" s="31" t="s">
        <v>52</v>
      </c>
      <c r="F25" s="32"/>
      <c r="G25" s="31" t="s">
        <v>162</v>
      </c>
      <c r="H25" s="31" t="s">
        <v>52</v>
      </c>
      <c r="I25" s="31" t="s">
        <v>52</v>
      </c>
      <c r="J25" s="32"/>
      <c r="K25" s="31" t="s">
        <v>52</v>
      </c>
      <c r="L25" s="31" t="s">
        <v>52</v>
      </c>
      <c r="M25" s="31" t="s">
        <v>52</v>
      </c>
      <c r="N25" s="32"/>
      <c r="O25" s="32"/>
      <c r="P25" s="31" t="s">
        <v>52</v>
      </c>
      <c r="Q25" s="31" t="s">
        <v>52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143" t="s">
        <v>49</v>
      </c>
      <c r="AC25" s="143" t="s">
        <v>49</v>
      </c>
      <c r="AD25" s="143" t="s">
        <v>49</v>
      </c>
      <c r="AE25" s="143" t="s">
        <v>49</v>
      </c>
      <c r="AF25" s="32"/>
      <c r="AG25" s="143" t="s">
        <v>49</v>
      </c>
      <c r="AH25" s="143" t="s">
        <v>49</v>
      </c>
      <c r="AI25" s="3"/>
      <c r="AJ25" s="31" t="s">
        <v>52</v>
      </c>
      <c r="AK25" s="31" t="s">
        <v>52</v>
      </c>
      <c r="AL25" s="31" t="s">
        <v>52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2"/>
      <c r="G26" s="31" t="s">
        <v>49</v>
      </c>
      <c r="H26" s="31" t="s">
        <v>49</v>
      </c>
      <c r="I26" s="31" t="s">
        <v>49</v>
      </c>
      <c r="J26" s="32"/>
      <c r="K26" s="31" t="s">
        <v>49</v>
      </c>
      <c r="L26" s="31" t="s">
        <v>49</v>
      </c>
      <c r="M26" s="31" t="s">
        <v>49</v>
      </c>
      <c r="N26" s="32"/>
      <c r="O26" s="32"/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143" t="s">
        <v>49</v>
      </c>
      <c r="AC26" s="143" t="s">
        <v>49</v>
      </c>
      <c r="AD26" s="143" t="s">
        <v>49</v>
      </c>
      <c r="AE26" s="143" t="s">
        <v>49</v>
      </c>
      <c r="AF26" s="32"/>
      <c r="AG26" s="143" t="s">
        <v>49</v>
      </c>
      <c r="AH26" s="143" t="s">
        <v>49</v>
      </c>
      <c r="AI26" s="3"/>
      <c r="AJ26" s="31" t="s">
        <v>49</v>
      </c>
      <c r="AK26" s="31" t="s">
        <v>49</v>
      </c>
      <c r="AL26" s="31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133</v>
      </c>
      <c r="D27" s="31" t="s">
        <v>133</v>
      </c>
      <c r="E27" s="31" t="s">
        <v>133</v>
      </c>
      <c r="F27" s="32"/>
      <c r="G27" s="31" t="s">
        <v>143</v>
      </c>
      <c r="H27" s="31" t="s">
        <v>143</v>
      </c>
      <c r="I27" s="31" t="s">
        <v>143</v>
      </c>
      <c r="J27" s="32"/>
      <c r="K27" s="31" t="s">
        <v>143</v>
      </c>
      <c r="L27" s="31" t="s">
        <v>143</v>
      </c>
      <c r="M27" s="31" t="s">
        <v>143</v>
      </c>
      <c r="N27" s="32"/>
      <c r="O27" s="32"/>
      <c r="P27" s="31" t="s">
        <v>143</v>
      </c>
      <c r="Q27" s="31" t="s">
        <v>143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143" t="s">
        <v>133</v>
      </c>
      <c r="AC27" s="143" t="s">
        <v>133</v>
      </c>
      <c r="AD27" s="143" t="s">
        <v>133</v>
      </c>
      <c r="AE27" s="143" t="s">
        <v>133</v>
      </c>
      <c r="AF27" s="32"/>
      <c r="AG27" s="143" t="s">
        <v>133</v>
      </c>
      <c r="AH27" s="143" t="s">
        <v>133</v>
      </c>
      <c r="AI27" s="3"/>
      <c r="AJ27" s="31" t="s">
        <v>143</v>
      </c>
      <c r="AK27" s="31" t="s">
        <v>143</v>
      </c>
      <c r="AL27" s="31" t="s">
        <v>143</v>
      </c>
    </row>
    <row x14ac:dyDescent="0.25" r="28" customHeight="1" ht="18.75">
      <c r="A28" s="30" t="s">
        <v>128</v>
      </c>
      <c r="B28" s="31">
        <v>-2</v>
      </c>
      <c r="C28" s="31">
        <v>-0.5</v>
      </c>
      <c r="D28" s="31">
        <v>-0.5</v>
      </c>
      <c r="E28" s="31">
        <v>-0.5</v>
      </c>
      <c r="F28" s="31"/>
      <c r="G28" s="31">
        <f>AVERAGE(0.5,2)</f>
      </c>
      <c r="H28" s="31">
        <f>5/3</f>
      </c>
      <c r="I28" s="31">
        <v>1</v>
      </c>
      <c r="J28" s="31"/>
      <c r="K28" s="31">
        <v>0.5</v>
      </c>
      <c r="L28" s="31">
        <v>0.5</v>
      </c>
      <c r="M28" s="31">
        <v>0.5</v>
      </c>
      <c r="N28" s="31"/>
      <c r="O28" s="31"/>
      <c r="P28" s="31">
        <f>4/3</f>
      </c>
      <c r="Q28" s="31">
        <f>4/3</f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143">
        <v>-2</v>
      </c>
      <c r="AC28" s="143">
        <v>-2</v>
      </c>
      <c r="AD28" s="143">
        <v>-2</v>
      </c>
      <c r="AE28" s="143">
        <v>-2</v>
      </c>
      <c r="AF28" s="31"/>
      <c r="AG28" s="143">
        <v>-2</v>
      </c>
      <c r="AH28" s="143">
        <v>-2</v>
      </c>
      <c r="AI28" s="3"/>
      <c r="AJ28" s="31">
        <v>0.875</v>
      </c>
      <c r="AK28" s="31">
        <v>1</v>
      </c>
      <c r="AL28" s="31">
        <f>AVERAGE(0.5,0.5,0.5,1)</f>
      </c>
    </row>
    <row x14ac:dyDescent="0.25" r="29" customHeight="1" ht="18.75">
      <c r="A29" s="30" t="s">
        <v>129</v>
      </c>
      <c r="B29" s="31" t="s">
        <v>134</v>
      </c>
      <c r="C29" s="31" t="s">
        <v>169</v>
      </c>
      <c r="D29" s="31" t="s">
        <v>169</v>
      </c>
      <c r="E29" s="31" t="s">
        <v>169</v>
      </c>
      <c r="F29" s="32"/>
      <c r="G29" s="31" t="s">
        <v>169</v>
      </c>
      <c r="H29" s="31" t="s">
        <v>169</v>
      </c>
      <c r="I29" s="31" t="s">
        <v>169</v>
      </c>
      <c r="J29" s="32"/>
      <c r="K29" s="31" t="s">
        <v>169</v>
      </c>
      <c r="L29" s="31" t="s">
        <v>169</v>
      </c>
      <c r="M29" s="31" t="s">
        <v>169</v>
      </c>
      <c r="N29" s="32"/>
      <c r="O29" s="32"/>
      <c r="P29" s="31" t="s">
        <v>169</v>
      </c>
      <c r="Q29" s="31" t="s">
        <v>169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143" t="s">
        <v>358</v>
      </c>
      <c r="AC29" s="143" t="s">
        <v>358</v>
      </c>
      <c r="AD29" s="143" t="s">
        <v>358</v>
      </c>
      <c r="AE29" s="143" t="s">
        <v>358</v>
      </c>
      <c r="AF29" s="32"/>
      <c r="AG29" s="143" t="s">
        <v>358</v>
      </c>
      <c r="AH29" s="143" t="s">
        <v>358</v>
      </c>
      <c r="AI29" s="3"/>
      <c r="AJ29" s="31" t="s">
        <v>169</v>
      </c>
      <c r="AK29" s="31" t="s">
        <v>169</v>
      </c>
      <c r="AL29" s="31" t="s">
        <v>169</v>
      </c>
    </row>
    <row x14ac:dyDescent="0.25" r="30" customHeight="1" ht="18.75">
      <c r="A30" s="30" t="s">
        <v>130</v>
      </c>
      <c r="B30" s="31">
        <f>1/3</f>
      </c>
      <c r="C30" s="31">
        <v>2</v>
      </c>
      <c r="D30" s="31">
        <v>2</v>
      </c>
      <c r="E30" s="31">
        <v>2</v>
      </c>
      <c r="F30" s="31"/>
      <c r="G30" s="31">
        <v>2</v>
      </c>
      <c r="H30" s="31">
        <v>2</v>
      </c>
      <c r="I30" s="31">
        <v>2</v>
      </c>
      <c r="J30" s="31"/>
      <c r="K30" s="31">
        <v>2</v>
      </c>
      <c r="L30" s="31">
        <v>2</v>
      </c>
      <c r="M30" s="31">
        <v>2</v>
      </c>
      <c r="N30" s="31"/>
      <c r="O30" s="31"/>
      <c r="P30" s="31">
        <v>2</v>
      </c>
      <c r="Q30" s="31">
        <v>2</v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143">
        <v>0</v>
      </c>
      <c r="AC30" s="143">
        <v>0</v>
      </c>
      <c r="AD30" s="143">
        <v>0</v>
      </c>
      <c r="AE30" s="143">
        <v>0</v>
      </c>
      <c r="AF30" s="31"/>
      <c r="AG30" s="143">
        <v>0</v>
      </c>
      <c r="AH30" s="143">
        <v>0</v>
      </c>
      <c r="AI30" s="3"/>
      <c r="AJ30" s="31">
        <v>2</v>
      </c>
      <c r="AK30" s="31">
        <v>2</v>
      </c>
      <c r="AL30" s="31">
        <v>2</v>
      </c>
    </row>
    <row x14ac:dyDescent="0.25" r="31" customHeight="1" ht="15.75">
      <c r="A31" s="46"/>
      <c r="B31" s="2"/>
      <c r="C31" s="149"/>
      <c r="D31" s="149"/>
      <c r="E31" s="149"/>
      <c r="F31" s="46"/>
      <c r="G31" s="149"/>
      <c r="H31" s="149"/>
      <c r="I31" s="149"/>
      <c r="J31" s="46"/>
      <c r="K31" s="149"/>
      <c r="L31" s="149"/>
      <c r="M31" s="149"/>
      <c r="N31" s="46"/>
      <c r="O31" s="46"/>
      <c r="P31" s="149"/>
      <c r="Q31" s="149"/>
      <c r="R31" s="46"/>
      <c r="S31" s="3"/>
      <c r="T31" s="3"/>
      <c r="U31" s="3"/>
      <c r="V31" s="3"/>
      <c r="W31" s="3"/>
      <c r="X31" s="3"/>
      <c r="Y31" s="3"/>
      <c r="Z31" s="3"/>
      <c r="AA31" s="149"/>
      <c r="AB31" s="2"/>
      <c r="AC31" s="2"/>
      <c r="AD31" s="2"/>
      <c r="AE31" s="2"/>
      <c r="AF31" s="3"/>
      <c r="AG31" s="2"/>
      <c r="AH31" s="2"/>
      <c r="AI31" s="3"/>
      <c r="AJ31" s="152" t="s">
        <v>366</v>
      </c>
      <c r="AK31" s="152"/>
      <c r="AL31" s="2"/>
    </row>
    <row x14ac:dyDescent="0.25" r="32" customHeight="1" ht="18.75">
      <c r="A32" s="38" t="s">
        <v>64</v>
      </c>
      <c r="B32" s="2"/>
      <c r="C32" s="149"/>
      <c r="D32" s="149"/>
      <c r="E32" s="149"/>
      <c r="F32" s="46"/>
      <c r="G32" s="149"/>
      <c r="H32" s="149"/>
      <c r="I32" s="149"/>
      <c r="J32" s="46"/>
      <c r="K32" s="149"/>
      <c r="L32" s="149"/>
      <c r="M32" s="149"/>
      <c r="N32" s="46"/>
      <c r="O32" s="46"/>
      <c r="P32" s="149"/>
      <c r="Q32" s="149"/>
      <c r="R32" s="46"/>
      <c r="S32" s="3"/>
      <c r="T32" s="3"/>
      <c r="U32" s="3"/>
      <c r="V32" s="3"/>
      <c r="W32" s="3"/>
      <c r="X32" s="3"/>
      <c r="Y32" s="3"/>
      <c r="Z32" s="3"/>
      <c r="AA32" s="149"/>
      <c r="AB32" s="2"/>
      <c r="AC32" s="2"/>
      <c r="AD32" s="2"/>
      <c r="AE32" s="2"/>
      <c r="AF32" s="3"/>
      <c r="AG32" s="2"/>
      <c r="AH32" s="2"/>
      <c r="AI32" s="3"/>
      <c r="AJ32" s="2"/>
      <c r="AK32" s="2"/>
      <c r="AL32" s="2"/>
    </row>
    <row x14ac:dyDescent="0.25" r="33" customHeight="1" ht="18.75">
      <c r="A33" s="30" t="s">
        <v>412</v>
      </c>
      <c r="B33" s="40"/>
      <c r="C33" s="149"/>
      <c r="D33" s="149"/>
      <c r="E33" s="149"/>
      <c r="F33" s="46"/>
      <c r="G33" s="149"/>
      <c r="H33" s="149"/>
      <c r="I33" s="149"/>
      <c r="J33" s="46"/>
      <c r="K33" s="149"/>
      <c r="L33" s="149"/>
      <c r="M33" s="149"/>
      <c r="N33" s="46"/>
      <c r="O33" s="46"/>
      <c r="P33" s="149"/>
      <c r="Q33" s="149"/>
      <c r="R33" s="46"/>
      <c r="S33" s="3"/>
      <c r="T33" s="3"/>
      <c r="U33" s="3"/>
      <c r="V33" s="3"/>
      <c r="W33" s="3"/>
      <c r="X33" s="3"/>
      <c r="Y33" s="3"/>
      <c r="Z33" s="3"/>
      <c r="AA33" s="149"/>
      <c r="AB33" s="2"/>
      <c r="AC33" s="2"/>
      <c r="AD33" s="2"/>
      <c r="AE33" s="2"/>
      <c r="AF33" s="3"/>
      <c r="AG33" s="2"/>
      <c r="AH33" s="2"/>
      <c r="AI33" s="3"/>
      <c r="AJ33" s="2"/>
      <c r="AK33" s="2"/>
      <c r="AL33" s="2"/>
    </row>
    <row x14ac:dyDescent="0.25" r="34" customHeight="1" ht="18.75">
      <c r="A34" s="30" t="s">
        <v>413</v>
      </c>
      <c r="B34" s="40" t="s">
        <v>414</v>
      </c>
      <c r="C34" s="149"/>
      <c r="D34" s="149"/>
      <c r="E34" s="149"/>
      <c r="F34" s="46"/>
      <c r="G34" s="149"/>
      <c r="H34" s="149"/>
      <c r="I34" s="149"/>
      <c r="J34" s="46"/>
      <c r="K34" s="149"/>
      <c r="L34" s="149"/>
      <c r="M34" s="149"/>
      <c r="N34" s="46"/>
      <c r="O34" s="46"/>
      <c r="P34" s="149"/>
      <c r="Q34" s="149"/>
      <c r="R34" s="46"/>
      <c r="S34" s="3"/>
      <c r="T34" s="3"/>
      <c r="U34" s="3"/>
      <c r="V34" s="3"/>
      <c r="W34" s="3"/>
      <c r="X34" s="3"/>
      <c r="Y34" s="3"/>
      <c r="Z34" s="3"/>
      <c r="AA34" s="149"/>
      <c r="AB34" s="2"/>
      <c r="AC34" s="2"/>
      <c r="AD34" s="2"/>
      <c r="AE34" s="2"/>
      <c r="AF34" s="3"/>
      <c r="AG34" s="2"/>
      <c r="AH34" s="2"/>
      <c r="AI34" s="3"/>
      <c r="AJ34" s="2"/>
      <c r="AK34" s="2"/>
      <c r="AL34" s="2"/>
    </row>
    <row x14ac:dyDescent="0.25" r="35" customHeight="1" ht="18.75">
      <c r="A35" s="153" t="s">
        <v>415</v>
      </c>
      <c r="B35" s="2"/>
      <c r="C35" s="149"/>
      <c r="D35" s="149"/>
      <c r="E35" s="149"/>
      <c r="F35" s="46"/>
      <c r="G35" s="149"/>
      <c r="H35" s="149"/>
      <c r="I35" s="149"/>
      <c r="J35" s="46"/>
      <c r="K35" s="149"/>
      <c r="L35" s="149"/>
      <c r="M35" s="149"/>
      <c r="N35" s="46"/>
      <c r="O35" s="46"/>
      <c r="P35" s="149"/>
      <c r="Q35" s="149"/>
      <c r="R35" s="46"/>
      <c r="S35" s="3"/>
      <c r="T35" s="3"/>
      <c r="U35" s="3"/>
      <c r="V35" s="3"/>
      <c r="W35" s="3"/>
      <c r="X35" s="3"/>
      <c r="Y35" s="3"/>
      <c r="Z35" s="3"/>
      <c r="AA35" s="149"/>
      <c r="AB35" s="2"/>
      <c r="AC35" s="2"/>
      <c r="AD35" s="2"/>
      <c r="AE35" s="2"/>
      <c r="AF35" s="3"/>
      <c r="AG35" s="2"/>
      <c r="AH35" s="2"/>
      <c r="AI35" s="3"/>
      <c r="AJ35" s="2"/>
      <c r="AK35" s="2"/>
      <c r="AL35" s="2"/>
    </row>
    <row x14ac:dyDescent="0.25" r="36" customHeight="1" ht="18.75">
      <c r="A36" s="46"/>
      <c r="B36" s="2"/>
      <c r="C36" s="149"/>
      <c r="D36" s="149"/>
      <c r="E36" s="149"/>
      <c r="F36" s="46"/>
      <c r="G36" s="149"/>
      <c r="H36" s="149"/>
      <c r="I36" s="149"/>
      <c r="J36" s="46"/>
      <c r="K36" s="149"/>
      <c r="L36" s="149"/>
      <c r="M36" s="149"/>
      <c r="N36" s="46"/>
      <c r="O36" s="46"/>
      <c r="P36" s="149"/>
      <c r="Q36" s="149"/>
      <c r="R36" s="46"/>
      <c r="S36" s="3"/>
      <c r="T36" s="3"/>
      <c r="U36" s="3"/>
      <c r="V36" s="3"/>
      <c r="W36" s="3"/>
      <c r="X36" s="3"/>
      <c r="Y36" s="3"/>
      <c r="Z36" s="3"/>
      <c r="AA36" s="149"/>
      <c r="AB36" s="2"/>
      <c r="AC36" s="2"/>
      <c r="AD36" s="2"/>
      <c r="AE36" s="2"/>
      <c r="AF36" s="3"/>
      <c r="AG36" s="2"/>
      <c r="AH36" s="2"/>
      <c r="AI36" s="3"/>
      <c r="AJ36" s="2"/>
      <c r="AK36" s="2"/>
      <c r="AL36" s="2"/>
    </row>
    <row x14ac:dyDescent="0.25" r="37" customHeight="1" ht="18.75">
      <c r="A37" s="1" t="s">
        <v>416</v>
      </c>
      <c r="B37" s="2"/>
      <c r="C37" s="149"/>
      <c r="D37" s="149"/>
      <c r="E37" s="149"/>
      <c r="F37" s="46"/>
      <c r="G37" s="149"/>
      <c r="H37" s="149"/>
      <c r="I37" s="149"/>
      <c r="J37" s="46"/>
      <c r="K37" s="149"/>
      <c r="L37" s="149"/>
      <c r="M37" s="149"/>
      <c r="N37" s="46"/>
      <c r="O37" s="46"/>
      <c r="P37" s="149"/>
      <c r="Q37" s="149"/>
      <c r="R37" s="46"/>
      <c r="S37" s="3"/>
      <c r="T37" s="3"/>
      <c r="U37" s="3"/>
      <c r="V37" s="3"/>
      <c r="W37" s="3"/>
      <c r="X37" s="3"/>
      <c r="Y37" s="3"/>
      <c r="Z37" s="3"/>
      <c r="AA37" s="149"/>
      <c r="AB37" s="2"/>
      <c r="AC37" s="2"/>
      <c r="AD37" s="2"/>
      <c r="AE37" s="2"/>
      <c r="AF37" s="3"/>
      <c r="AG37" s="2"/>
      <c r="AH37" s="2"/>
      <c r="AI37" s="3"/>
      <c r="AJ37" s="2"/>
      <c r="AK37" s="2"/>
      <c r="AL37" s="2"/>
    </row>
    <row x14ac:dyDescent="0.25" r="38" customHeight="1" ht="15.75">
      <c r="A38" s="30" t="s">
        <v>417</v>
      </c>
      <c r="B38" s="2"/>
      <c r="C38" s="150" t="s">
        <v>418</v>
      </c>
      <c r="D38" s="150"/>
      <c r="E38" s="150" t="s">
        <v>419</v>
      </c>
      <c r="F38" s="30" t="s">
        <v>420</v>
      </c>
      <c r="G38" s="150" t="s">
        <v>420</v>
      </c>
      <c r="H38" s="150" t="s">
        <v>421</v>
      </c>
      <c r="I38" s="150" t="s">
        <v>420</v>
      </c>
      <c r="J38" s="30" t="s">
        <v>420</v>
      </c>
      <c r="K38" s="150" t="s">
        <v>422</v>
      </c>
      <c r="L38" s="150"/>
      <c r="M38" s="150"/>
      <c r="N38" s="30" t="s">
        <v>423</v>
      </c>
      <c r="O38" s="30" t="s">
        <v>424</v>
      </c>
      <c r="P38" s="150" t="s">
        <v>425</v>
      </c>
      <c r="Q38" s="150"/>
      <c r="R38" s="30" t="s">
        <v>426</v>
      </c>
      <c r="S38" s="3"/>
      <c r="T38" s="3"/>
      <c r="U38" s="3"/>
      <c r="V38" s="3"/>
      <c r="W38" s="3"/>
      <c r="X38" s="3"/>
      <c r="Y38" s="3"/>
      <c r="Z38" s="3"/>
      <c r="AA38" s="150" t="s">
        <v>427</v>
      </c>
      <c r="AB38" s="2"/>
      <c r="AC38" s="2"/>
      <c r="AD38" s="2"/>
      <c r="AE38" s="2"/>
      <c r="AF38" s="3"/>
      <c r="AG38" s="2"/>
      <c r="AH38" s="2"/>
      <c r="AI38" s="3"/>
      <c r="AJ38" s="2"/>
      <c r="AK38" s="2"/>
      <c r="AL38" s="2"/>
    </row>
    <row x14ac:dyDescent="0.25" r="39" customHeight="1" ht="15.75">
      <c r="A39" s="30" t="s">
        <v>428</v>
      </c>
      <c r="B39" s="2"/>
      <c r="C39" s="150" t="s">
        <v>418</v>
      </c>
      <c r="D39" s="150"/>
      <c r="E39" s="150" t="s">
        <v>419</v>
      </c>
      <c r="F39" s="30" t="s">
        <v>420</v>
      </c>
      <c r="G39" s="150" t="s">
        <v>420</v>
      </c>
      <c r="H39" s="150" t="s">
        <v>421</v>
      </c>
      <c r="I39" s="150" t="s">
        <v>429</v>
      </c>
      <c r="J39" s="30" t="s">
        <v>210</v>
      </c>
      <c r="K39" s="150" t="s">
        <v>430</v>
      </c>
      <c r="L39" s="150"/>
      <c r="M39" s="150"/>
      <c r="N39" s="30" t="s">
        <v>431</v>
      </c>
      <c r="O39" s="30" t="s">
        <v>431</v>
      </c>
      <c r="P39" s="150" t="s">
        <v>409</v>
      </c>
      <c r="Q39" s="150"/>
      <c r="R39" s="46"/>
      <c r="S39" s="3"/>
      <c r="T39" s="3"/>
      <c r="U39" s="3"/>
      <c r="V39" s="3"/>
      <c r="W39" s="3"/>
      <c r="X39" s="3"/>
      <c r="Y39" s="3"/>
      <c r="Z39" s="3"/>
      <c r="AA39" s="150" t="s">
        <v>427</v>
      </c>
      <c r="AB39" s="2"/>
      <c r="AC39" s="2"/>
      <c r="AD39" s="2"/>
      <c r="AE39" s="2"/>
      <c r="AF39" s="3"/>
      <c r="AG39" s="2"/>
      <c r="AH39" s="2"/>
      <c r="AI39" s="3"/>
      <c r="AJ39" s="2"/>
      <c r="AK39" s="2"/>
      <c r="AL39" s="2"/>
    </row>
    <row x14ac:dyDescent="0.25" r="40" customHeight="1" ht="15.75">
      <c r="A40" s="30" t="s">
        <v>432</v>
      </c>
      <c r="B40" s="2"/>
      <c r="C40" s="150" t="s">
        <v>433</v>
      </c>
      <c r="D40" s="150"/>
      <c r="E40" s="150" t="s">
        <v>419</v>
      </c>
      <c r="F40" s="30" t="s">
        <v>290</v>
      </c>
      <c r="G40" s="150" t="s">
        <v>290</v>
      </c>
      <c r="H40" s="150" t="s">
        <v>211</v>
      </c>
      <c r="I40" s="150" t="s">
        <v>207</v>
      </c>
      <c r="J40" s="30" t="s">
        <v>434</v>
      </c>
      <c r="K40" s="150" t="s">
        <v>374</v>
      </c>
      <c r="L40" s="150"/>
      <c r="M40" s="150"/>
      <c r="N40" s="30" t="s">
        <v>435</v>
      </c>
      <c r="O40" s="30" t="s">
        <v>436</v>
      </c>
      <c r="P40" s="150" t="s">
        <v>409</v>
      </c>
      <c r="Q40" s="150"/>
      <c r="R40" s="30" t="s">
        <v>437</v>
      </c>
      <c r="S40" s="3"/>
      <c r="T40" s="3"/>
      <c r="U40" s="3"/>
      <c r="V40" s="3"/>
      <c r="W40" s="3"/>
      <c r="X40" s="3"/>
      <c r="Y40" s="3"/>
      <c r="Z40" s="3"/>
      <c r="AA40" s="150" t="s">
        <v>438</v>
      </c>
      <c r="AB40" s="2"/>
      <c r="AC40" s="2"/>
      <c r="AD40" s="2"/>
      <c r="AE40" s="2"/>
      <c r="AF40" s="3"/>
      <c r="AG40" s="2"/>
      <c r="AH40" s="2"/>
      <c r="AI40" s="3"/>
      <c r="AJ40" s="2"/>
      <c r="AK40" s="2"/>
      <c r="AL40" s="2"/>
    </row>
    <row x14ac:dyDescent="0.25" r="41" customHeight="1" ht="15.75">
      <c r="A41" s="30" t="s">
        <v>439</v>
      </c>
      <c r="B41" s="2"/>
      <c r="C41" s="150" t="s">
        <v>418</v>
      </c>
      <c r="D41" s="150"/>
      <c r="E41" s="150" t="s">
        <v>227</v>
      </c>
      <c r="F41" s="30" t="s">
        <v>290</v>
      </c>
      <c r="G41" s="150" t="s">
        <v>290</v>
      </c>
      <c r="H41" s="150" t="s">
        <v>211</v>
      </c>
      <c r="I41" s="150" t="s">
        <v>207</v>
      </c>
      <c r="J41" s="30" t="s">
        <v>440</v>
      </c>
      <c r="K41" s="150" t="s">
        <v>408</v>
      </c>
      <c r="L41" s="150"/>
      <c r="M41" s="150"/>
      <c r="N41" s="30" t="s">
        <v>423</v>
      </c>
      <c r="O41" s="30" t="s">
        <v>424</v>
      </c>
      <c r="P41" s="150" t="s">
        <v>409</v>
      </c>
      <c r="Q41" s="150"/>
      <c r="R41" s="30" t="s">
        <v>212</v>
      </c>
      <c r="S41" s="3"/>
      <c r="T41" s="3"/>
      <c r="U41" s="3"/>
      <c r="V41" s="3"/>
      <c r="W41" s="3"/>
      <c r="X41" s="3"/>
      <c r="Y41" s="3"/>
      <c r="Z41" s="3"/>
      <c r="AA41" s="150" t="s">
        <v>438</v>
      </c>
      <c r="AB41" s="2"/>
      <c r="AC41" s="2"/>
      <c r="AD41" s="2"/>
      <c r="AE41" s="2"/>
      <c r="AF41" s="3"/>
      <c r="AG41" s="2"/>
      <c r="AH41" s="2"/>
      <c r="AI41" s="3"/>
      <c r="AJ41" s="2"/>
      <c r="AK41" s="2"/>
      <c r="AL41" s="2"/>
    </row>
    <row x14ac:dyDescent="0.25" r="42" customHeight="1" ht="15.75">
      <c r="A42" s="30" t="s">
        <v>441</v>
      </c>
      <c r="B42" s="2"/>
      <c r="C42" s="150" t="s">
        <v>442</v>
      </c>
      <c r="D42" s="150"/>
      <c r="E42" s="150" t="s">
        <v>443</v>
      </c>
      <c r="F42" s="30" t="s">
        <v>210</v>
      </c>
      <c r="G42" s="150" t="s">
        <v>444</v>
      </c>
      <c r="H42" s="150" t="s">
        <v>445</v>
      </c>
      <c r="I42" s="150" t="s">
        <v>446</v>
      </c>
      <c r="J42" s="30" t="s">
        <v>210</v>
      </c>
      <c r="K42" s="150" t="s">
        <v>447</v>
      </c>
      <c r="L42" s="150"/>
      <c r="M42" s="150"/>
      <c r="N42" s="30" t="s">
        <v>448</v>
      </c>
      <c r="O42" s="30" t="s">
        <v>449</v>
      </c>
      <c r="P42" s="150" t="s">
        <v>425</v>
      </c>
      <c r="Q42" s="150"/>
      <c r="R42" s="30" t="s">
        <v>450</v>
      </c>
      <c r="S42" s="3"/>
      <c r="T42" s="3"/>
      <c r="U42" s="3"/>
      <c r="V42" s="3"/>
      <c r="W42" s="3"/>
      <c r="X42" s="3"/>
      <c r="Y42" s="3"/>
      <c r="Z42" s="3"/>
      <c r="AA42" s="150" t="s">
        <v>451</v>
      </c>
      <c r="AB42" s="2"/>
      <c r="AC42" s="2"/>
      <c r="AD42" s="2"/>
      <c r="AE42" s="2"/>
      <c r="AF42" s="3"/>
      <c r="AG42" s="2"/>
      <c r="AH42" s="2"/>
      <c r="AI42" s="3"/>
      <c r="AJ42" s="2"/>
      <c r="AK42" s="2"/>
      <c r="AL42" s="2"/>
    </row>
    <row x14ac:dyDescent="0.25" r="43" customHeight="1" ht="15.75">
      <c r="A43" s="30" t="s">
        <v>452</v>
      </c>
      <c r="B43" s="2"/>
      <c r="C43" s="150" t="s">
        <v>418</v>
      </c>
      <c r="D43" s="150"/>
      <c r="E43" s="150" t="s">
        <v>419</v>
      </c>
      <c r="F43" s="30" t="s">
        <v>227</v>
      </c>
      <c r="G43" s="150" t="s">
        <v>220</v>
      </c>
      <c r="H43" s="150" t="s">
        <v>228</v>
      </c>
      <c r="I43" s="150" t="s">
        <v>228</v>
      </c>
      <c r="J43" s="30" t="s">
        <v>210</v>
      </c>
      <c r="K43" s="150" t="s">
        <v>408</v>
      </c>
      <c r="L43" s="150"/>
      <c r="M43" s="150"/>
      <c r="N43" s="30" t="s">
        <v>453</v>
      </c>
      <c r="O43" s="30" t="s">
        <v>431</v>
      </c>
      <c r="P43" s="150" t="s">
        <v>409</v>
      </c>
      <c r="Q43" s="150"/>
      <c r="R43" s="30" t="s">
        <v>438</v>
      </c>
      <c r="S43" s="3"/>
      <c r="T43" s="3"/>
      <c r="U43" s="3"/>
      <c r="V43" s="3"/>
      <c r="W43" s="3"/>
      <c r="X43" s="3"/>
      <c r="Y43" s="3"/>
      <c r="Z43" s="3"/>
      <c r="AA43" s="150" t="s">
        <v>438</v>
      </c>
      <c r="AB43" s="2"/>
      <c r="AC43" s="2"/>
      <c r="AD43" s="2"/>
      <c r="AE43" s="2"/>
      <c r="AF43" s="3"/>
      <c r="AG43" s="2"/>
      <c r="AH43" s="2"/>
      <c r="AI43" s="3"/>
      <c r="AJ43" s="2"/>
      <c r="AK43" s="2"/>
      <c r="AL43" s="2"/>
    </row>
    <row x14ac:dyDescent="0.25" r="44" customHeight="1" ht="15.75">
      <c r="A44" s="30" t="s">
        <v>454</v>
      </c>
      <c r="B44" s="2"/>
      <c r="C44" s="154" t="s">
        <v>455</v>
      </c>
      <c r="D44" s="154"/>
      <c r="E44" s="150" t="s">
        <v>456</v>
      </c>
      <c r="F44" s="30" t="s">
        <v>420</v>
      </c>
      <c r="G44" s="154" t="s">
        <v>420</v>
      </c>
      <c r="H44" s="154" t="s">
        <v>429</v>
      </c>
      <c r="I44" s="154" t="s">
        <v>429</v>
      </c>
      <c r="J44" s="30" t="s">
        <v>210</v>
      </c>
      <c r="K44" s="150" t="s">
        <v>422</v>
      </c>
      <c r="L44" s="150"/>
      <c r="M44" s="150"/>
      <c r="N44" s="30" t="s">
        <v>448</v>
      </c>
      <c r="O44" s="30" t="s">
        <v>449</v>
      </c>
      <c r="P44" s="150" t="s">
        <v>425</v>
      </c>
      <c r="Q44" s="150"/>
      <c r="R44" s="30" t="s">
        <v>438</v>
      </c>
      <c r="S44" s="3"/>
      <c r="T44" s="3"/>
      <c r="U44" s="3"/>
      <c r="V44" s="3"/>
      <c r="W44" s="3"/>
      <c r="X44" s="3"/>
      <c r="Y44" s="3"/>
      <c r="Z44" s="3"/>
      <c r="AA44" s="150" t="s">
        <v>438</v>
      </c>
      <c r="AB44" s="2"/>
      <c r="AC44" s="2"/>
      <c r="AD44" s="2"/>
      <c r="AE44" s="2"/>
      <c r="AF44" s="3"/>
      <c r="AG44" s="2"/>
      <c r="AH44" s="2"/>
      <c r="AI44" s="3"/>
      <c r="AJ44" s="2"/>
      <c r="AK44" s="2"/>
      <c r="AL44" s="2"/>
    </row>
    <row x14ac:dyDescent="0.25" r="45" customHeight="1" ht="15.75">
      <c r="A45" s="30" t="s">
        <v>457</v>
      </c>
      <c r="B45" s="2"/>
      <c r="C45" s="154" t="s">
        <v>458</v>
      </c>
      <c r="D45" s="154"/>
      <c r="E45" s="149"/>
      <c r="F45" s="46"/>
      <c r="G45" s="155" t="s">
        <v>459</v>
      </c>
      <c r="H45" s="155" t="s">
        <v>460</v>
      </c>
      <c r="I45" s="155" t="s">
        <v>459</v>
      </c>
      <c r="J45" s="30" t="s">
        <v>210</v>
      </c>
      <c r="K45" s="150" t="s">
        <v>408</v>
      </c>
      <c r="L45" s="150"/>
      <c r="M45" s="150"/>
      <c r="N45" s="30" t="s">
        <v>423</v>
      </c>
      <c r="O45" s="30" t="s">
        <v>424</v>
      </c>
      <c r="P45" s="150" t="s">
        <v>409</v>
      </c>
      <c r="Q45" s="150"/>
      <c r="R45" s="30" t="s">
        <v>426</v>
      </c>
      <c r="S45" s="3"/>
      <c r="T45" s="3"/>
      <c r="U45" s="3"/>
      <c r="V45" s="3"/>
      <c r="W45" s="3"/>
      <c r="X45" s="3"/>
      <c r="Y45" s="3"/>
      <c r="Z45" s="3"/>
      <c r="AA45" s="150" t="s">
        <v>438</v>
      </c>
      <c r="AB45" s="2"/>
      <c r="AC45" s="2"/>
      <c r="AD45" s="2"/>
      <c r="AE45" s="2"/>
      <c r="AF45" s="3"/>
      <c r="AG45" s="2"/>
      <c r="AH45" s="2"/>
      <c r="AI45" s="3"/>
      <c r="AJ45" s="2"/>
      <c r="AK45" s="2"/>
      <c r="AL45" s="2"/>
    </row>
    <row x14ac:dyDescent="0.25" r="46" customHeight="1" ht="15.75">
      <c r="A46" s="30" t="s">
        <v>461</v>
      </c>
      <c r="B46" s="2"/>
      <c r="C46" s="150" t="s">
        <v>418</v>
      </c>
      <c r="D46" s="150"/>
      <c r="E46" s="149"/>
      <c r="F46" s="46"/>
      <c r="G46" s="150" t="s">
        <v>420</v>
      </c>
      <c r="H46" s="150" t="s">
        <v>421</v>
      </c>
      <c r="I46" s="150" t="s">
        <v>429</v>
      </c>
      <c r="J46" s="46"/>
      <c r="K46" s="149"/>
      <c r="L46" s="149"/>
      <c r="M46" s="149"/>
      <c r="N46" s="46"/>
      <c r="O46" s="46"/>
      <c r="P46" s="149"/>
      <c r="Q46" s="149"/>
      <c r="R46" s="46"/>
      <c r="S46" s="3"/>
      <c r="T46" s="3"/>
      <c r="U46" s="3"/>
      <c r="V46" s="3"/>
      <c r="W46" s="3"/>
      <c r="X46" s="3"/>
      <c r="Y46" s="3"/>
      <c r="Z46" s="3"/>
      <c r="AA46" s="150" t="s">
        <v>438</v>
      </c>
      <c r="AB46" s="2"/>
      <c r="AC46" s="2"/>
      <c r="AD46" s="2"/>
      <c r="AE46" s="2"/>
      <c r="AF46" s="3"/>
      <c r="AG46" s="2"/>
      <c r="AH46" s="2"/>
      <c r="AI46" s="3"/>
      <c r="AJ46" s="2"/>
      <c r="AK46" s="2"/>
      <c r="AL46" s="2"/>
    </row>
    <row x14ac:dyDescent="0.25" r="47" customHeight="1" ht="18.75">
      <c r="A47" s="46"/>
      <c r="B47" s="2"/>
      <c r="C47" s="149"/>
      <c r="D47" s="149"/>
      <c r="E47" s="149"/>
      <c r="F47" s="46"/>
      <c r="G47" s="149"/>
      <c r="H47" s="149"/>
      <c r="I47" s="149"/>
      <c r="J47" s="46"/>
      <c r="K47" s="149"/>
      <c r="L47" s="149"/>
      <c r="M47" s="149"/>
      <c r="N47" s="46"/>
      <c r="O47" s="46"/>
      <c r="P47" s="149"/>
      <c r="Q47" s="149"/>
      <c r="R47" s="46"/>
      <c r="S47" s="3"/>
      <c r="T47" s="3"/>
      <c r="U47" s="3"/>
      <c r="V47" s="3"/>
      <c r="W47" s="3"/>
      <c r="X47" s="3"/>
      <c r="Y47" s="3"/>
      <c r="Z47" s="3"/>
      <c r="AA47" s="149"/>
      <c r="AB47" s="2"/>
      <c r="AC47" s="2"/>
      <c r="AD47" s="2"/>
      <c r="AE47" s="2"/>
      <c r="AF47" s="3"/>
      <c r="AG47" s="2"/>
      <c r="AH47" s="2"/>
      <c r="AI47" s="3"/>
      <c r="AJ47" s="2"/>
      <c r="AK47" s="2"/>
      <c r="AL47" s="2"/>
    </row>
    <row x14ac:dyDescent="0.25" r="48" customHeight="1" ht="15.75">
      <c r="A48" s="30" t="s">
        <v>462</v>
      </c>
      <c r="B48" s="2"/>
      <c r="C48" s="150" t="s">
        <v>458</v>
      </c>
      <c r="D48" s="150"/>
      <c r="E48" s="150" t="s">
        <v>443</v>
      </c>
      <c r="F48" s="30" t="s">
        <v>210</v>
      </c>
      <c r="G48" s="150" t="s">
        <v>210</v>
      </c>
      <c r="H48" s="150" t="s">
        <v>211</v>
      </c>
      <c r="I48" s="150" t="s">
        <v>207</v>
      </c>
      <c r="J48" s="30" t="s">
        <v>210</v>
      </c>
      <c r="K48" s="150" t="s">
        <v>408</v>
      </c>
      <c r="L48" s="150"/>
      <c r="M48" s="150"/>
      <c r="N48" s="30" t="s">
        <v>423</v>
      </c>
      <c r="O48" s="30" t="s">
        <v>424</v>
      </c>
      <c r="P48" s="150" t="s">
        <v>409</v>
      </c>
      <c r="Q48" s="150"/>
      <c r="R48" s="30" t="s">
        <v>463</v>
      </c>
      <c r="S48" s="3"/>
      <c r="T48" s="3"/>
      <c r="U48" s="3"/>
      <c r="V48" s="3"/>
      <c r="W48" s="3"/>
      <c r="X48" s="3"/>
      <c r="Y48" s="3"/>
      <c r="Z48" s="3"/>
      <c r="AA48" s="150" t="s">
        <v>427</v>
      </c>
      <c r="AB48" s="2"/>
      <c r="AC48" s="2"/>
      <c r="AD48" s="2"/>
      <c r="AE48" s="2"/>
      <c r="AF48" s="3"/>
      <c r="AG48" s="2"/>
      <c r="AH48" s="2"/>
      <c r="AI48" s="3"/>
      <c r="AJ48" s="2"/>
      <c r="AK48" s="2"/>
      <c r="AL48" s="2"/>
    </row>
    <row x14ac:dyDescent="0.25" r="49" customHeight="1" ht="15.75">
      <c r="A49" s="30" t="s">
        <v>464</v>
      </c>
      <c r="B49" s="2"/>
      <c r="C49" s="150" t="s">
        <v>458</v>
      </c>
      <c r="D49" s="150"/>
      <c r="E49" s="156" t="s">
        <v>465</v>
      </c>
      <c r="F49" s="30" t="s">
        <v>290</v>
      </c>
      <c r="G49" s="150" t="s">
        <v>290</v>
      </c>
      <c r="H49" s="150" t="s">
        <v>211</v>
      </c>
      <c r="I49" s="150" t="s">
        <v>207</v>
      </c>
      <c r="J49" s="30" t="s">
        <v>210</v>
      </c>
      <c r="K49" s="150" t="s">
        <v>431</v>
      </c>
      <c r="L49" s="150"/>
      <c r="M49" s="150"/>
      <c r="N49" s="30" t="s">
        <v>431</v>
      </c>
      <c r="O49" s="30" t="s">
        <v>431</v>
      </c>
      <c r="P49" s="150" t="s">
        <v>431</v>
      </c>
      <c r="Q49" s="150"/>
      <c r="R49" s="30" t="s">
        <v>431</v>
      </c>
      <c r="S49" s="3"/>
      <c r="T49" s="3"/>
      <c r="U49" s="3"/>
      <c r="V49" s="3"/>
      <c r="W49" s="3"/>
      <c r="X49" s="3"/>
      <c r="Y49" s="3"/>
      <c r="Z49" s="3"/>
      <c r="AA49" s="150" t="s">
        <v>438</v>
      </c>
      <c r="AB49" s="2"/>
      <c r="AC49" s="2"/>
      <c r="AD49" s="2"/>
      <c r="AE49" s="2"/>
      <c r="AF49" s="3"/>
      <c r="AG49" s="2"/>
      <c r="AH49" s="2"/>
      <c r="AI49" s="3"/>
      <c r="AJ49" s="2"/>
      <c r="AK49" s="2"/>
      <c r="AL49" s="2"/>
    </row>
  </sheetData>
  <mergeCells count="37">
    <mergeCell ref="B3:D3"/>
    <mergeCell ref="F3:O3"/>
    <mergeCell ref="B4:D4"/>
    <mergeCell ref="F4:P5"/>
    <mergeCell ref="B5:D5"/>
    <mergeCell ref="AJ31:AK31"/>
    <mergeCell ref="C38:D38"/>
    <mergeCell ref="K38:M38"/>
    <mergeCell ref="P38:Q38"/>
    <mergeCell ref="C39:D39"/>
    <mergeCell ref="K39:M39"/>
    <mergeCell ref="P39:Q39"/>
    <mergeCell ref="C40:D40"/>
    <mergeCell ref="K40:M40"/>
    <mergeCell ref="P40:Q40"/>
    <mergeCell ref="C41:D41"/>
    <mergeCell ref="K41:M41"/>
    <mergeCell ref="P41:Q41"/>
    <mergeCell ref="C42:D42"/>
    <mergeCell ref="K42:M42"/>
    <mergeCell ref="P42:Q42"/>
    <mergeCell ref="C43:D43"/>
    <mergeCell ref="K43:M43"/>
    <mergeCell ref="P43:Q43"/>
    <mergeCell ref="C44:D44"/>
    <mergeCell ref="K44:M44"/>
    <mergeCell ref="P44:Q44"/>
    <mergeCell ref="C45:D45"/>
    <mergeCell ref="K45:M45"/>
    <mergeCell ref="P45:Q45"/>
    <mergeCell ref="C46:D46"/>
    <mergeCell ref="C48:D48"/>
    <mergeCell ref="K48:M48"/>
    <mergeCell ref="P48:Q48"/>
    <mergeCell ref="C49:D49"/>
    <mergeCell ref="K49:M49"/>
    <mergeCell ref="P49:Q49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9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4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57" width="13.576428571428572" customWidth="1" bestFit="1"/>
    <col min="15" max="15" style="57" width="13.576428571428572" customWidth="1" bestFit="1"/>
    <col min="16" max="16" style="151" width="13.576428571428572" customWidth="1" bestFit="1"/>
    <col min="17" max="17" style="57" width="13.576428571428572" customWidth="1" bestFit="1"/>
    <col min="18" max="18" style="57" width="13.576428571428572" customWidth="1" bestFit="1"/>
    <col min="19" max="19" style="57" width="13.576428571428572" customWidth="1" bestFit="1"/>
    <col min="20" max="20" style="57" width="13.576428571428572" customWidth="1" bestFit="1"/>
    <col min="21" max="21" style="57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3"/>
      <c r="F1" s="3"/>
      <c r="G1" s="2"/>
      <c r="H1" s="2"/>
      <c r="I1" s="45" t="s">
        <v>136</v>
      </c>
      <c r="J1" s="3"/>
      <c r="K1" s="2"/>
      <c r="L1" s="2"/>
      <c r="M1" s="2"/>
      <c r="N1" s="46"/>
      <c r="O1" s="46"/>
      <c r="P1" s="149"/>
      <c r="Q1" s="46"/>
      <c r="R1" s="46"/>
      <c r="S1" s="46"/>
      <c r="T1" s="46"/>
      <c r="U1" s="46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3"/>
      <c r="B2" s="2"/>
      <c r="C2" s="2"/>
      <c r="D2" s="2"/>
      <c r="E2" s="3"/>
      <c r="F2" s="3"/>
      <c r="G2" s="2"/>
      <c r="H2" s="2"/>
      <c r="I2" s="2"/>
      <c r="J2" s="3"/>
      <c r="K2" s="2"/>
      <c r="L2" s="2"/>
      <c r="M2" s="2"/>
      <c r="N2" s="46"/>
      <c r="O2" s="46"/>
      <c r="P2" s="149"/>
      <c r="Q2" s="46"/>
      <c r="R2" s="46"/>
      <c r="S2" s="46"/>
      <c r="T2" s="46"/>
      <c r="U2" s="46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85</v>
      </c>
      <c r="C3" s="7"/>
      <c r="D3" s="7"/>
      <c r="E3" s="1"/>
      <c r="F3" s="89" t="s">
        <v>3</v>
      </c>
      <c r="G3" s="90"/>
      <c r="H3" s="90"/>
      <c r="I3" s="90"/>
      <c r="J3" s="89"/>
      <c r="K3" s="90"/>
      <c r="L3" s="90"/>
      <c r="M3" s="90"/>
      <c r="N3" s="89"/>
      <c r="O3" s="89"/>
      <c r="P3" s="149"/>
      <c r="Q3" s="46"/>
      <c r="R3" s="46"/>
      <c r="S3" s="46"/>
      <c r="T3" s="46"/>
      <c r="U3" s="46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395</v>
      </c>
      <c r="C4" s="7"/>
      <c r="D4" s="7"/>
      <c r="E4" s="3"/>
      <c r="F4" s="91" t="s">
        <v>396</v>
      </c>
      <c r="G4" s="92"/>
      <c r="H4" s="92"/>
      <c r="I4" s="92"/>
      <c r="J4" s="93"/>
      <c r="K4" s="92"/>
      <c r="L4" s="92"/>
      <c r="M4" s="92"/>
      <c r="N4" s="93"/>
      <c r="O4" s="94"/>
      <c r="P4" s="149"/>
      <c r="Q4" s="46"/>
      <c r="R4" s="46"/>
      <c r="S4" s="46"/>
      <c r="T4" s="46"/>
      <c r="U4" s="46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3"/>
      <c r="F5" s="95"/>
      <c r="G5" s="96"/>
      <c r="H5" s="96"/>
      <c r="I5" s="96"/>
      <c r="J5" s="97"/>
      <c r="K5" s="96"/>
      <c r="L5" s="96"/>
      <c r="M5" s="96"/>
      <c r="N5" s="97"/>
      <c r="O5" s="98"/>
      <c r="P5" s="149"/>
      <c r="Q5" s="46"/>
      <c r="R5" s="46"/>
      <c r="S5" s="46"/>
      <c r="T5" s="46"/>
      <c r="U5" s="46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3"/>
      <c r="B6" s="2"/>
      <c r="C6" s="2"/>
      <c r="D6" s="2"/>
      <c r="E6" s="3"/>
      <c r="F6" s="3"/>
      <c r="G6" s="2"/>
      <c r="H6" s="2"/>
      <c r="I6" s="2"/>
      <c r="J6" s="3"/>
      <c r="K6" s="2"/>
      <c r="L6" s="2"/>
      <c r="M6" s="2"/>
      <c r="N6" s="46"/>
      <c r="O6" s="46"/>
      <c r="P6" s="149"/>
      <c r="Q6" s="46"/>
      <c r="R6" s="46"/>
      <c r="S6" s="46"/>
      <c r="T6" s="46"/>
      <c r="U6" s="46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66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74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397</v>
      </c>
      <c r="C8" s="31" t="s">
        <v>367</v>
      </c>
      <c r="D8" s="31" t="s">
        <v>367</v>
      </c>
      <c r="E8" s="32"/>
      <c r="F8" s="32"/>
      <c r="G8" s="31" t="s">
        <v>262</v>
      </c>
      <c r="H8" s="31" t="s">
        <v>262</v>
      </c>
      <c r="I8" s="31" t="s">
        <v>262</v>
      </c>
      <c r="J8" s="32"/>
      <c r="K8" s="31" t="s">
        <v>262</v>
      </c>
      <c r="L8" s="31" t="s">
        <v>262</v>
      </c>
      <c r="M8" s="31" t="s">
        <v>262</v>
      </c>
      <c r="N8" s="32"/>
      <c r="O8" s="32"/>
      <c r="P8" s="31" t="s">
        <v>250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1" t="s">
        <v>263</v>
      </c>
      <c r="AB8" s="32"/>
      <c r="AC8" s="32"/>
      <c r="AD8" s="32"/>
      <c r="AE8" s="32"/>
      <c r="AF8" s="32"/>
      <c r="AG8" s="32"/>
      <c r="AH8" s="31" t="s">
        <v>68</v>
      </c>
    </row>
    <row x14ac:dyDescent="0.25" r="9" customHeight="1" ht="18.75">
      <c r="A9" s="30" t="s">
        <v>45</v>
      </c>
      <c r="B9" s="31" t="s">
        <v>262</v>
      </c>
      <c r="C9" s="31" t="s">
        <v>368</v>
      </c>
      <c r="D9" s="31" t="s">
        <v>368</v>
      </c>
      <c r="E9" s="34"/>
      <c r="F9" s="34"/>
      <c r="G9" s="31" t="s">
        <v>262</v>
      </c>
      <c r="H9" s="31" t="s">
        <v>262</v>
      </c>
      <c r="I9" s="31" t="s">
        <v>262</v>
      </c>
      <c r="J9" s="34"/>
      <c r="K9" s="31" t="s">
        <v>262</v>
      </c>
      <c r="L9" s="31" t="s">
        <v>262</v>
      </c>
      <c r="M9" s="31" t="s">
        <v>262</v>
      </c>
      <c r="N9" s="34"/>
      <c r="O9" s="34"/>
      <c r="P9" s="33" t="s">
        <v>382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3" t="s">
        <v>263</v>
      </c>
      <c r="AB9" s="34"/>
      <c r="AC9" s="34"/>
      <c r="AD9" s="34"/>
      <c r="AE9" s="34"/>
      <c r="AF9" s="34"/>
      <c r="AG9" s="34"/>
      <c r="AH9" s="31" t="s">
        <v>132</v>
      </c>
    </row>
    <row x14ac:dyDescent="0.25" r="10" customHeight="1" ht="18.75">
      <c r="A10" s="35" t="s">
        <v>47</v>
      </c>
      <c r="B10" s="117">
        <v>70</v>
      </c>
      <c r="C10" s="117">
        <v>151</v>
      </c>
      <c r="D10" s="117">
        <v>151</v>
      </c>
      <c r="E10" s="37"/>
      <c r="F10" s="37"/>
      <c r="G10" s="117">
        <v>70</v>
      </c>
      <c r="H10" s="117">
        <v>70</v>
      </c>
      <c r="I10" s="117">
        <v>70</v>
      </c>
      <c r="J10" s="37"/>
      <c r="K10" s="117">
        <v>70</v>
      </c>
      <c r="L10" s="117">
        <v>70</v>
      </c>
      <c r="M10" s="117">
        <v>70</v>
      </c>
      <c r="N10" s="37"/>
      <c r="O10" s="37"/>
      <c r="P10" s="117">
        <v>191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117">
        <v>229</v>
      </c>
      <c r="AB10" s="37"/>
      <c r="AC10" s="37"/>
      <c r="AD10" s="37"/>
      <c r="AE10" s="37"/>
      <c r="AF10" s="37"/>
      <c r="AG10" s="37"/>
      <c r="AH10" s="117">
        <v>98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2"/>
      <c r="F11" s="32"/>
      <c r="G11" s="33" t="s">
        <v>52</v>
      </c>
      <c r="H11" s="33" t="s">
        <v>52</v>
      </c>
      <c r="I11" s="33" t="s">
        <v>52</v>
      </c>
      <c r="J11" s="32"/>
      <c r="K11" s="33" t="s">
        <v>52</v>
      </c>
      <c r="L11" s="33" t="s">
        <v>52</v>
      </c>
      <c r="M11" s="33" t="s">
        <v>52</v>
      </c>
      <c r="N11" s="32"/>
      <c r="O11" s="32"/>
      <c r="P11" s="31" t="s">
        <v>49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3" t="s">
        <v>52</v>
      </c>
      <c r="C12" s="31" t="s">
        <v>162</v>
      </c>
      <c r="D12" s="31" t="s">
        <v>162</v>
      </c>
      <c r="E12" s="32"/>
      <c r="F12" s="32"/>
      <c r="G12" s="33" t="s">
        <v>52</v>
      </c>
      <c r="H12" s="33" t="s">
        <v>52</v>
      </c>
      <c r="I12" s="33" t="s">
        <v>52</v>
      </c>
      <c r="J12" s="32"/>
      <c r="K12" s="33" t="s">
        <v>52</v>
      </c>
      <c r="L12" s="33" t="s">
        <v>52</v>
      </c>
      <c r="M12" s="33" t="s">
        <v>52</v>
      </c>
      <c r="N12" s="32"/>
      <c r="O12" s="32"/>
      <c r="P12" s="31" t="s">
        <v>52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 t="s">
        <v>52</v>
      </c>
      <c r="AB12" s="32"/>
      <c r="AC12" s="32"/>
      <c r="AD12" s="32"/>
      <c r="AE12" s="32"/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2"/>
      <c r="F13" s="32"/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2"/>
      <c r="F14" s="32"/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133</v>
      </c>
      <c r="D15" s="31" t="s">
        <v>133</v>
      </c>
      <c r="E15" s="32"/>
      <c r="F15" s="32"/>
      <c r="G15" s="31" t="s">
        <v>140</v>
      </c>
      <c r="H15" s="31" t="s">
        <v>140</v>
      </c>
      <c r="I15" s="31" t="s">
        <v>140</v>
      </c>
      <c r="J15" s="32"/>
      <c r="K15" s="31" t="s">
        <v>140</v>
      </c>
      <c r="L15" s="31" t="s">
        <v>140</v>
      </c>
      <c r="M15" s="31" t="s">
        <v>140</v>
      </c>
      <c r="N15" s="32"/>
      <c r="O15" s="32"/>
      <c r="P15" s="31" t="s">
        <v>143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3</v>
      </c>
      <c r="C16" s="31">
        <v>-2</v>
      </c>
      <c r="D16" s="31">
        <v>-2</v>
      </c>
      <c r="E16" s="31"/>
      <c r="F16" s="31"/>
      <c r="G16" s="31">
        <v>3</v>
      </c>
      <c r="H16" s="31">
        <v>3</v>
      </c>
      <c r="I16" s="31">
        <v>3</v>
      </c>
      <c r="J16" s="31"/>
      <c r="K16" s="31">
        <v>3</v>
      </c>
      <c r="L16" s="31">
        <v>3</v>
      </c>
      <c r="M16" s="31">
        <v>3</v>
      </c>
      <c r="N16" s="31"/>
      <c r="O16" s="31"/>
      <c r="P16" s="31">
        <v>0.75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/>
      <c r="AH16" s="31">
        <v>-2</v>
      </c>
    </row>
    <row x14ac:dyDescent="0.25" r="17" customHeight="1" ht="18.75">
      <c r="A17" s="30" t="s">
        <v>129</v>
      </c>
      <c r="B17" s="31" t="s">
        <v>257</v>
      </c>
      <c r="C17" s="31" t="s">
        <v>369</v>
      </c>
      <c r="D17" s="31" t="s">
        <v>369</v>
      </c>
      <c r="E17" s="32"/>
      <c r="F17" s="32"/>
      <c r="G17" s="31" t="s">
        <v>257</v>
      </c>
      <c r="H17" s="31" t="s">
        <v>257</v>
      </c>
      <c r="I17" s="31" t="s">
        <v>257</v>
      </c>
      <c r="J17" s="32"/>
      <c r="K17" s="31" t="s">
        <v>257</v>
      </c>
      <c r="L17" s="31" t="s">
        <v>257</v>
      </c>
      <c r="M17" s="31" t="s">
        <v>257</v>
      </c>
      <c r="N17" s="32"/>
      <c r="O17" s="32"/>
      <c r="P17" s="31" t="s">
        <v>386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249</v>
      </c>
      <c r="AB17" s="32"/>
      <c r="AC17" s="32"/>
      <c r="AD17" s="32"/>
      <c r="AE17" s="32"/>
      <c r="AF17" s="32"/>
      <c r="AG17" s="32"/>
      <c r="AH17" s="31" t="s">
        <v>134</v>
      </c>
    </row>
    <row x14ac:dyDescent="0.25" r="18" customHeight="1" ht="18.75">
      <c r="A18" s="30" t="s">
        <v>130</v>
      </c>
      <c r="B18" s="31">
        <v>1.5</v>
      </c>
      <c r="C18" s="31">
        <f>AVERAGE(1/3,0)</f>
      </c>
      <c r="D18" s="31">
        <f>AVERAGE(1/3,0)</f>
      </c>
      <c r="E18" s="31"/>
      <c r="F18" s="31"/>
      <c r="G18" s="31">
        <v>1.5</v>
      </c>
      <c r="H18" s="31">
        <v>1.5</v>
      </c>
      <c r="I18" s="31">
        <v>1.5</v>
      </c>
      <c r="J18" s="31"/>
      <c r="K18" s="31">
        <v>1.5</v>
      </c>
      <c r="L18" s="31">
        <v>1.5</v>
      </c>
      <c r="M18" s="31">
        <v>1.5</v>
      </c>
      <c r="N18" s="31"/>
      <c r="O18" s="31"/>
      <c r="P18" s="31">
        <v>0.75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>
        <f>1.5*5/4</f>
      </c>
      <c r="AB18" s="31"/>
      <c r="AC18" s="31"/>
      <c r="AD18" s="31"/>
      <c r="AE18" s="31"/>
      <c r="AF18" s="31"/>
      <c r="AG18" s="31"/>
      <c r="AH18" s="31">
        <f>1/3</f>
      </c>
    </row>
    <row x14ac:dyDescent="0.25" r="19" customHeight="1" ht="18.75">
      <c r="A19" s="3"/>
      <c r="B19" s="2"/>
      <c r="C19" s="2"/>
      <c r="D19" s="2"/>
      <c r="E19" s="3"/>
      <c r="F19" s="3"/>
      <c r="G19" s="2"/>
      <c r="H19" s="2"/>
      <c r="I19" s="2"/>
      <c r="J19" s="3"/>
      <c r="K19" s="2"/>
      <c r="L19" s="2"/>
      <c r="M19" s="2"/>
      <c r="N19" s="46"/>
      <c r="O19" s="46"/>
      <c r="P19" s="149"/>
      <c r="Q19" s="46"/>
      <c r="R19" s="46"/>
      <c r="S19" s="46"/>
      <c r="T19" s="46"/>
      <c r="U19" s="46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0" t="s">
        <v>43</v>
      </c>
      <c r="B20" s="31" t="s">
        <v>131</v>
      </c>
      <c r="C20" s="31" t="s">
        <v>262</v>
      </c>
      <c r="D20" s="31" t="s">
        <v>262</v>
      </c>
      <c r="E20" s="32"/>
      <c r="F20" s="32"/>
      <c r="G20" s="31" t="s">
        <v>68</v>
      </c>
      <c r="H20" s="31" t="s">
        <v>68</v>
      </c>
      <c r="I20" s="31" t="s">
        <v>68</v>
      </c>
      <c r="J20" s="32"/>
      <c r="K20" s="31" t="s">
        <v>68</v>
      </c>
      <c r="L20" s="31" t="s">
        <v>68</v>
      </c>
      <c r="M20" s="31" t="s">
        <v>68</v>
      </c>
      <c r="N20" s="32"/>
      <c r="O20" s="32"/>
      <c r="P20" s="31" t="s">
        <v>387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1" t="s">
        <v>68</v>
      </c>
      <c r="AB20" s="32"/>
      <c r="AC20" s="32"/>
      <c r="AD20" s="32"/>
      <c r="AE20" s="32"/>
      <c r="AF20" s="32"/>
      <c r="AG20" s="32"/>
      <c r="AH20" s="31" t="s">
        <v>262</v>
      </c>
    </row>
    <row x14ac:dyDescent="0.25" r="21" customHeight="1" ht="18.75">
      <c r="A21" s="30" t="s">
        <v>45</v>
      </c>
      <c r="B21" s="31" t="s">
        <v>132</v>
      </c>
      <c r="C21" s="31" t="s">
        <v>262</v>
      </c>
      <c r="D21" s="31" t="s">
        <v>262</v>
      </c>
      <c r="E21" s="34"/>
      <c r="F21" s="34"/>
      <c r="G21" s="31" t="s">
        <v>132</v>
      </c>
      <c r="H21" s="31" t="s">
        <v>132</v>
      </c>
      <c r="I21" s="31" t="s">
        <v>132</v>
      </c>
      <c r="J21" s="34"/>
      <c r="K21" s="31" t="s">
        <v>368</v>
      </c>
      <c r="L21" s="31" t="s">
        <v>368</v>
      </c>
      <c r="M21" s="31" t="s">
        <v>368</v>
      </c>
      <c r="N21" s="34"/>
      <c r="O21" s="34"/>
      <c r="P21" s="31" t="s">
        <v>271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1" t="s">
        <v>132</v>
      </c>
      <c r="AB21" s="34"/>
      <c r="AC21" s="34"/>
      <c r="AD21" s="34"/>
      <c r="AE21" s="34"/>
      <c r="AF21" s="34"/>
      <c r="AG21" s="34"/>
      <c r="AH21" s="31" t="s">
        <v>262</v>
      </c>
    </row>
    <row x14ac:dyDescent="0.25" r="22" customHeight="1" ht="18.75">
      <c r="A22" s="35" t="s">
        <v>47</v>
      </c>
      <c r="B22" s="117">
        <v>98</v>
      </c>
      <c r="C22" s="117">
        <v>70</v>
      </c>
      <c r="D22" s="117">
        <v>70</v>
      </c>
      <c r="E22" s="37"/>
      <c r="F22" s="37"/>
      <c r="G22" s="117">
        <v>98</v>
      </c>
      <c r="H22" s="117">
        <v>98</v>
      </c>
      <c r="I22" s="117">
        <v>98</v>
      </c>
      <c r="J22" s="37"/>
      <c r="K22" s="117">
        <v>151</v>
      </c>
      <c r="L22" s="117">
        <v>151</v>
      </c>
      <c r="M22" s="117">
        <v>151</v>
      </c>
      <c r="N22" s="37"/>
      <c r="O22" s="37"/>
      <c r="P22" s="117">
        <v>57</v>
      </c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117">
        <v>98</v>
      </c>
      <c r="AB22" s="37"/>
      <c r="AC22" s="37"/>
      <c r="AD22" s="37"/>
      <c r="AE22" s="37"/>
      <c r="AF22" s="37"/>
      <c r="AG22" s="37"/>
      <c r="AH22" s="117">
        <v>70</v>
      </c>
    </row>
    <row x14ac:dyDescent="0.25" r="23" customHeight="1" ht="18.75">
      <c r="A23" s="30" t="s">
        <v>123</v>
      </c>
      <c r="B23" s="31" t="s">
        <v>52</v>
      </c>
      <c r="C23" s="33" t="s">
        <v>52</v>
      </c>
      <c r="D23" s="33" t="s">
        <v>52</v>
      </c>
      <c r="E23" s="32"/>
      <c r="F23" s="32"/>
      <c r="G23" s="31" t="s">
        <v>52</v>
      </c>
      <c r="H23" s="31" t="s">
        <v>52</v>
      </c>
      <c r="I23" s="31" t="s">
        <v>52</v>
      </c>
      <c r="J23" s="32"/>
      <c r="K23" s="31" t="s">
        <v>52</v>
      </c>
      <c r="L23" s="31" t="s">
        <v>52</v>
      </c>
      <c r="M23" s="31" t="s">
        <v>52</v>
      </c>
      <c r="N23" s="32"/>
      <c r="O23" s="32"/>
      <c r="P23" s="31" t="s">
        <v>52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1" t="s">
        <v>52</v>
      </c>
      <c r="AB23" s="32"/>
      <c r="AC23" s="34"/>
      <c r="AD23" s="32"/>
      <c r="AE23" s="34"/>
      <c r="AF23" s="32"/>
      <c r="AG23" s="32"/>
      <c r="AH23" s="33" t="s">
        <v>52</v>
      </c>
    </row>
    <row x14ac:dyDescent="0.25" r="24" customHeight="1" ht="18.75">
      <c r="A24" s="30" t="s">
        <v>124</v>
      </c>
      <c r="B24" s="31" t="s">
        <v>52</v>
      </c>
      <c r="C24" s="33" t="s">
        <v>52</v>
      </c>
      <c r="D24" s="33" t="s">
        <v>52</v>
      </c>
      <c r="E24" s="32"/>
      <c r="F24" s="32"/>
      <c r="G24" s="31" t="s">
        <v>52</v>
      </c>
      <c r="H24" s="31" t="s">
        <v>52</v>
      </c>
      <c r="I24" s="31" t="s">
        <v>52</v>
      </c>
      <c r="J24" s="32"/>
      <c r="K24" s="31" t="s">
        <v>162</v>
      </c>
      <c r="L24" s="31" t="s">
        <v>162</v>
      </c>
      <c r="M24" s="31" t="s">
        <v>162</v>
      </c>
      <c r="N24" s="32"/>
      <c r="O24" s="32"/>
      <c r="P24" s="31" t="s">
        <v>52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1" t="s">
        <v>52</v>
      </c>
      <c r="AB24" s="32"/>
      <c r="AC24" s="32"/>
      <c r="AD24" s="32"/>
      <c r="AE24" s="32"/>
      <c r="AF24" s="32"/>
      <c r="AG24" s="32"/>
      <c r="AH24" s="33" t="s">
        <v>52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2"/>
      <c r="F25" s="32"/>
      <c r="G25" s="31" t="s">
        <v>49</v>
      </c>
      <c r="H25" s="31" t="s">
        <v>49</v>
      </c>
      <c r="I25" s="31" t="s">
        <v>49</v>
      </c>
      <c r="J25" s="32"/>
      <c r="K25" s="31" t="s">
        <v>49</v>
      </c>
      <c r="L25" s="31" t="s">
        <v>49</v>
      </c>
      <c r="M25" s="31" t="s">
        <v>49</v>
      </c>
      <c r="N25" s="32"/>
      <c r="O25" s="32"/>
      <c r="P25" s="31" t="s">
        <v>52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1" t="s">
        <v>49</v>
      </c>
      <c r="AB25" s="32"/>
      <c r="AC25" s="32"/>
      <c r="AD25" s="32"/>
      <c r="AE25" s="32"/>
      <c r="AF25" s="32"/>
      <c r="AG25" s="32"/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2"/>
      <c r="F26" s="32"/>
      <c r="G26" s="31" t="s">
        <v>49</v>
      </c>
      <c r="H26" s="31" t="s">
        <v>49</v>
      </c>
      <c r="I26" s="31" t="s">
        <v>49</v>
      </c>
      <c r="J26" s="32"/>
      <c r="K26" s="31" t="s">
        <v>49</v>
      </c>
      <c r="L26" s="31" t="s">
        <v>49</v>
      </c>
      <c r="M26" s="31" t="s">
        <v>49</v>
      </c>
      <c r="N26" s="32"/>
      <c r="O26" s="32"/>
      <c r="P26" s="31" t="s">
        <v>49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1" t="s">
        <v>49</v>
      </c>
      <c r="AB26" s="32"/>
      <c r="AC26" s="32"/>
      <c r="AD26" s="32"/>
      <c r="AE26" s="32"/>
      <c r="AF26" s="32"/>
      <c r="AG26" s="32"/>
      <c r="AH26" s="31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140</v>
      </c>
      <c r="D27" s="31" t="s">
        <v>140</v>
      </c>
      <c r="E27" s="32"/>
      <c r="F27" s="32"/>
      <c r="G27" s="31" t="s">
        <v>133</v>
      </c>
      <c r="H27" s="31" t="s">
        <v>133</v>
      </c>
      <c r="I27" s="31" t="s">
        <v>133</v>
      </c>
      <c r="J27" s="32"/>
      <c r="K27" s="31" t="s">
        <v>133</v>
      </c>
      <c r="L27" s="31" t="s">
        <v>133</v>
      </c>
      <c r="M27" s="31" t="s">
        <v>133</v>
      </c>
      <c r="N27" s="32"/>
      <c r="O27" s="32"/>
      <c r="P27" s="31" t="s">
        <v>133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1" t="s">
        <v>133</v>
      </c>
      <c r="AB27" s="32"/>
      <c r="AC27" s="32"/>
      <c r="AD27" s="32"/>
      <c r="AE27" s="32"/>
      <c r="AF27" s="32"/>
      <c r="AG27" s="32"/>
      <c r="AH27" s="31" t="s">
        <v>140</v>
      </c>
    </row>
    <row x14ac:dyDescent="0.25" r="28" customHeight="1" ht="18.75">
      <c r="A28" s="30" t="s">
        <v>128</v>
      </c>
      <c r="B28" s="31">
        <v>-2</v>
      </c>
      <c r="C28" s="31">
        <v>3</v>
      </c>
      <c r="D28" s="31">
        <v>3</v>
      </c>
      <c r="E28" s="31"/>
      <c r="F28" s="31"/>
      <c r="G28" s="31">
        <v>-2</v>
      </c>
      <c r="H28" s="31">
        <v>-2</v>
      </c>
      <c r="I28" s="31">
        <v>-2</v>
      </c>
      <c r="J28" s="31"/>
      <c r="K28" s="31">
        <v>-2</v>
      </c>
      <c r="L28" s="31">
        <v>-2</v>
      </c>
      <c r="M28" s="31">
        <v>-2</v>
      </c>
      <c r="N28" s="31"/>
      <c r="O28" s="31"/>
      <c r="P28" s="31">
        <v>-0.5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>
        <v>-2</v>
      </c>
      <c r="AB28" s="31"/>
      <c r="AC28" s="31"/>
      <c r="AD28" s="31"/>
      <c r="AE28" s="31"/>
      <c r="AF28" s="31"/>
      <c r="AG28" s="31"/>
      <c r="AH28" s="31">
        <v>3</v>
      </c>
    </row>
    <row x14ac:dyDescent="0.25" r="29" customHeight="1" ht="18.75">
      <c r="A29" s="30" t="s">
        <v>129</v>
      </c>
      <c r="B29" s="31" t="s">
        <v>134</v>
      </c>
      <c r="C29" s="31" t="s">
        <v>257</v>
      </c>
      <c r="D29" s="31" t="s">
        <v>257</v>
      </c>
      <c r="E29" s="32"/>
      <c r="F29" s="32"/>
      <c r="G29" s="31" t="s">
        <v>134</v>
      </c>
      <c r="H29" s="31" t="s">
        <v>134</v>
      </c>
      <c r="I29" s="31" t="s">
        <v>134</v>
      </c>
      <c r="J29" s="32"/>
      <c r="K29" s="31" t="s">
        <v>369</v>
      </c>
      <c r="L29" s="31" t="s">
        <v>369</v>
      </c>
      <c r="M29" s="31" t="s">
        <v>369</v>
      </c>
      <c r="N29" s="32"/>
      <c r="O29" s="32"/>
      <c r="P29" s="31" t="s">
        <v>169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1" t="s">
        <v>134</v>
      </c>
      <c r="AB29" s="32"/>
      <c r="AC29" s="32"/>
      <c r="AD29" s="32"/>
      <c r="AE29" s="32"/>
      <c r="AF29" s="32"/>
      <c r="AG29" s="32"/>
      <c r="AH29" s="31" t="s">
        <v>257</v>
      </c>
    </row>
    <row x14ac:dyDescent="0.25" r="30" customHeight="1" ht="18.75">
      <c r="A30" s="30" t="s">
        <v>130</v>
      </c>
      <c r="B30" s="31">
        <f>1/3</f>
      </c>
      <c r="C30" s="31">
        <v>1.5</v>
      </c>
      <c r="D30" s="31">
        <v>1.5</v>
      </c>
      <c r="E30" s="31"/>
      <c r="F30" s="31"/>
      <c r="G30" s="31">
        <f>1/3</f>
      </c>
      <c r="H30" s="31">
        <f>1/3</f>
      </c>
      <c r="I30" s="31">
        <f>1/3</f>
      </c>
      <c r="J30" s="31"/>
      <c r="K30" s="31">
        <f>AVERAGE(1/3,0)</f>
      </c>
      <c r="L30" s="31">
        <f>AVERAGE(1/3,0)</f>
      </c>
      <c r="M30" s="31">
        <f>AVERAGE(1/3,0)</f>
      </c>
      <c r="N30" s="31"/>
      <c r="O30" s="31"/>
      <c r="P30" s="31">
        <v>2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>
        <f>1/3</f>
      </c>
      <c r="AB30" s="31"/>
      <c r="AC30" s="31"/>
      <c r="AD30" s="31"/>
      <c r="AE30" s="31"/>
      <c r="AF30" s="31"/>
      <c r="AG30" s="31"/>
      <c r="AH30" s="31">
        <v>1.5</v>
      </c>
    </row>
    <row x14ac:dyDescent="0.25" r="31" customHeight="1" ht="18.75">
      <c r="A31" s="3"/>
      <c r="B31" s="2"/>
      <c r="C31" s="2"/>
      <c r="D31" s="2"/>
      <c r="E31" s="3"/>
      <c r="F31" s="3"/>
      <c r="G31" s="2"/>
      <c r="H31" s="2"/>
      <c r="I31" s="2"/>
      <c r="J31" s="3"/>
      <c r="K31" s="2"/>
      <c r="L31" s="2"/>
      <c r="M31" s="2"/>
      <c r="N31" s="46"/>
      <c r="O31" s="46"/>
      <c r="P31" s="149"/>
      <c r="Q31" s="46"/>
      <c r="R31" s="46"/>
      <c r="S31" s="46"/>
      <c r="T31" s="46"/>
      <c r="U31" s="46"/>
      <c r="V31" s="3"/>
      <c r="W31" s="3"/>
      <c r="X31" s="3"/>
      <c r="Y31" s="3"/>
      <c r="Z31" s="3"/>
      <c r="AA31" s="2"/>
      <c r="AB31" s="3"/>
      <c r="AC31" s="3"/>
      <c r="AD31" s="3"/>
      <c r="AE31" s="3"/>
      <c r="AF31" s="3"/>
      <c r="AG31" s="3"/>
      <c r="AH31" s="2"/>
    </row>
    <row x14ac:dyDescent="0.25" r="32" customHeight="1" ht="18.75">
      <c r="A32" s="38" t="s">
        <v>64</v>
      </c>
      <c r="B32" s="2"/>
      <c r="C32" s="2"/>
      <c r="D32" s="2"/>
      <c r="E32" s="3"/>
      <c r="F32" s="3"/>
      <c r="G32" s="2"/>
      <c r="H32" s="2"/>
      <c r="I32" s="2"/>
      <c r="J32" s="3"/>
      <c r="K32" s="2"/>
      <c r="L32" s="2"/>
      <c r="M32" s="2"/>
      <c r="N32" s="46"/>
      <c r="O32" s="46"/>
      <c r="P32" s="149"/>
      <c r="Q32" s="46"/>
      <c r="R32" s="46"/>
      <c r="S32" s="46"/>
      <c r="T32" s="46"/>
      <c r="U32" s="46"/>
      <c r="V32" s="3"/>
      <c r="W32" s="3"/>
      <c r="X32" s="3"/>
      <c r="Y32" s="3"/>
      <c r="Z32" s="3"/>
      <c r="AA32" s="2"/>
      <c r="AB32" s="3"/>
      <c r="AC32" s="3"/>
      <c r="AD32" s="3"/>
      <c r="AE32" s="3"/>
      <c r="AF32" s="3"/>
      <c r="AG32" s="3"/>
      <c r="AH32" s="2"/>
    </row>
    <row x14ac:dyDescent="0.25" r="33" customHeight="1" ht="18.75">
      <c r="A33" s="30" t="s">
        <v>398</v>
      </c>
      <c r="B33" s="40"/>
      <c r="C33" s="2"/>
      <c r="D33" s="2"/>
      <c r="E33" s="3"/>
      <c r="F33" s="3"/>
      <c r="G33" s="2"/>
      <c r="H33" s="2"/>
      <c r="I33" s="2"/>
      <c r="J33" s="3"/>
      <c r="K33" s="2"/>
      <c r="L33" s="2"/>
      <c r="M33" s="2"/>
      <c r="N33" s="46"/>
      <c r="O33" s="46"/>
      <c r="P33" s="149"/>
      <c r="Q33" s="46"/>
      <c r="R33" s="46"/>
      <c r="S33" s="46"/>
      <c r="T33" s="46"/>
      <c r="U33" s="46"/>
      <c r="V33" s="3"/>
      <c r="W33" s="3"/>
      <c r="X33" s="3"/>
      <c r="Y33" s="3"/>
      <c r="Z33" s="3"/>
      <c r="AA33" s="2"/>
      <c r="AB33" s="3"/>
      <c r="AC33" s="3"/>
      <c r="AD33" s="3"/>
      <c r="AE33" s="3"/>
      <c r="AF33" s="3"/>
      <c r="AG33" s="3"/>
      <c r="AH33" s="2"/>
    </row>
    <row x14ac:dyDescent="0.25" r="34" customHeight="1" ht="18.75">
      <c r="A34" s="3"/>
      <c r="B34" s="2"/>
      <c r="C34" s="2"/>
      <c r="D34" s="2"/>
      <c r="E34" s="3"/>
      <c r="F34" s="3"/>
      <c r="G34" s="2"/>
      <c r="H34" s="2"/>
      <c r="I34" s="2"/>
      <c r="J34" s="3"/>
      <c r="K34" s="2"/>
      <c r="L34" s="2"/>
      <c r="M34" s="2"/>
      <c r="N34" s="46"/>
      <c r="O34" s="46"/>
      <c r="P34" s="149"/>
      <c r="Q34" s="46"/>
      <c r="R34" s="46"/>
      <c r="S34" s="46"/>
      <c r="T34" s="46"/>
      <c r="U34" s="46"/>
      <c r="V34" s="3"/>
      <c r="W34" s="3"/>
      <c r="X34" s="3"/>
      <c r="Y34" s="3"/>
      <c r="Z34" s="3"/>
      <c r="AA34" s="2"/>
      <c r="AB34" s="3"/>
      <c r="AC34" s="3"/>
      <c r="AD34" s="3"/>
      <c r="AE34" s="3"/>
      <c r="AF34" s="3"/>
      <c r="AG34" s="3"/>
      <c r="AH34" s="2"/>
    </row>
    <row x14ac:dyDescent="0.25" r="35" customHeight="1" ht="18.75">
      <c r="A35" s="3"/>
      <c r="B35" s="2"/>
      <c r="C35" s="2"/>
      <c r="D35" s="2"/>
      <c r="E35" s="3"/>
      <c r="F35" s="3"/>
      <c r="G35" s="2"/>
      <c r="H35" s="2"/>
      <c r="I35" s="2"/>
      <c r="J35" s="3"/>
      <c r="K35" s="2"/>
      <c r="L35" s="2"/>
      <c r="M35" s="2"/>
      <c r="N35" s="46"/>
      <c r="O35" s="46"/>
      <c r="P35" s="149"/>
      <c r="Q35" s="46"/>
      <c r="R35" s="46"/>
      <c r="S35" s="46"/>
      <c r="T35" s="46"/>
      <c r="U35" s="46"/>
      <c r="V35" s="3"/>
      <c r="W35" s="3"/>
      <c r="X35" s="3"/>
      <c r="Y35" s="3"/>
      <c r="Z35" s="3"/>
      <c r="AA35" s="2"/>
      <c r="AB35" s="3"/>
      <c r="AC35" s="3"/>
      <c r="AD35" s="3"/>
      <c r="AE35" s="3"/>
      <c r="AF35" s="3"/>
      <c r="AG35" s="3"/>
      <c r="AH35" s="2"/>
    </row>
    <row x14ac:dyDescent="0.25" r="36" customHeight="1" ht="18.75">
      <c r="A36" s="3"/>
      <c r="B36" s="2"/>
      <c r="C36" s="2"/>
      <c r="D36" s="2"/>
      <c r="E36" s="3"/>
      <c r="F36" s="3"/>
      <c r="G36" s="2"/>
      <c r="H36" s="2"/>
      <c r="I36" s="2"/>
      <c r="J36" s="3"/>
      <c r="K36" s="2"/>
      <c r="L36" s="2"/>
      <c r="M36" s="2"/>
      <c r="N36" s="46"/>
      <c r="O36" s="46"/>
      <c r="P36" s="149"/>
      <c r="Q36" s="46"/>
      <c r="R36" s="46"/>
      <c r="S36" s="46"/>
      <c r="T36" s="46"/>
      <c r="U36" s="46"/>
      <c r="V36" s="3"/>
      <c r="W36" s="3"/>
      <c r="X36" s="3"/>
      <c r="Y36" s="3"/>
      <c r="Z36" s="3"/>
      <c r="AA36" s="2"/>
      <c r="AB36" s="3"/>
      <c r="AC36" s="3"/>
      <c r="AD36" s="3"/>
      <c r="AE36" s="3"/>
      <c r="AF36" s="3"/>
      <c r="AG36" s="3"/>
      <c r="AH36" s="2"/>
    </row>
    <row x14ac:dyDescent="0.25" r="37" customHeight="1" ht="18.75">
      <c r="A37" s="3"/>
      <c r="B37" s="2"/>
      <c r="C37" s="2"/>
      <c r="D37" s="2"/>
      <c r="E37" s="3"/>
      <c r="F37" s="3"/>
      <c r="G37" s="2"/>
      <c r="H37" s="2"/>
      <c r="I37" s="2"/>
      <c r="J37" s="3"/>
      <c r="K37" s="2"/>
      <c r="L37" s="2"/>
      <c r="M37" s="2"/>
      <c r="N37" s="46"/>
      <c r="O37" s="46"/>
      <c r="P37" s="149"/>
      <c r="Q37" s="46"/>
      <c r="R37" s="46"/>
      <c r="S37" s="46"/>
      <c r="T37" s="46"/>
      <c r="U37" s="46"/>
      <c r="V37" s="3"/>
      <c r="W37" s="3"/>
      <c r="X37" s="3"/>
      <c r="Y37" s="3"/>
      <c r="Z37" s="3"/>
      <c r="AA37" s="2"/>
      <c r="AB37" s="3"/>
      <c r="AC37" s="3"/>
      <c r="AD37" s="3"/>
      <c r="AE37" s="3"/>
      <c r="AF37" s="3"/>
      <c r="AG37" s="3"/>
      <c r="AH37" s="2"/>
    </row>
    <row x14ac:dyDescent="0.25" r="38" customHeight="1" ht="18.75">
      <c r="A38" s="3"/>
      <c r="B38" s="2"/>
      <c r="C38" s="2"/>
      <c r="D38" s="2"/>
      <c r="E38" s="3"/>
      <c r="F38" s="3"/>
      <c r="G38" s="2"/>
      <c r="H38" s="2"/>
      <c r="I38" s="2"/>
      <c r="J38" s="3"/>
      <c r="K38" s="2"/>
      <c r="L38" s="2"/>
      <c r="M38" s="2"/>
      <c r="N38" s="46"/>
      <c r="O38" s="46"/>
      <c r="P38" s="149"/>
      <c r="Q38" s="46"/>
      <c r="R38" s="46"/>
      <c r="S38" s="46"/>
      <c r="T38" s="46"/>
      <c r="U38" s="46"/>
      <c r="V38" s="3"/>
      <c r="W38" s="3"/>
      <c r="X38" s="3"/>
      <c r="Y38" s="3"/>
      <c r="Z38" s="3"/>
      <c r="AA38" s="2"/>
      <c r="AB38" s="3"/>
      <c r="AC38" s="3"/>
      <c r="AD38" s="3"/>
      <c r="AE38" s="3"/>
      <c r="AF38" s="3"/>
      <c r="AG38" s="3"/>
      <c r="AH38" s="2"/>
    </row>
    <row x14ac:dyDescent="0.25" r="39" customHeight="1" ht="18.75">
      <c r="A39" s="3"/>
      <c r="B39" s="2"/>
      <c r="C39" s="2"/>
      <c r="D39" s="2"/>
      <c r="E39" s="3"/>
      <c r="F39" s="3"/>
      <c r="G39" s="2"/>
      <c r="H39" s="2"/>
      <c r="I39" s="2"/>
      <c r="J39" s="3"/>
      <c r="K39" s="2"/>
      <c r="L39" s="2"/>
      <c r="M39" s="2"/>
      <c r="N39" s="30"/>
      <c r="O39" s="30"/>
      <c r="P39" s="150"/>
      <c r="Q39" s="30"/>
      <c r="R39" s="30"/>
      <c r="S39" s="30"/>
      <c r="T39" s="30"/>
      <c r="U39" s="30"/>
      <c r="V39" s="3"/>
      <c r="W39" s="3"/>
      <c r="X39" s="3"/>
      <c r="Y39" s="3"/>
      <c r="Z39" s="3"/>
      <c r="AA39" s="2"/>
      <c r="AB39" s="3"/>
      <c r="AC39" s="3"/>
      <c r="AD39" s="3"/>
      <c r="AE39" s="3"/>
      <c r="AF39" s="3"/>
      <c r="AG39" s="3"/>
      <c r="AH39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34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4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3" width="13.576428571428572" customWidth="1" bestFit="1"/>
    <col min="23" max="23" style="43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3"/>
      <c r="F1" s="3"/>
      <c r="G1" s="2"/>
      <c r="H1" s="2"/>
      <c r="I1" s="45" t="s">
        <v>136</v>
      </c>
      <c r="J1" s="3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2"/>
      <c r="W1" s="2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  <c r="AI1" s="3"/>
      <c r="AJ1" s="2"/>
      <c r="AK1" s="2"/>
    </row>
    <row x14ac:dyDescent="0.25" r="2" customHeight="1" ht="18.75">
      <c r="A2" s="4"/>
      <c r="B2" s="2"/>
      <c r="C2" s="2"/>
      <c r="D2" s="2"/>
      <c r="E2" s="3"/>
      <c r="F2" s="3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2"/>
      <c r="W2" s="2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  <c r="AI2" s="3"/>
      <c r="AJ2" s="2"/>
      <c r="AK2" s="2"/>
    </row>
    <row x14ac:dyDescent="0.25" r="3" customHeight="1" ht="18.75">
      <c r="A3" s="1" t="s">
        <v>2</v>
      </c>
      <c r="B3" s="5">
        <v>86</v>
      </c>
      <c r="C3" s="7"/>
      <c r="D3" s="7"/>
      <c r="E3" s="1"/>
      <c r="F3" s="1" t="s">
        <v>3</v>
      </c>
      <c r="G3" s="45"/>
      <c r="H3" s="45"/>
      <c r="I3" s="45"/>
      <c r="J3" s="1"/>
      <c r="K3" s="45"/>
      <c r="L3" s="45"/>
      <c r="M3" s="45"/>
      <c r="N3" s="45"/>
      <c r="O3" s="45"/>
      <c r="P3" s="2"/>
      <c r="Q3" s="2"/>
      <c r="R3" s="3"/>
      <c r="S3" s="3"/>
      <c r="T3" s="3"/>
      <c r="U3" s="3"/>
      <c r="V3" s="2"/>
      <c r="W3" s="2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  <c r="AI3" s="3"/>
      <c r="AJ3" s="2"/>
      <c r="AK3" s="2"/>
    </row>
    <row x14ac:dyDescent="0.25" r="4" customHeight="1" ht="18.75">
      <c r="A4" s="1" t="s">
        <v>4</v>
      </c>
      <c r="B4" s="7" t="s">
        <v>377</v>
      </c>
      <c r="C4" s="7"/>
      <c r="D4" s="7"/>
      <c r="E4" s="3"/>
      <c r="F4" s="91" t="s">
        <v>378</v>
      </c>
      <c r="G4" s="92"/>
      <c r="H4" s="92"/>
      <c r="I4" s="92"/>
      <c r="J4" s="93"/>
      <c r="K4" s="92"/>
      <c r="L4" s="92"/>
      <c r="M4" s="92"/>
      <c r="N4" s="92"/>
      <c r="O4" s="92"/>
      <c r="P4" s="125"/>
      <c r="Q4" s="2"/>
      <c r="R4" s="3"/>
      <c r="S4" s="3"/>
      <c r="T4" s="3"/>
      <c r="U4" s="3"/>
      <c r="V4" s="2"/>
      <c r="W4" s="2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  <c r="AI4" s="3"/>
      <c r="AJ4" s="2"/>
      <c r="AK4" s="2"/>
    </row>
    <row x14ac:dyDescent="0.25" r="5" customHeight="1" ht="18.75">
      <c r="A5" s="1" t="s">
        <v>7</v>
      </c>
      <c r="B5" s="7" t="s">
        <v>75</v>
      </c>
      <c r="C5" s="7"/>
      <c r="D5" s="7"/>
      <c r="E5" s="3"/>
      <c r="F5" s="95"/>
      <c r="G5" s="96"/>
      <c r="H5" s="96"/>
      <c r="I5" s="96"/>
      <c r="J5" s="97"/>
      <c r="K5" s="96"/>
      <c r="L5" s="96"/>
      <c r="M5" s="96"/>
      <c r="N5" s="96"/>
      <c r="O5" s="96"/>
      <c r="P5" s="127"/>
      <c r="Q5" s="2"/>
      <c r="R5" s="3"/>
      <c r="S5" s="3"/>
      <c r="T5" s="3"/>
      <c r="U5" s="3"/>
      <c r="V5" s="2"/>
      <c r="W5" s="2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  <c r="AI5" s="3"/>
      <c r="AJ5" s="2"/>
      <c r="AK5" s="2"/>
    </row>
    <row x14ac:dyDescent="0.25" r="6" customHeight="1" ht="18.75">
      <c r="A6" s="4"/>
      <c r="B6" s="2"/>
      <c r="C6" s="2"/>
      <c r="D6" s="2"/>
      <c r="E6" s="3"/>
      <c r="F6" s="3"/>
      <c r="G6" s="2"/>
      <c r="H6" s="2"/>
      <c r="I6" s="2"/>
      <c r="J6" s="3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2"/>
      <c r="W6" s="2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66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147" t="s">
        <v>30</v>
      </c>
      <c r="W7" s="14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56" t="s">
        <v>41</v>
      </c>
      <c r="AH7" s="56" t="s">
        <v>42</v>
      </c>
      <c r="AI7" s="3"/>
      <c r="AJ7" s="54" t="s">
        <v>24</v>
      </c>
      <c r="AK7" s="102" t="s">
        <v>25</v>
      </c>
    </row>
    <row x14ac:dyDescent="0.25" r="8" customHeight="1" ht="18.75">
      <c r="A8" s="30" t="s">
        <v>43</v>
      </c>
      <c r="B8" s="31" t="s">
        <v>257</v>
      </c>
      <c r="C8" s="114" t="s">
        <v>379</v>
      </c>
      <c r="D8" s="114" t="s">
        <v>358</v>
      </c>
      <c r="E8" s="32"/>
      <c r="F8" s="32"/>
      <c r="G8" s="31" t="s">
        <v>251</v>
      </c>
      <c r="H8" s="31" t="s">
        <v>251</v>
      </c>
      <c r="I8" s="31" t="s">
        <v>251</v>
      </c>
      <c r="J8" s="32"/>
      <c r="K8" s="31" t="s">
        <v>252</v>
      </c>
      <c r="L8" s="31" t="s">
        <v>252</v>
      </c>
      <c r="M8" s="31" t="s">
        <v>252</v>
      </c>
      <c r="N8" s="31" t="s">
        <v>379</v>
      </c>
      <c r="O8" s="31" t="s">
        <v>379</v>
      </c>
      <c r="P8" s="31" t="s">
        <v>380</v>
      </c>
      <c r="Q8" s="31" t="s">
        <v>380</v>
      </c>
      <c r="R8" s="32"/>
      <c r="S8" s="32"/>
      <c r="T8" s="32"/>
      <c r="U8" s="32"/>
      <c r="V8" s="31"/>
      <c r="W8" s="31"/>
      <c r="X8" s="32"/>
      <c r="Y8" s="32"/>
      <c r="Z8" s="32"/>
      <c r="AA8" s="31" t="s">
        <v>380</v>
      </c>
      <c r="AB8" s="32"/>
      <c r="AC8" s="32"/>
      <c r="AD8" s="32"/>
      <c r="AE8" s="32"/>
      <c r="AF8" s="32"/>
      <c r="AG8" s="31" t="s">
        <v>381</v>
      </c>
      <c r="AH8" s="143" t="s">
        <v>358</v>
      </c>
      <c r="AI8" s="3"/>
      <c r="AJ8" s="31" t="s">
        <v>250</v>
      </c>
      <c r="AK8" s="31" t="s">
        <v>250</v>
      </c>
    </row>
    <row x14ac:dyDescent="0.25" r="9" customHeight="1" ht="15.75">
      <c r="A9" s="30" t="s">
        <v>45</v>
      </c>
      <c r="B9" s="31" t="s">
        <v>250</v>
      </c>
      <c r="C9" s="119" t="s">
        <v>254</v>
      </c>
      <c r="D9" s="33" t="s">
        <v>382</v>
      </c>
      <c r="E9" s="34"/>
      <c r="F9" s="34"/>
      <c r="G9" s="119" t="s">
        <v>254</v>
      </c>
      <c r="H9" s="119" t="s">
        <v>254</v>
      </c>
      <c r="I9" s="119" t="s">
        <v>254</v>
      </c>
      <c r="J9" s="34"/>
      <c r="K9" s="119" t="s">
        <v>255</v>
      </c>
      <c r="L9" s="119" t="s">
        <v>255</v>
      </c>
      <c r="M9" s="119" t="s">
        <v>255</v>
      </c>
      <c r="N9" s="119" t="s">
        <v>254</v>
      </c>
      <c r="O9" s="119" t="s">
        <v>254</v>
      </c>
      <c r="P9" s="119" t="s">
        <v>255</v>
      </c>
      <c r="Q9" s="119" t="s">
        <v>255</v>
      </c>
      <c r="R9" s="34"/>
      <c r="S9" s="34"/>
      <c r="T9" s="34"/>
      <c r="U9" s="34"/>
      <c r="V9" s="31" t="s">
        <v>383</v>
      </c>
      <c r="W9" s="31" t="s">
        <v>383</v>
      </c>
      <c r="X9" s="34"/>
      <c r="Y9" s="34"/>
      <c r="Z9" s="34"/>
      <c r="AA9" s="148" t="s">
        <v>384</v>
      </c>
      <c r="AB9" s="34"/>
      <c r="AC9" s="34"/>
      <c r="AD9" s="34"/>
      <c r="AE9" s="34"/>
      <c r="AF9" s="34"/>
      <c r="AG9" s="31" t="s">
        <v>385</v>
      </c>
      <c r="AH9" s="143" t="s">
        <v>358</v>
      </c>
      <c r="AI9" s="3"/>
      <c r="AJ9" s="33" t="s">
        <v>382</v>
      </c>
      <c r="AK9" s="33" t="s">
        <v>382</v>
      </c>
    </row>
    <row x14ac:dyDescent="0.25" r="10" customHeight="1" ht="18.75">
      <c r="A10" s="35" t="s">
        <v>47</v>
      </c>
      <c r="B10" s="117">
        <v>73</v>
      </c>
      <c r="C10" s="117">
        <v>266</v>
      </c>
      <c r="D10" s="117">
        <v>191</v>
      </c>
      <c r="E10" s="37"/>
      <c r="F10" s="37"/>
      <c r="G10" s="117">
        <v>266</v>
      </c>
      <c r="H10" s="117">
        <v>266</v>
      </c>
      <c r="I10" s="117">
        <v>266</v>
      </c>
      <c r="J10" s="37"/>
      <c r="K10" s="117">
        <v>265</v>
      </c>
      <c r="L10" s="117">
        <v>265</v>
      </c>
      <c r="M10" s="117">
        <v>265</v>
      </c>
      <c r="N10" s="117">
        <v>266</v>
      </c>
      <c r="O10" s="117">
        <v>266</v>
      </c>
      <c r="P10" s="117">
        <v>265</v>
      </c>
      <c r="Q10" s="117">
        <v>265</v>
      </c>
      <c r="R10" s="37"/>
      <c r="S10" s="37"/>
      <c r="T10" s="37"/>
      <c r="U10" s="37"/>
      <c r="V10" s="117">
        <v>74</v>
      </c>
      <c r="W10" s="117">
        <v>74</v>
      </c>
      <c r="X10" s="37"/>
      <c r="Y10" s="37"/>
      <c r="Z10" s="37"/>
      <c r="AA10" s="117">
        <v>267</v>
      </c>
      <c r="AB10" s="37"/>
      <c r="AC10" s="37"/>
      <c r="AD10" s="37"/>
      <c r="AE10" s="37"/>
      <c r="AF10" s="37"/>
      <c r="AG10" s="117">
        <v>76</v>
      </c>
      <c r="AH10" s="144"/>
      <c r="AI10" s="3"/>
      <c r="AJ10" s="117">
        <v>191</v>
      </c>
      <c r="AK10" s="117">
        <v>191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49</v>
      </c>
      <c r="E11" s="32"/>
      <c r="F11" s="32"/>
      <c r="G11" s="31" t="s">
        <v>52</v>
      </c>
      <c r="H11" s="31" t="s">
        <v>52</v>
      </c>
      <c r="I11" s="31" t="s">
        <v>52</v>
      </c>
      <c r="J11" s="32"/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1" t="s">
        <v>52</v>
      </c>
      <c r="W11" s="31" t="s">
        <v>52</v>
      </c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1" t="s">
        <v>52</v>
      </c>
      <c r="AH11" s="143" t="s">
        <v>49</v>
      </c>
      <c r="AI11" s="3"/>
      <c r="AJ11" s="31" t="s">
        <v>49</v>
      </c>
      <c r="AK11" s="31" t="s">
        <v>49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2"/>
      <c r="F12" s="32"/>
      <c r="G12" s="31" t="s">
        <v>52</v>
      </c>
      <c r="H12" s="31" t="s">
        <v>52</v>
      </c>
      <c r="I12" s="31" t="s">
        <v>52</v>
      </c>
      <c r="J12" s="32"/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1" t="s">
        <v>52</v>
      </c>
      <c r="W12" s="31" t="s">
        <v>52</v>
      </c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1" t="s">
        <v>52</v>
      </c>
      <c r="AH12" s="143" t="s">
        <v>49</v>
      </c>
      <c r="AI12" s="3"/>
      <c r="AJ12" s="31" t="s">
        <v>52</v>
      </c>
      <c r="AK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2"/>
      <c r="F13" s="32"/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1" t="s">
        <v>49</v>
      </c>
      <c r="W13" s="31" t="s">
        <v>49</v>
      </c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1" t="s">
        <v>49</v>
      </c>
      <c r="AH13" s="143" t="s">
        <v>49</v>
      </c>
      <c r="AI13" s="3"/>
      <c r="AJ13" s="31" t="s">
        <v>49</v>
      </c>
      <c r="AK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2"/>
      <c r="F14" s="32"/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1" t="s">
        <v>49</v>
      </c>
      <c r="W14" s="31" t="s">
        <v>49</v>
      </c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143" t="s">
        <v>49</v>
      </c>
      <c r="AI14" s="3"/>
      <c r="AJ14" s="31" t="s">
        <v>49</v>
      </c>
      <c r="AK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256</v>
      </c>
      <c r="D15" s="31" t="s">
        <v>143</v>
      </c>
      <c r="E15" s="32"/>
      <c r="F15" s="32"/>
      <c r="G15" s="31" t="s">
        <v>256</v>
      </c>
      <c r="H15" s="31" t="s">
        <v>256</v>
      </c>
      <c r="I15" s="31" t="s">
        <v>256</v>
      </c>
      <c r="J15" s="32"/>
      <c r="K15" s="31" t="s">
        <v>133</v>
      </c>
      <c r="L15" s="31" t="s">
        <v>133</v>
      </c>
      <c r="M15" s="31" t="s">
        <v>133</v>
      </c>
      <c r="N15" s="31" t="s">
        <v>256</v>
      </c>
      <c r="O15" s="31" t="s">
        <v>256</v>
      </c>
      <c r="P15" s="31" t="s">
        <v>133</v>
      </c>
      <c r="Q15" s="31" t="s">
        <v>133</v>
      </c>
      <c r="R15" s="32"/>
      <c r="S15" s="32"/>
      <c r="T15" s="32"/>
      <c r="U15" s="32"/>
      <c r="V15" s="31" t="s">
        <v>133</v>
      </c>
      <c r="W15" s="31" t="s">
        <v>133</v>
      </c>
      <c r="X15" s="32"/>
      <c r="Y15" s="32"/>
      <c r="Z15" s="32"/>
      <c r="AA15" s="31" t="s">
        <v>256</v>
      </c>
      <c r="AB15" s="32"/>
      <c r="AC15" s="32"/>
      <c r="AD15" s="32"/>
      <c r="AE15" s="32"/>
      <c r="AF15" s="32"/>
      <c r="AG15" s="31" t="s">
        <v>133</v>
      </c>
      <c r="AH15" s="143" t="s">
        <v>133</v>
      </c>
      <c r="AI15" s="3"/>
      <c r="AJ15" s="31" t="s">
        <v>143</v>
      </c>
      <c r="AK15" s="31" t="s">
        <v>143</v>
      </c>
    </row>
    <row x14ac:dyDescent="0.25" r="16" customHeight="1" ht="18.75">
      <c r="A16" s="30" t="s">
        <v>128</v>
      </c>
      <c r="B16" s="31">
        <v>0.75</v>
      </c>
      <c r="C16" s="31">
        <f>AVERAGE(1.5,0)</f>
      </c>
      <c r="D16" s="31">
        <v>0.75</v>
      </c>
      <c r="E16" s="31"/>
      <c r="F16" s="31"/>
      <c r="G16" s="31">
        <f>AVERAGE(1.5,0)</f>
      </c>
      <c r="H16" s="31">
        <f>AVERAGE(1.5,0)</f>
      </c>
      <c r="I16" s="31">
        <f>AVERAGE(1.5,0)</f>
      </c>
      <c r="J16" s="31"/>
      <c r="K16" s="31">
        <v>-1</v>
      </c>
      <c r="L16" s="31">
        <v>-1</v>
      </c>
      <c r="M16" s="31">
        <v>-1</v>
      </c>
      <c r="N16" s="31">
        <f>AVERAGE(1.5,0)</f>
      </c>
      <c r="O16" s="31">
        <f>AVERAGE(1.5,0)</f>
      </c>
      <c r="P16" s="31">
        <v>-1</v>
      </c>
      <c r="Q16" s="31">
        <v>-1</v>
      </c>
      <c r="R16" s="31"/>
      <c r="S16" s="31"/>
      <c r="T16" s="31"/>
      <c r="U16" s="31"/>
      <c r="V16" s="31">
        <v>0</v>
      </c>
      <c r="W16" s="31">
        <v>0</v>
      </c>
      <c r="X16" s="31"/>
      <c r="Y16" s="31"/>
      <c r="Z16" s="31"/>
      <c r="AA16" s="31">
        <f>AVERAGE(1.5,0)</f>
      </c>
      <c r="AB16" s="31"/>
      <c r="AC16" s="31"/>
      <c r="AD16" s="31"/>
      <c r="AE16" s="31"/>
      <c r="AF16" s="31"/>
      <c r="AG16" s="31">
        <v>-2</v>
      </c>
      <c r="AH16" s="143">
        <v>-1</v>
      </c>
      <c r="AI16" s="3"/>
      <c r="AJ16" s="31">
        <v>0.75</v>
      </c>
      <c r="AK16" s="31">
        <v>0.75</v>
      </c>
    </row>
    <row x14ac:dyDescent="0.25" r="17" customHeight="1" ht="18.75">
      <c r="A17" s="30" t="s">
        <v>129</v>
      </c>
      <c r="B17" s="31" t="s">
        <v>257</v>
      </c>
      <c r="C17" s="31" t="s">
        <v>257</v>
      </c>
      <c r="D17" s="31" t="s">
        <v>386</v>
      </c>
      <c r="E17" s="32"/>
      <c r="F17" s="32"/>
      <c r="G17" s="31" t="s">
        <v>257</v>
      </c>
      <c r="H17" s="31" t="s">
        <v>257</v>
      </c>
      <c r="I17" s="31" t="s">
        <v>257</v>
      </c>
      <c r="J17" s="32"/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2"/>
      <c r="S17" s="32"/>
      <c r="T17" s="32"/>
      <c r="U17" s="32"/>
      <c r="V17" s="31" t="s">
        <v>257</v>
      </c>
      <c r="W17" s="31" t="s">
        <v>257</v>
      </c>
      <c r="X17" s="32"/>
      <c r="Y17" s="32"/>
      <c r="Z17" s="32"/>
      <c r="AA17" s="31" t="s">
        <v>249</v>
      </c>
      <c r="AB17" s="32"/>
      <c r="AC17" s="32"/>
      <c r="AD17" s="32"/>
      <c r="AE17" s="32"/>
      <c r="AF17" s="32"/>
      <c r="AG17" s="31" t="s">
        <v>257</v>
      </c>
      <c r="AH17" s="143" t="s">
        <v>358</v>
      </c>
      <c r="AI17" s="3"/>
      <c r="AJ17" s="31" t="s">
        <v>386</v>
      </c>
      <c r="AK17" s="31" t="s">
        <v>386</v>
      </c>
    </row>
    <row x14ac:dyDescent="0.25" r="18" customHeight="1" ht="18.75">
      <c r="A18" s="30" t="s">
        <v>130</v>
      </c>
      <c r="B18" s="31">
        <v>1.5</v>
      </c>
      <c r="C18" s="31">
        <v>1.5</v>
      </c>
      <c r="D18" s="31">
        <v>0.75</v>
      </c>
      <c r="E18" s="31"/>
      <c r="F18" s="31"/>
      <c r="G18" s="31">
        <v>1.5</v>
      </c>
      <c r="H18" s="31">
        <v>1.5</v>
      </c>
      <c r="I18" s="31">
        <v>1.5</v>
      </c>
      <c r="J18" s="31"/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/>
      <c r="S18" s="31"/>
      <c r="T18" s="31"/>
      <c r="U18" s="31"/>
      <c r="V18" s="31">
        <v>1.5</v>
      </c>
      <c r="W18" s="31">
        <v>1.5</v>
      </c>
      <c r="X18" s="31"/>
      <c r="Y18" s="31"/>
      <c r="Z18" s="31"/>
      <c r="AA18" s="31">
        <f>1.5*5/4</f>
      </c>
      <c r="AB18" s="31"/>
      <c r="AC18" s="31"/>
      <c r="AD18" s="31"/>
      <c r="AE18" s="31"/>
      <c r="AF18" s="31"/>
      <c r="AG18" s="31">
        <v>1.5</v>
      </c>
      <c r="AH18" s="143">
        <v>0</v>
      </c>
      <c r="AI18" s="3"/>
      <c r="AJ18" s="31">
        <v>0.75</v>
      </c>
      <c r="AK18" s="31">
        <v>0.75</v>
      </c>
    </row>
    <row x14ac:dyDescent="0.25" r="19" customHeight="1" ht="18.75">
      <c r="A19" s="4"/>
      <c r="B19" s="2"/>
      <c r="C19" s="2"/>
      <c r="D19" s="2"/>
      <c r="E19" s="3"/>
      <c r="F19" s="3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2"/>
      <c r="W19" s="2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  <c r="AI19" s="3"/>
      <c r="AJ19" s="2"/>
      <c r="AK19" s="2"/>
    </row>
    <row x14ac:dyDescent="0.25" r="20" customHeight="1" ht="18.75">
      <c r="A20" s="30" t="s">
        <v>43</v>
      </c>
      <c r="B20" s="31" t="s">
        <v>131</v>
      </c>
      <c r="C20" s="143" t="s">
        <v>358</v>
      </c>
      <c r="D20" s="31" t="s">
        <v>379</v>
      </c>
      <c r="E20" s="32"/>
      <c r="F20" s="32"/>
      <c r="G20" s="143" t="s">
        <v>358</v>
      </c>
      <c r="H20" s="143" t="s">
        <v>358</v>
      </c>
      <c r="I20" s="143" t="s">
        <v>358</v>
      </c>
      <c r="J20" s="32"/>
      <c r="K20" s="143" t="s">
        <v>358</v>
      </c>
      <c r="L20" s="143" t="s">
        <v>358</v>
      </c>
      <c r="M20" s="143" t="s">
        <v>358</v>
      </c>
      <c r="N20" s="143" t="s">
        <v>358</v>
      </c>
      <c r="O20" s="143" t="s">
        <v>358</v>
      </c>
      <c r="P20" s="143" t="s">
        <v>358</v>
      </c>
      <c r="Q20" s="143" t="s">
        <v>358</v>
      </c>
      <c r="R20" s="32"/>
      <c r="S20" s="32"/>
      <c r="T20" s="32"/>
      <c r="U20" s="32"/>
      <c r="V20" s="31"/>
      <c r="W20" s="31"/>
      <c r="X20" s="32"/>
      <c r="Y20" s="32"/>
      <c r="Z20" s="32"/>
      <c r="AA20" s="143" t="s">
        <v>358</v>
      </c>
      <c r="AB20" s="32"/>
      <c r="AC20" s="32"/>
      <c r="AD20" s="32"/>
      <c r="AE20" s="32"/>
      <c r="AF20" s="32"/>
      <c r="AG20" s="143" t="s">
        <v>358</v>
      </c>
      <c r="AH20" s="31" t="s">
        <v>367</v>
      </c>
      <c r="AI20" s="3"/>
      <c r="AJ20" s="31" t="s">
        <v>387</v>
      </c>
      <c r="AK20" s="31" t="s">
        <v>387</v>
      </c>
    </row>
    <row x14ac:dyDescent="0.25" r="21" customHeight="1" ht="15.75">
      <c r="A21" s="30" t="s">
        <v>45</v>
      </c>
      <c r="B21" s="31" t="s">
        <v>132</v>
      </c>
      <c r="C21" s="143" t="s">
        <v>358</v>
      </c>
      <c r="D21" s="33" t="s">
        <v>388</v>
      </c>
      <c r="E21" s="34"/>
      <c r="F21" s="34"/>
      <c r="G21" s="143" t="s">
        <v>358</v>
      </c>
      <c r="H21" s="143" t="s">
        <v>358</v>
      </c>
      <c r="I21" s="143" t="s">
        <v>358</v>
      </c>
      <c r="J21" s="34"/>
      <c r="K21" s="143" t="s">
        <v>358</v>
      </c>
      <c r="L21" s="143" t="s">
        <v>358</v>
      </c>
      <c r="M21" s="143" t="s">
        <v>358</v>
      </c>
      <c r="N21" s="143" t="s">
        <v>358</v>
      </c>
      <c r="O21" s="143" t="s">
        <v>358</v>
      </c>
      <c r="P21" s="143" t="s">
        <v>358</v>
      </c>
      <c r="Q21" s="143" t="s">
        <v>358</v>
      </c>
      <c r="R21" s="34"/>
      <c r="S21" s="34"/>
      <c r="T21" s="34"/>
      <c r="U21" s="34"/>
      <c r="V21" s="33"/>
      <c r="W21" s="33"/>
      <c r="X21" s="34"/>
      <c r="Y21" s="34"/>
      <c r="Z21" s="34"/>
      <c r="AA21" s="143" t="s">
        <v>358</v>
      </c>
      <c r="AB21" s="34"/>
      <c r="AC21" s="34"/>
      <c r="AD21" s="34"/>
      <c r="AE21" s="34"/>
      <c r="AF21" s="34"/>
      <c r="AG21" s="143" t="s">
        <v>358</v>
      </c>
      <c r="AH21" s="31" t="s">
        <v>368</v>
      </c>
      <c r="AI21" s="3"/>
      <c r="AJ21" s="31" t="s">
        <v>271</v>
      </c>
      <c r="AK21" s="31" t="s">
        <v>271</v>
      </c>
    </row>
    <row x14ac:dyDescent="0.25" r="22" customHeight="1" ht="18.75">
      <c r="A22" s="35" t="s">
        <v>47</v>
      </c>
      <c r="B22" s="117">
        <v>98</v>
      </c>
      <c r="C22" s="144"/>
      <c r="D22" s="117">
        <v>264</v>
      </c>
      <c r="E22" s="37"/>
      <c r="F22" s="37"/>
      <c r="G22" s="144"/>
      <c r="H22" s="144"/>
      <c r="I22" s="144"/>
      <c r="J22" s="37"/>
      <c r="K22" s="144"/>
      <c r="L22" s="144"/>
      <c r="M22" s="144"/>
      <c r="N22" s="144"/>
      <c r="O22" s="144"/>
      <c r="P22" s="144"/>
      <c r="Q22" s="144"/>
      <c r="R22" s="37"/>
      <c r="S22" s="37"/>
      <c r="T22" s="37"/>
      <c r="U22" s="37"/>
      <c r="V22" s="36"/>
      <c r="W22" s="36"/>
      <c r="X22" s="37"/>
      <c r="Y22" s="37"/>
      <c r="Z22" s="37"/>
      <c r="AA22" s="144"/>
      <c r="AB22" s="37"/>
      <c r="AC22" s="37"/>
      <c r="AD22" s="37"/>
      <c r="AE22" s="37"/>
      <c r="AF22" s="37"/>
      <c r="AG22" s="144"/>
      <c r="AH22" s="117">
        <v>151</v>
      </c>
      <c r="AI22" s="3"/>
      <c r="AJ22" s="117">
        <v>57</v>
      </c>
      <c r="AK22" s="117">
        <v>57</v>
      </c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31" t="s">
        <v>52</v>
      </c>
      <c r="E23" s="32"/>
      <c r="F23" s="32"/>
      <c r="G23" s="143" t="s">
        <v>49</v>
      </c>
      <c r="H23" s="143" t="s">
        <v>49</v>
      </c>
      <c r="I23" s="143" t="s">
        <v>49</v>
      </c>
      <c r="J23" s="32"/>
      <c r="K23" s="143" t="s">
        <v>49</v>
      </c>
      <c r="L23" s="143" t="s">
        <v>49</v>
      </c>
      <c r="M23" s="143" t="s">
        <v>49</v>
      </c>
      <c r="N23" s="143" t="s">
        <v>49</v>
      </c>
      <c r="O23" s="143" t="s">
        <v>49</v>
      </c>
      <c r="P23" s="143" t="s">
        <v>49</v>
      </c>
      <c r="Q23" s="143" t="s">
        <v>49</v>
      </c>
      <c r="R23" s="32"/>
      <c r="S23" s="32"/>
      <c r="T23" s="32"/>
      <c r="U23" s="32"/>
      <c r="V23" s="31"/>
      <c r="W23" s="31"/>
      <c r="X23" s="32"/>
      <c r="Y23" s="32"/>
      <c r="Z23" s="32"/>
      <c r="AA23" s="143" t="s">
        <v>49</v>
      </c>
      <c r="AB23" s="32"/>
      <c r="AC23" s="34"/>
      <c r="AD23" s="32"/>
      <c r="AE23" s="34"/>
      <c r="AF23" s="32"/>
      <c r="AG23" s="143" t="s">
        <v>49</v>
      </c>
      <c r="AH23" s="31" t="s">
        <v>52</v>
      </c>
      <c r="AI23" s="3"/>
      <c r="AJ23" s="31" t="s">
        <v>52</v>
      </c>
      <c r="AK23" s="31" t="s">
        <v>52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31" t="s">
        <v>52</v>
      </c>
      <c r="E24" s="32"/>
      <c r="F24" s="32"/>
      <c r="G24" s="143" t="s">
        <v>49</v>
      </c>
      <c r="H24" s="143" t="s">
        <v>49</v>
      </c>
      <c r="I24" s="143" t="s">
        <v>49</v>
      </c>
      <c r="J24" s="32"/>
      <c r="K24" s="143" t="s">
        <v>49</v>
      </c>
      <c r="L24" s="143" t="s">
        <v>49</v>
      </c>
      <c r="M24" s="143" t="s">
        <v>49</v>
      </c>
      <c r="N24" s="143" t="s">
        <v>49</v>
      </c>
      <c r="O24" s="143" t="s">
        <v>49</v>
      </c>
      <c r="P24" s="143" t="s">
        <v>49</v>
      </c>
      <c r="Q24" s="143" t="s">
        <v>49</v>
      </c>
      <c r="R24" s="32"/>
      <c r="S24" s="32"/>
      <c r="T24" s="32"/>
      <c r="U24" s="32"/>
      <c r="V24" s="31"/>
      <c r="W24" s="31"/>
      <c r="X24" s="32"/>
      <c r="Y24" s="32"/>
      <c r="Z24" s="32"/>
      <c r="AA24" s="143" t="s">
        <v>49</v>
      </c>
      <c r="AB24" s="32"/>
      <c r="AC24" s="32"/>
      <c r="AD24" s="32"/>
      <c r="AE24" s="32"/>
      <c r="AF24" s="32"/>
      <c r="AG24" s="143" t="s">
        <v>49</v>
      </c>
      <c r="AH24" s="31" t="s">
        <v>162</v>
      </c>
      <c r="AI24" s="3"/>
      <c r="AJ24" s="31" t="s">
        <v>52</v>
      </c>
      <c r="AK24" s="31" t="s">
        <v>52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31" t="s">
        <v>49</v>
      </c>
      <c r="E25" s="32"/>
      <c r="F25" s="32"/>
      <c r="G25" s="143" t="s">
        <v>49</v>
      </c>
      <c r="H25" s="143" t="s">
        <v>49</v>
      </c>
      <c r="I25" s="143" t="s">
        <v>49</v>
      </c>
      <c r="J25" s="32"/>
      <c r="K25" s="143" t="s">
        <v>49</v>
      </c>
      <c r="L25" s="143" t="s">
        <v>49</v>
      </c>
      <c r="M25" s="143" t="s">
        <v>49</v>
      </c>
      <c r="N25" s="143" t="s">
        <v>49</v>
      </c>
      <c r="O25" s="143" t="s">
        <v>49</v>
      </c>
      <c r="P25" s="143" t="s">
        <v>49</v>
      </c>
      <c r="Q25" s="143" t="s">
        <v>49</v>
      </c>
      <c r="R25" s="32"/>
      <c r="S25" s="32"/>
      <c r="T25" s="32"/>
      <c r="U25" s="32"/>
      <c r="V25" s="31"/>
      <c r="W25" s="31"/>
      <c r="X25" s="32"/>
      <c r="Y25" s="32"/>
      <c r="Z25" s="32"/>
      <c r="AA25" s="143" t="s">
        <v>49</v>
      </c>
      <c r="AB25" s="32"/>
      <c r="AC25" s="32"/>
      <c r="AD25" s="32"/>
      <c r="AE25" s="32"/>
      <c r="AF25" s="32"/>
      <c r="AG25" s="143" t="s">
        <v>49</v>
      </c>
      <c r="AH25" s="31" t="s">
        <v>49</v>
      </c>
      <c r="AI25" s="3"/>
      <c r="AJ25" s="31" t="s">
        <v>52</v>
      </c>
      <c r="AK25" s="31" t="s">
        <v>52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31" t="s">
        <v>49</v>
      </c>
      <c r="E26" s="32"/>
      <c r="F26" s="32"/>
      <c r="G26" s="143" t="s">
        <v>49</v>
      </c>
      <c r="H26" s="143" t="s">
        <v>49</v>
      </c>
      <c r="I26" s="143" t="s">
        <v>49</v>
      </c>
      <c r="J26" s="32"/>
      <c r="K26" s="143" t="s">
        <v>49</v>
      </c>
      <c r="L26" s="143" t="s">
        <v>49</v>
      </c>
      <c r="M26" s="143" t="s">
        <v>49</v>
      </c>
      <c r="N26" s="143" t="s">
        <v>49</v>
      </c>
      <c r="O26" s="143" t="s">
        <v>49</v>
      </c>
      <c r="P26" s="143" t="s">
        <v>49</v>
      </c>
      <c r="Q26" s="143" t="s">
        <v>49</v>
      </c>
      <c r="R26" s="32"/>
      <c r="S26" s="32"/>
      <c r="T26" s="32"/>
      <c r="U26" s="32"/>
      <c r="V26" s="31"/>
      <c r="W26" s="31"/>
      <c r="X26" s="32"/>
      <c r="Y26" s="32"/>
      <c r="Z26" s="32"/>
      <c r="AA26" s="143" t="s">
        <v>49</v>
      </c>
      <c r="AB26" s="32"/>
      <c r="AC26" s="32"/>
      <c r="AD26" s="32"/>
      <c r="AE26" s="32"/>
      <c r="AF26" s="32"/>
      <c r="AG26" s="143" t="s">
        <v>49</v>
      </c>
      <c r="AH26" s="31" t="s">
        <v>49</v>
      </c>
      <c r="AI26" s="3"/>
      <c r="AJ26" s="31" t="s">
        <v>49</v>
      </c>
      <c r="AK26" s="31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31" t="s">
        <v>133</v>
      </c>
      <c r="E27" s="32"/>
      <c r="F27" s="32"/>
      <c r="G27" s="143" t="s">
        <v>133</v>
      </c>
      <c r="H27" s="143" t="s">
        <v>133</v>
      </c>
      <c r="I27" s="143" t="s">
        <v>133</v>
      </c>
      <c r="J27" s="32"/>
      <c r="K27" s="143" t="s">
        <v>133</v>
      </c>
      <c r="L27" s="143" t="s">
        <v>133</v>
      </c>
      <c r="M27" s="143" t="s">
        <v>133</v>
      </c>
      <c r="N27" s="143" t="s">
        <v>133</v>
      </c>
      <c r="O27" s="143" t="s">
        <v>133</v>
      </c>
      <c r="P27" s="143" t="s">
        <v>133</v>
      </c>
      <c r="Q27" s="143" t="s">
        <v>133</v>
      </c>
      <c r="R27" s="32"/>
      <c r="S27" s="32"/>
      <c r="T27" s="32"/>
      <c r="U27" s="32"/>
      <c r="V27" s="31"/>
      <c r="W27" s="31"/>
      <c r="X27" s="32"/>
      <c r="Y27" s="32"/>
      <c r="Z27" s="32"/>
      <c r="AA27" s="143" t="s">
        <v>133</v>
      </c>
      <c r="AB27" s="32"/>
      <c r="AC27" s="32"/>
      <c r="AD27" s="32"/>
      <c r="AE27" s="32"/>
      <c r="AF27" s="32"/>
      <c r="AG27" s="143" t="s">
        <v>133</v>
      </c>
      <c r="AH27" s="31" t="s">
        <v>133</v>
      </c>
      <c r="AI27" s="3"/>
      <c r="AJ27" s="31" t="s">
        <v>133</v>
      </c>
      <c r="AK27" s="31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31">
        <v>-2</v>
      </c>
      <c r="E28" s="31"/>
      <c r="F28" s="31"/>
      <c r="G28" s="143">
        <v>-2</v>
      </c>
      <c r="H28" s="143">
        <v>-2</v>
      </c>
      <c r="I28" s="143">
        <v>-2</v>
      </c>
      <c r="J28" s="31"/>
      <c r="K28" s="143">
        <v>-2</v>
      </c>
      <c r="L28" s="143">
        <v>-2</v>
      </c>
      <c r="M28" s="143">
        <v>-2</v>
      </c>
      <c r="N28" s="143">
        <v>-2</v>
      </c>
      <c r="O28" s="143">
        <v>-2</v>
      </c>
      <c r="P28" s="143">
        <v>-2</v>
      </c>
      <c r="Q28" s="143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31"/>
      <c r="AD28" s="31"/>
      <c r="AE28" s="31"/>
      <c r="AF28" s="31"/>
      <c r="AG28" s="143">
        <v>-2</v>
      </c>
      <c r="AH28" s="31">
        <v>-2</v>
      </c>
      <c r="AI28" s="3"/>
      <c r="AJ28" s="31">
        <v>-0.5</v>
      </c>
      <c r="AK28" s="31">
        <v>-0.5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31" t="s">
        <v>389</v>
      </c>
      <c r="E29" s="32"/>
      <c r="F29" s="32"/>
      <c r="G29" s="143" t="s">
        <v>358</v>
      </c>
      <c r="H29" s="143" t="s">
        <v>358</v>
      </c>
      <c r="I29" s="143" t="s">
        <v>358</v>
      </c>
      <c r="J29" s="32"/>
      <c r="K29" s="143" t="s">
        <v>358</v>
      </c>
      <c r="L29" s="143" t="s">
        <v>358</v>
      </c>
      <c r="M29" s="143" t="s">
        <v>358</v>
      </c>
      <c r="N29" s="143" t="s">
        <v>358</v>
      </c>
      <c r="O29" s="143" t="s">
        <v>358</v>
      </c>
      <c r="P29" s="143" t="s">
        <v>358</v>
      </c>
      <c r="Q29" s="143" t="s">
        <v>358</v>
      </c>
      <c r="R29" s="32"/>
      <c r="S29" s="32"/>
      <c r="T29" s="32"/>
      <c r="U29" s="32"/>
      <c r="V29" s="31"/>
      <c r="W29" s="31"/>
      <c r="X29" s="32"/>
      <c r="Y29" s="32"/>
      <c r="Z29" s="32"/>
      <c r="AA29" s="143" t="s">
        <v>358</v>
      </c>
      <c r="AB29" s="32"/>
      <c r="AC29" s="32"/>
      <c r="AD29" s="32"/>
      <c r="AE29" s="32"/>
      <c r="AF29" s="32"/>
      <c r="AG29" s="143" t="s">
        <v>358</v>
      </c>
      <c r="AH29" s="31" t="s">
        <v>369</v>
      </c>
      <c r="AI29" s="3"/>
      <c r="AJ29" s="31" t="s">
        <v>169</v>
      </c>
      <c r="AK29" s="31" t="s">
        <v>169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31">
        <f>AVERAGE(1.5,1/3)</f>
      </c>
      <c r="E30" s="31"/>
      <c r="F30" s="31"/>
      <c r="G30" s="143">
        <v>0</v>
      </c>
      <c r="H30" s="143">
        <v>0</v>
      </c>
      <c r="I30" s="143">
        <v>0</v>
      </c>
      <c r="J30" s="31"/>
      <c r="K30" s="143">
        <v>0</v>
      </c>
      <c r="L30" s="143">
        <v>0</v>
      </c>
      <c r="M30" s="143">
        <v>0</v>
      </c>
      <c r="N30" s="143">
        <v>0</v>
      </c>
      <c r="O30" s="143">
        <v>0</v>
      </c>
      <c r="P30" s="143">
        <v>0</v>
      </c>
      <c r="Q30" s="143">
        <v>0</v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31"/>
      <c r="AD30" s="31"/>
      <c r="AE30" s="31"/>
      <c r="AF30" s="31"/>
      <c r="AG30" s="143">
        <v>0</v>
      </c>
      <c r="AH30" s="31">
        <f>AVERAGE(1/3,0)</f>
      </c>
      <c r="AI30" s="3"/>
      <c r="AJ30" s="31">
        <v>2</v>
      </c>
      <c r="AK30" s="31">
        <v>2</v>
      </c>
    </row>
    <row x14ac:dyDescent="0.25" r="31" customHeight="1" ht="15.75">
      <c r="A31" s="4"/>
      <c r="B31" s="2"/>
      <c r="C31" s="2"/>
      <c r="D31" s="2"/>
      <c r="E31" s="3"/>
      <c r="F31" s="3"/>
      <c r="G31" s="2"/>
      <c r="H31" s="2"/>
      <c r="I31" s="2"/>
      <c r="J31" s="3"/>
      <c r="K31" s="2"/>
      <c r="L31" s="2"/>
      <c r="M31" s="2"/>
      <c r="N31" s="2"/>
      <c r="O31" s="2"/>
      <c r="P31" s="138" t="s">
        <v>390</v>
      </c>
      <c r="Q31" s="2"/>
      <c r="R31" s="3"/>
      <c r="S31" s="3"/>
      <c r="T31" s="3"/>
      <c r="U31" s="3"/>
      <c r="V31" s="2"/>
      <c r="W31" s="2"/>
      <c r="X31" s="3"/>
      <c r="Y31" s="3"/>
      <c r="Z31" s="3"/>
      <c r="AA31" s="2"/>
      <c r="AB31" s="3"/>
      <c r="AC31" s="3"/>
      <c r="AD31" s="3"/>
      <c r="AE31" s="3"/>
      <c r="AF31" s="3"/>
      <c r="AG31" s="2"/>
      <c r="AH31" s="2"/>
      <c r="AI31" s="3"/>
      <c r="AJ31" s="138" t="s">
        <v>391</v>
      </c>
      <c r="AK31" s="2"/>
    </row>
    <row x14ac:dyDescent="0.25" r="32" customHeight="1" ht="18.75">
      <c r="A32" s="38" t="s">
        <v>64</v>
      </c>
      <c r="B32" s="2"/>
      <c r="C32" s="2"/>
      <c r="D32" s="2"/>
      <c r="E32" s="3"/>
      <c r="F32" s="3"/>
      <c r="G32" s="2"/>
      <c r="H32" s="2"/>
      <c r="I32" s="2"/>
      <c r="J32" s="3"/>
      <c r="K32" s="2"/>
      <c r="L32" s="2"/>
      <c r="M32" s="2"/>
      <c r="N32" s="2"/>
      <c r="O32" s="2"/>
      <c r="P32" s="2"/>
      <c r="Q32" s="2"/>
      <c r="R32" s="3"/>
      <c r="S32" s="3"/>
      <c r="T32" s="3"/>
      <c r="U32" s="3"/>
      <c r="V32" s="2"/>
      <c r="W32" s="2"/>
      <c r="X32" s="3"/>
      <c r="Y32" s="3"/>
      <c r="Z32" s="3"/>
      <c r="AA32" s="2"/>
      <c r="AB32" s="3"/>
      <c r="AC32" s="3"/>
      <c r="AD32" s="3"/>
      <c r="AE32" s="3"/>
      <c r="AF32" s="3"/>
      <c r="AG32" s="2"/>
      <c r="AH32" s="2"/>
      <c r="AI32" s="3"/>
      <c r="AJ32" s="2"/>
      <c r="AK32" s="2"/>
    </row>
    <row x14ac:dyDescent="0.25" r="33" customHeight="1" ht="18.75">
      <c r="A33" s="30" t="s">
        <v>392</v>
      </c>
      <c r="B33" s="40" t="s">
        <v>393</v>
      </c>
      <c r="C33" s="2"/>
      <c r="D33" s="2"/>
      <c r="E33" s="3"/>
      <c r="F33" s="3"/>
      <c r="G33" s="2"/>
      <c r="H33" s="2"/>
      <c r="I33" s="2"/>
      <c r="J33" s="3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2"/>
      <c r="W33" s="2"/>
      <c r="X33" s="3"/>
      <c r="Y33" s="3"/>
      <c r="Z33" s="3"/>
      <c r="AA33" s="2"/>
      <c r="AB33" s="3"/>
      <c r="AC33" s="3"/>
      <c r="AD33" s="3"/>
      <c r="AE33" s="3"/>
      <c r="AF33" s="3"/>
      <c r="AG33" s="2"/>
      <c r="AH33" s="2"/>
      <c r="AI33" s="3"/>
      <c r="AJ33" s="2"/>
      <c r="AK33" s="2"/>
    </row>
    <row x14ac:dyDescent="0.25" r="34" customHeight="1" ht="18.75">
      <c r="A34" s="41" t="s">
        <v>394</v>
      </c>
      <c r="B34" s="2"/>
      <c r="C34" s="2"/>
      <c r="D34" s="2"/>
      <c r="E34" s="3"/>
      <c r="F34" s="3"/>
      <c r="G34" s="2"/>
      <c r="H34" s="2"/>
      <c r="I34" s="2"/>
      <c r="J34" s="3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2"/>
      <c r="W34" s="2"/>
      <c r="X34" s="3"/>
      <c r="Y34" s="3"/>
      <c r="Z34" s="3"/>
      <c r="AA34" s="2"/>
      <c r="AB34" s="3"/>
      <c r="AC34" s="3"/>
      <c r="AD34" s="3"/>
      <c r="AE34" s="3"/>
      <c r="AF34" s="3"/>
      <c r="AG34" s="2"/>
      <c r="AH34" s="2"/>
      <c r="AI34" s="3"/>
      <c r="AJ34" s="2"/>
      <c r="AK34" s="2"/>
    </row>
  </sheetData>
  <mergeCells count="5">
    <mergeCell ref="B3:D3"/>
    <mergeCell ref="F3:O3"/>
    <mergeCell ref="B4:D4"/>
    <mergeCell ref="F4:P5"/>
    <mergeCell ref="B5:D5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3"/>
      <c r="G1" s="2"/>
      <c r="H1" s="2"/>
      <c r="I1" s="45" t="s">
        <v>136</v>
      </c>
      <c r="J1" s="3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2"/>
      <c r="AC1" s="2"/>
      <c r="AD1" s="2"/>
      <c r="AE1" s="2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3"/>
      <c r="G2" s="2"/>
      <c r="H2" s="2"/>
      <c r="I2" s="2"/>
      <c r="J2" s="3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2"/>
      <c r="AC2" s="2"/>
      <c r="AD2" s="2"/>
      <c r="AE2" s="2"/>
      <c r="AF2" s="3"/>
      <c r="AG2" s="3"/>
      <c r="AH2" s="2"/>
    </row>
    <row x14ac:dyDescent="0.25" r="3" customHeight="1" ht="18.75">
      <c r="A3" s="1" t="s">
        <v>2</v>
      </c>
      <c r="B3" s="5">
        <v>87</v>
      </c>
      <c r="C3" s="7"/>
      <c r="D3" s="7"/>
      <c r="E3" s="45"/>
      <c r="F3" s="89" t="s">
        <v>3</v>
      </c>
      <c r="G3" s="90"/>
      <c r="H3" s="90"/>
      <c r="I3" s="90"/>
      <c r="J3" s="89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2"/>
      <c r="AC3" s="2"/>
      <c r="AD3" s="2"/>
      <c r="AE3" s="2"/>
      <c r="AF3" s="3"/>
      <c r="AG3" s="3"/>
      <c r="AH3" s="2"/>
    </row>
    <row x14ac:dyDescent="0.25" r="4" customHeight="1" ht="18.75">
      <c r="A4" s="1" t="s">
        <v>4</v>
      </c>
      <c r="B4" s="7" t="s">
        <v>371</v>
      </c>
      <c r="C4" s="7"/>
      <c r="D4" s="7"/>
      <c r="E4" s="2"/>
      <c r="F4" s="91" t="s">
        <v>372</v>
      </c>
      <c r="G4" s="92"/>
      <c r="H4" s="92"/>
      <c r="I4" s="92"/>
      <c r="J4" s="93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2"/>
      <c r="AC4" s="2"/>
      <c r="AD4" s="2"/>
      <c r="AE4" s="2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95"/>
      <c r="G5" s="96"/>
      <c r="H5" s="96"/>
      <c r="I5" s="96"/>
      <c r="J5" s="97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3"/>
      <c r="G6" s="2"/>
      <c r="H6" s="2"/>
      <c r="I6" s="2"/>
      <c r="J6" s="3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2"/>
      <c r="AC6" s="2"/>
      <c r="AD6" s="2"/>
      <c r="AE6" s="2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373</v>
      </c>
      <c r="C8" s="31" t="s">
        <v>68</v>
      </c>
      <c r="D8" s="31" t="s">
        <v>68</v>
      </c>
      <c r="E8" s="31" t="s">
        <v>68</v>
      </c>
      <c r="F8" s="32"/>
      <c r="G8" s="143" t="s">
        <v>358</v>
      </c>
      <c r="H8" s="143" t="s">
        <v>358</v>
      </c>
      <c r="I8" s="143" t="s">
        <v>358</v>
      </c>
      <c r="J8" s="32"/>
      <c r="K8" s="143" t="s">
        <v>358</v>
      </c>
      <c r="L8" s="143" t="s">
        <v>358</v>
      </c>
      <c r="M8" s="143" t="s">
        <v>358</v>
      </c>
      <c r="N8" s="32"/>
      <c r="O8" s="32"/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143" t="s">
        <v>358</v>
      </c>
      <c r="AB8" s="31" t="s">
        <v>180</v>
      </c>
      <c r="AC8" s="31" t="s">
        <v>180</v>
      </c>
      <c r="AD8" s="31" t="s">
        <v>180</v>
      </c>
      <c r="AE8" s="31" t="s">
        <v>180</v>
      </c>
      <c r="AF8" s="32"/>
      <c r="AG8" s="32"/>
      <c r="AH8" s="31" t="s">
        <v>180</v>
      </c>
    </row>
    <row x14ac:dyDescent="0.25" r="9" customHeight="1" ht="18.75">
      <c r="A9" s="30" t="s">
        <v>45</v>
      </c>
      <c r="B9" s="31" t="s">
        <v>374</v>
      </c>
      <c r="C9" s="31" t="s">
        <v>132</v>
      </c>
      <c r="D9" s="31" t="s">
        <v>132</v>
      </c>
      <c r="E9" s="31" t="s">
        <v>132</v>
      </c>
      <c r="F9" s="32"/>
      <c r="G9" s="143" t="s">
        <v>358</v>
      </c>
      <c r="H9" s="143" t="s">
        <v>358</v>
      </c>
      <c r="I9" s="143" t="s">
        <v>358</v>
      </c>
      <c r="J9" s="34"/>
      <c r="K9" s="143" t="s">
        <v>358</v>
      </c>
      <c r="L9" s="143" t="s">
        <v>358</v>
      </c>
      <c r="M9" s="143" t="s">
        <v>358</v>
      </c>
      <c r="N9" s="34"/>
      <c r="O9" s="34"/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143" t="s">
        <v>358</v>
      </c>
      <c r="AB9" s="31" t="s">
        <v>374</v>
      </c>
      <c r="AC9" s="31" t="s">
        <v>374</v>
      </c>
      <c r="AD9" s="31" t="s">
        <v>374</v>
      </c>
      <c r="AE9" s="31" t="s">
        <v>374</v>
      </c>
      <c r="AF9" s="34"/>
      <c r="AG9" s="34"/>
      <c r="AH9" s="114" t="s">
        <v>189</v>
      </c>
    </row>
    <row x14ac:dyDescent="0.25" r="10" customHeight="1" ht="18.75">
      <c r="A10" s="35" t="s">
        <v>47</v>
      </c>
      <c r="B10" s="117">
        <v>83</v>
      </c>
      <c r="C10" s="117">
        <v>98</v>
      </c>
      <c r="D10" s="117">
        <v>98</v>
      </c>
      <c r="E10" s="117">
        <v>98</v>
      </c>
      <c r="F10" s="37"/>
      <c r="G10" s="144"/>
      <c r="H10" s="144"/>
      <c r="I10" s="144"/>
      <c r="J10" s="37"/>
      <c r="K10" s="144"/>
      <c r="L10" s="144"/>
      <c r="M10" s="144"/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44"/>
      <c r="AB10" s="117">
        <v>83</v>
      </c>
      <c r="AC10" s="117">
        <v>83</v>
      </c>
      <c r="AD10" s="117">
        <v>83</v>
      </c>
      <c r="AE10" s="117">
        <v>83</v>
      </c>
      <c r="AF10" s="37"/>
      <c r="AG10" s="37"/>
      <c r="AH10" s="117">
        <v>82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2"/>
      <c r="G11" s="143" t="s">
        <v>49</v>
      </c>
      <c r="H11" s="143" t="s">
        <v>49</v>
      </c>
      <c r="I11" s="143" t="s">
        <v>49</v>
      </c>
      <c r="J11" s="32"/>
      <c r="K11" s="143" t="s">
        <v>49</v>
      </c>
      <c r="L11" s="143" t="s">
        <v>49</v>
      </c>
      <c r="M11" s="143" t="s">
        <v>49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143" t="s">
        <v>49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2"/>
      <c r="AG11" s="32"/>
      <c r="AH11" s="114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2"/>
      <c r="G12" s="143" t="s">
        <v>49</v>
      </c>
      <c r="H12" s="143" t="s">
        <v>49</v>
      </c>
      <c r="I12" s="143" t="s">
        <v>49</v>
      </c>
      <c r="J12" s="32"/>
      <c r="K12" s="143" t="s">
        <v>49</v>
      </c>
      <c r="L12" s="143" t="s">
        <v>49</v>
      </c>
      <c r="M12" s="143" t="s">
        <v>49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143" t="s">
        <v>49</v>
      </c>
      <c r="AB12" s="31" t="s">
        <v>52</v>
      </c>
      <c r="AC12" s="31" t="s">
        <v>52</v>
      </c>
      <c r="AD12" s="31" t="s">
        <v>52</v>
      </c>
      <c r="AE12" s="31" t="s">
        <v>52</v>
      </c>
      <c r="AF12" s="32"/>
      <c r="AG12" s="32"/>
      <c r="AH12" s="114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4"/>
      <c r="G13" s="143" t="s">
        <v>49</v>
      </c>
      <c r="H13" s="143" t="s">
        <v>49</v>
      </c>
      <c r="I13" s="143" t="s">
        <v>49</v>
      </c>
      <c r="J13" s="32"/>
      <c r="K13" s="143" t="s">
        <v>49</v>
      </c>
      <c r="L13" s="143" t="s">
        <v>49</v>
      </c>
      <c r="M13" s="143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143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2"/>
      <c r="AG13" s="32"/>
      <c r="AH13" s="114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2"/>
      <c r="G14" s="143" t="s">
        <v>49</v>
      </c>
      <c r="H14" s="143" t="s">
        <v>49</v>
      </c>
      <c r="I14" s="143" t="s">
        <v>49</v>
      </c>
      <c r="J14" s="32"/>
      <c r="K14" s="143" t="s">
        <v>49</v>
      </c>
      <c r="L14" s="143" t="s">
        <v>49</v>
      </c>
      <c r="M14" s="143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143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2"/>
      <c r="AG14" s="32"/>
      <c r="AH14" s="114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133</v>
      </c>
      <c r="D15" s="31" t="s">
        <v>133</v>
      </c>
      <c r="E15" s="31" t="s">
        <v>133</v>
      </c>
      <c r="F15" s="32"/>
      <c r="G15" s="143" t="s">
        <v>133</v>
      </c>
      <c r="H15" s="143" t="s">
        <v>133</v>
      </c>
      <c r="I15" s="143" t="s">
        <v>133</v>
      </c>
      <c r="J15" s="32"/>
      <c r="K15" s="143" t="s">
        <v>133</v>
      </c>
      <c r="L15" s="143" t="s">
        <v>133</v>
      </c>
      <c r="M15" s="143" t="s">
        <v>133</v>
      </c>
      <c r="N15" s="32"/>
      <c r="O15" s="32"/>
      <c r="P15" s="143" t="s">
        <v>133</v>
      </c>
      <c r="Q15" s="143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143" t="s">
        <v>143</v>
      </c>
      <c r="AB15" s="31" t="s">
        <v>143</v>
      </c>
      <c r="AC15" s="31" t="s">
        <v>143</v>
      </c>
      <c r="AD15" s="31" t="s">
        <v>143</v>
      </c>
      <c r="AE15" s="31" t="s">
        <v>143</v>
      </c>
      <c r="AF15" s="32"/>
      <c r="AG15" s="32"/>
      <c r="AH15" s="114" t="s">
        <v>143</v>
      </c>
    </row>
    <row x14ac:dyDescent="0.25" r="16" customHeight="1" ht="18.75">
      <c r="A16" s="30" t="s">
        <v>128</v>
      </c>
      <c r="B16" s="31">
        <v>0.75</v>
      </c>
      <c r="C16" s="31">
        <v>-2</v>
      </c>
      <c r="D16" s="31">
        <v>-2</v>
      </c>
      <c r="E16" s="31">
        <v>-2</v>
      </c>
      <c r="F16" s="31"/>
      <c r="G16" s="143">
        <v>-2</v>
      </c>
      <c r="H16" s="143">
        <v>-2</v>
      </c>
      <c r="I16" s="143">
        <v>-2</v>
      </c>
      <c r="J16" s="31"/>
      <c r="K16" s="143">
        <v>-2</v>
      </c>
      <c r="L16" s="143">
        <v>-2</v>
      </c>
      <c r="M16" s="143">
        <v>-2</v>
      </c>
      <c r="N16" s="31"/>
      <c r="O16" s="31"/>
      <c r="P16" s="143">
        <v>-2</v>
      </c>
      <c r="Q16" s="143">
        <v>-2</v>
      </c>
      <c r="R16" s="31"/>
      <c r="S16" s="31"/>
      <c r="T16" s="31"/>
      <c r="U16" s="31"/>
      <c r="V16" s="31"/>
      <c r="W16" s="31"/>
      <c r="X16" s="31"/>
      <c r="Y16" s="31"/>
      <c r="Z16" s="31"/>
      <c r="AA16" s="143">
        <v>0.75</v>
      </c>
      <c r="AB16" s="31">
        <v>0.75</v>
      </c>
      <c r="AC16" s="31">
        <v>0.75</v>
      </c>
      <c r="AD16" s="31">
        <v>0.75</v>
      </c>
      <c r="AE16" s="31">
        <v>0.75</v>
      </c>
      <c r="AF16" s="31"/>
      <c r="AG16" s="31"/>
      <c r="AH16" s="114">
        <f>5/3</f>
      </c>
    </row>
    <row x14ac:dyDescent="0.25" r="17" customHeight="1" ht="18.75">
      <c r="A17" s="30" t="s">
        <v>129</v>
      </c>
      <c r="B17" s="31" t="s">
        <v>198</v>
      </c>
      <c r="C17" s="31" t="s">
        <v>134</v>
      </c>
      <c r="D17" s="31" t="s">
        <v>134</v>
      </c>
      <c r="E17" s="31" t="s">
        <v>134</v>
      </c>
      <c r="F17" s="32"/>
      <c r="G17" s="146" t="s">
        <v>358</v>
      </c>
      <c r="H17" s="146" t="s">
        <v>358</v>
      </c>
      <c r="I17" s="146" t="s">
        <v>358</v>
      </c>
      <c r="J17" s="32"/>
      <c r="K17" s="146" t="s">
        <v>358</v>
      </c>
      <c r="L17" s="146" t="s">
        <v>358</v>
      </c>
      <c r="M17" s="146" t="s">
        <v>358</v>
      </c>
      <c r="N17" s="32"/>
      <c r="O17" s="32"/>
      <c r="P17" s="146" t="s">
        <v>358</v>
      </c>
      <c r="Q17" s="146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143" t="s">
        <v>358</v>
      </c>
      <c r="AB17" s="31" t="s">
        <v>198</v>
      </c>
      <c r="AC17" s="31" t="s">
        <v>198</v>
      </c>
      <c r="AD17" s="31" t="s">
        <v>198</v>
      </c>
      <c r="AE17" s="31" t="s">
        <v>198</v>
      </c>
      <c r="AF17" s="32"/>
      <c r="AG17" s="32"/>
      <c r="AH17" s="114" t="s">
        <v>198</v>
      </c>
    </row>
    <row x14ac:dyDescent="0.25" r="18" customHeight="1" ht="18.75">
      <c r="A18" s="30" t="s">
        <v>130</v>
      </c>
      <c r="B18" s="31">
        <v>1</v>
      </c>
      <c r="C18" s="31">
        <f>1/3</f>
      </c>
      <c r="D18" s="31">
        <f>1/3</f>
      </c>
      <c r="E18" s="31">
        <f>1/3</f>
      </c>
      <c r="F18" s="31"/>
      <c r="G18" s="143">
        <v>0</v>
      </c>
      <c r="H18" s="143">
        <v>0</v>
      </c>
      <c r="I18" s="143">
        <v>0</v>
      </c>
      <c r="J18" s="31"/>
      <c r="K18" s="143">
        <v>0</v>
      </c>
      <c r="L18" s="143">
        <v>0</v>
      </c>
      <c r="M18" s="143">
        <v>0</v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143">
        <v>0</v>
      </c>
      <c r="AB18" s="31">
        <v>1</v>
      </c>
      <c r="AC18" s="31">
        <v>1</v>
      </c>
      <c r="AD18" s="31">
        <v>1</v>
      </c>
      <c r="AE18" s="31">
        <v>1</v>
      </c>
      <c r="AF18" s="31"/>
      <c r="AG18" s="31"/>
      <c r="AH18" s="114">
        <v>1</v>
      </c>
    </row>
    <row x14ac:dyDescent="0.25" r="19" customHeight="1" ht="18.75">
      <c r="A19" s="46"/>
      <c r="B19" s="58"/>
      <c r="C19" s="2"/>
      <c r="D19" s="2"/>
      <c r="E19" s="2"/>
      <c r="F19" s="3"/>
      <c r="G19" s="2"/>
      <c r="H19" s="2"/>
      <c r="I19" s="2"/>
      <c r="J19" s="3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  <c r="AC19" s="2"/>
      <c r="AD19" s="2"/>
      <c r="AE19" s="2"/>
      <c r="AF19" s="3"/>
      <c r="AG19" s="3"/>
      <c r="AH19" s="2"/>
    </row>
    <row x14ac:dyDescent="0.25" r="20" customHeight="1" ht="18.75">
      <c r="A20" s="30" t="s">
        <v>43</v>
      </c>
      <c r="B20" s="31" t="s">
        <v>131</v>
      </c>
      <c r="C20" s="31" t="s">
        <v>180</v>
      </c>
      <c r="D20" s="31" t="s">
        <v>180</v>
      </c>
      <c r="E20" s="31" t="s">
        <v>180</v>
      </c>
      <c r="F20" s="32"/>
      <c r="G20" s="31" t="s">
        <v>180</v>
      </c>
      <c r="H20" s="31" t="s">
        <v>180</v>
      </c>
      <c r="I20" s="31" t="s">
        <v>180</v>
      </c>
      <c r="J20" s="32"/>
      <c r="K20" s="31" t="s">
        <v>180</v>
      </c>
      <c r="L20" s="31" t="s">
        <v>180</v>
      </c>
      <c r="M20" s="31" t="s">
        <v>180</v>
      </c>
      <c r="N20" s="32"/>
      <c r="O20" s="32"/>
      <c r="P20" s="31" t="s">
        <v>180</v>
      </c>
      <c r="Q20" s="31" t="s">
        <v>180</v>
      </c>
      <c r="R20" s="32"/>
      <c r="S20" s="32"/>
      <c r="T20" s="32"/>
      <c r="U20" s="32"/>
      <c r="V20" s="32"/>
      <c r="W20" s="32"/>
      <c r="X20" s="32"/>
      <c r="Y20" s="32"/>
      <c r="Z20" s="32"/>
      <c r="AA20" s="31" t="s">
        <v>68</v>
      </c>
      <c r="AB20" s="143" t="s">
        <v>358</v>
      </c>
      <c r="AC20" s="143" t="s">
        <v>358</v>
      </c>
      <c r="AD20" s="143" t="s">
        <v>358</v>
      </c>
      <c r="AE20" s="143" t="s">
        <v>358</v>
      </c>
      <c r="AF20" s="32"/>
      <c r="AG20" s="32"/>
      <c r="AH20" s="143" t="s">
        <v>358</v>
      </c>
    </row>
    <row x14ac:dyDescent="0.25" r="21" customHeight="1" ht="18.75">
      <c r="A21" s="30" t="s">
        <v>45</v>
      </c>
      <c r="B21" s="31" t="s">
        <v>132</v>
      </c>
      <c r="C21" s="31" t="s">
        <v>374</v>
      </c>
      <c r="D21" s="31" t="s">
        <v>374</v>
      </c>
      <c r="E21" s="31" t="s">
        <v>374</v>
      </c>
      <c r="F21" s="32"/>
      <c r="G21" s="31" t="s">
        <v>374</v>
      </c>
      <c r="H21" s="31" t="s">
        <v>374</v>
      </c>
      <c r="I21" s="31" t="s">
        <v>374</v>
      </c>
      <c r="J21" s="34"/>
      <c r="K21" s="31" t="s">
        <v>374</v>
      </c>
      <c r="L21" s="31" t="s">
        <v>374</v>
      </c>
      <c r="M21" s="31" t="s">
        <v>374</v>
      </c>
      <c r="N21" s="34"/>
      <c r="O21" s="34"/>
      <c r="P21" s="31" t="s">
        <v>186</v>
      </c>
      <c r="Q21" s="31" t="s">
        <v>186</v>
      </c>
      <c r="R21" s="34"/>
      <c r="S21" s="34"/>
      <c r="T21" s="34"/>
      <c r="U21" s="34"/>
      <c r="V21" s="34"/>
      <c r="W21" s="34"/>
      <c r="X21" s="34"/>
      <c r="Y21" s="34"/>
      <c r="Z21" s="34"/>
      <c r="AA21" s="31" t="s">
        <v>132</v>
      </c>
      <c r="AB21" s="143" t="s">
        <v>358</v>
      </c>
      <c r="AC21" s="143" t="s">
        <v>358</v>
      </c>
      <c r="AD21" s="143" t="s">
        <v>358</v>
      </c>
      <c r="AE21" s="143" t="s">
        <v>358</v>
      </c>
      <c r="AF21" s="34"/>
      <c r="AG21" s="34"/>
      <c r="AH21" s="143" t="s">
        <v>358</v>
      </c>
    </row>
    <row x14ac:dyDescent="0.25" r="22" customHeight="1" ht="18.75">
      <c r="A22" s="35" t="s">
        <v>47</v>
      </c>
      <c r="B22" s="117">
        <v>98</v>
      </c>
      <c r="C22" s="117">
        <v>83</v>
      </c>
      <c r="D22" s="117">
        <v>83</v>
      </c>
      <c r="E22" s="117">
        <v>83</v>
      </c>
      <c r="F22" s="37"/>
      <c r="G22" s="117">
        <v>83</v>
      </c>
      <c r="H22" s="117">
        <v>83</v>
      </c>
      <c r="I22" s="117">
        <v>83</v>
      </c>
      <c r="J22" s="37"/>
      <c r="K22" s="117">
        <v>83</v>
      </c>
      <c r="L22" s="117">
        <v>83</v>
      </c>
      <c r="M22" s="117">
        <v>83</v>
      </c>
      <c r="N22" s="37"/>
      <c r="O22" s="37"/>
      <c r="P22" s="117">
        <v>142</v>
      </c>
      <c r="Q22" s="117">
        <v>142</v>
      </c>
      <c r="R22" s="37"/>
      <c r="S22" s="37"/>
      <c r="T22" s="37"/>
      <c r="U22" s="37"/>
      <c r="V22" s="37"/>
      <c r="W22" s="37"/>
      <c r="X22" s="37"/>
      <c r="Y22" s="37"/>
      <c r="Z22" s="37"/>
      <c r="AA22" s="117">
        <v>98</v>
      </c>
      <c r="AB22" s="144"/>
      <c r="AC22" s="144"/>
      <c r="AD22" s="144"/>
      <c r="AE22" s="144"/>
      <c r="AF22" s="37"/>
      <c r="AG22" s="37"/>
      <c r="AH22" s="144"/>
    </row>
    <row x14ac:dyDescent="0.25" r="23" customHeight="1" ht="18.75">
      <c r="A23" s="30" t="s">
        <v>123</v>
      </c>
      <c r="B23" s="31" t="s">
        <v>52</v>
      </c>
      <c r="C23" s="31" t="s">
        <v>52</v>
      </c>
      <c r="D23" s="31" t="s">
        <v>52</v>
      </c>
      <c r="E23" s="31" t="s">
        <v>52</v>
      </c>
      <c r="F23" s="32"/>
      <c r="G23" s="31" t="s">
        <v>52</v>
      </c>
      <c r="H23" s="31" t="s">
        <v>52</v>
      </c>
      <c r="I23" s="31" t="s">
        <v>52</v>
      </c>
      <c r="J23" s="32"/>
      <c r="K23" s="31" t="s">
        <v>52</v>
      </c>
      <c r="L23" s="31" t="s">
        <v>52</v>
      </c>
      <c r="M23" s="31" t="s">
        <v>52</v>
      </c>
      <c r="N23" s="32"/>
      <c r="O23" s="32"/>
      <c r="P23" s="31" t="s">
        <v>52</v>
      </c>
      <c r="Q23" s="31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31" t="s">
        <v>52</v>
      </c>
      <c r="AB23" s="143" t="s">
        <v>49</v>
      </c>
      <c r="AC23" s="143" t="s">
        <v>49</v>
      </c>
      <c r="AD23" s="143" t="s">
        <v>49</v>
      </c>
      <c r="AE23" s="143" t="s">
        <v>49</v>
      </c>
      <c r="AF23" s="32"/>
      <c r="AG23" s="32"/>
      <c r="AH23" s="143" t="s">
        <v>49</v>
      </c>
    </row>
    <row x14ac:dyDescent="0.25" r="24" customHeight="1" ht="18.75">
      <c r="A24" s="30" t="s">
        <v>124</v>
      </c>
      <c r="B24" s="31" t="s">
        <v>52</v>
      </c>
      <c r="C24" s="31" t="s">
        <v>52</v>
      </c>
      <c r="D24" s="31" t="s">
        <v>52</v>
      </c>
      <c r="E24" s="31" t="s">
        <v>52</v>
      </c>
      <c r="F24" s="32"/>
      <c r="G24" s="31" t="s">
        <v>52</v>
      </c>
      <c r="H24" s="31" t="s">
        <v>52</v>
      </c>
      <c r="I24" s="31" t="s">
        <v>52</v>
      </c>
      <c r="J24" s="32"/>
      <c r="K24" s="31" t="s">
        <v>52</v>
      </c>
      <c r="L24" s="31" t="s">
        <v>52</v>
      </c>
      <c r="M24" s="31" t="s">
        <v>52</v>
      </c>
      <c r="N24" s="32"/>
      <c r="O24" s="32"/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31" t="s">
        <v>52</v>
      </c>
      <c r="AB24" s="143" t="s">
        <v>49</v>
      </c>
      <c r="AC24" s="143" t="s">
        <v>49</v>
      </c>
      <c r="AD24" s="143" t="s">
        <v>49</v>
      </c>
      <c r="AE24" s="143" t="s">
        <v>49</v>
      </c>
      <c r="AF24" s="32"/>
      <c r="AG24" s="32"/>
      <c r="AH24" s="143" t="s">
        <v>49</v>
      </c>
    </row>
    <row x14ac:dyDescent="0.25" r="25" customHeight="1" ht="18.75">
      <c r="A25" s="30" t="s">
        <v>125</v>
      </c>
      <c r="B25" s="31" t="s">
        <v>49</v>
      </c>
      <c r="C25" s="31" t="s">
        <v>49</v>
      </c>
      <c r="D25" s="31" t="s">
        <v>49</v>
      </c>
      <c r="E25" s="31" t="s">
        <v>49</v>
      </c>
      <c r="F25" s="32"/>
      <c r="G25" s="31" t="s">
        <v>49</v>
      </c>
      <c r="H25" s="31" t="s">
        <v>49</v>
      </c>
      <c r="I25" s="31" t="s">
        <v>49</v>
      </c>
      <c r="J25" s="32"/>
      <c r="K25" s="31" t="s">
        <v>49</v>
      </c>
      <c r="L25" s="31" t="s">
        <v>49</v>
      </c>
      <c r="M25" s="31" t="s">
        <v>49</v>
      </c>
      <c r="N25" s="32"/>
      <c r="O25" s="32"/>
      <c r="P25" s="31" t="s">
        <v>49</v>
      </c>
      <c r="Q25" s="31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31" t="s">
        <v>49</v>
      </c>
      <c r="AB25" s="143" t="s">
        <v>49</v>
      </c>
      <c r="AC25" s="143" t="s">
        <v>49</v>
      </c>
      <c r="AD25" s="143" t="s">
        <v>49</v>
      </c>
      <c r="AE25" s="143" t="s">
        <v>49</v>
      </c>
      <c r="AF25" s="32"/>
      <c r="AG25" s="32"/>
      <c r="AH25" s="143" t="s">
        <v>49</v>
      </c>
    </row>
    <row x14ac:dyDescent="0.25" r="26" customHeight="1" ht="18.75">
      <c r="A26" s="30" t="s">
        <v>126</v>
      </c>
      <c r="B26" s="31" t="s">
        <v>49</v>
      </c>
      <c r="C26" s="31" t="s">
        <v>49</v>
      </c>
      <c r="D26" s="31" t="s">
        <v>49</v>
      </c>
      <c r="E26" s="31" t="s">
        <v>49</v>
      </c>
      <c r="F26" s="32"/>
      <c r="G26" s="31" t="s">
        <v>49</v>
      </c>
      <c r="H26" s="31" t="s">
        <v>49</v>
      </c>
      <c r="I26" s="31" t="s">
        <v>49</v>
      </c>
      <c r="J26" s="32"/>
      <c r="K26" s="31" t="s">
        <v>49</v>
      </c>
      <c r="L26" s="31" t="s">
        <v>49</v>
      </c>
      <c r="M26" s="31" t="s">
        <v>49</v>
      </c>
      <c r="N26" s="32"/>
      <c r="O26" s="32"/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31" t="s">
        <v>49</v>
      </c>
      <c r="AB26" s="143" t="s">
        <v>49</v>
      </c>
      <c r="AC26" s="143" t="s">
        <v>49</v>
      </c>
      <c r="AD26" s="143" t="s">
        <v>49</v>
      </c>
      <c r="AE26" s="143" t="s">
        <v>49</v>
      </c>
      <c r="AF26" s="32"/>
      <c r="AG26" s="32"/>
      <c r="AH26" s="143" t="s">
        <v>49</v>
      </c>
    </row>
    <row x14ac:dyDescent="0.25" r="27" customHeight="1" ht="18.75">
      <c r="A27" s="30" t="s">
        <v>127</v>
      </c>
      <c r="B27" s="31" t="s">
        <v>133</v>
      </c>
      <c r="C27" s="31" t="s">
        <v>143</v>
      </c>
      <c r="D27" s="31" t="s">
        <v>143</v>
      </c>
      <c r="E27" s="31" t="s">
        <v>143</v>
      </c>
      <c r="F27" s="32"/>
      <c r="G27" s="31" t="s">
        <v>143</v>
      </c>
      <c r="H27" s="31" t="s">
        <v>143</v>
      </c>
      <c r="I27" s="31" t="s">
        <v>143</v>
      </c>
      <c r="J27" s="32"/>
      <c r="K27" s="31" t="s">
        <v>143</v>
      </c>
      <c r="L27" s="31" t="s">
        <v>143</v>
      </c>
      <c r="M27" s="31" t="s">
        <v>143</v>
      </c>
      <c r="N27" s="32"/>
      <c r="O27" s="32"/>
      <c r="P27" s="31" t="s">
        <v>193</v>
      </c>
      <c r="Q27" s="31" t="s">
        <v>193</v>
      </c>
      <c r="R27" s="32"/>
      <c r="S27" s="32"/>
      <c r="T27" s="32"/>
      <c r="U27" s="32"/>
      <c r="V27" s="32"/>
      <c r="W27" s="32"/>
      <c r="X27" s="32"/>
      <c r="Y27" s="32"/>
      <c r="Z27" s="32"/>
      <c r="AA27" s="31" t="s">
        <v>133</v>
      </c>
      <c r="AB27" s="143" t="s">
        <v>133</v>
      </c>
      <c r="AC27" s="143" t="s">
        <v>133</v>
      </c>
      <c r="AD27" s="143" t="s">
        <v>133</v>
      </c>
      <c r="AE27" s="143" t="s">
        <v>133</v>
      </c>
      <c r="AF27" s="32"/>
      <c r="AG27" s="32"/>
      <c r="AH27" s="143" t="s">
        <v>133</v>
      </c>
    </row>
    <row x14ac:dyDescent="0.25" r="28" customHeight="1" ht="18.75">
      <c r="A28" s="30" t="s">
        <v>128</v>
      </c>
      <c r="B28" s="31">
        <v>-2</v>
      </c>
      <c r="C28" s="31">
        <v>0.75</v>
      </c>
      <c r="D28" s="31">
        <v>0.75</v>
      </c>
      <c r="E28" s="31">
        <v>0.75</v>
      </c>
      <c r="F28" s="31"/>
      <c r="G28" s="31">
        <v>0.75</v>
      </c>
      <c r="H28" s="31">
        <v>0.75</v>
      </c>
      <c r="I28" s="31">
        <v>0.75</v>
      </c>
      <c r="J28" s="31"/>
      <c r="K28" s="31">
        <v>0.75</v>
      </c>
      <c r="L28" s="31">
        <v>0.75</v>
      </c>
      <c r="M28" s="31">
        <v>0.75</v>
      </c>
      <c r="N28" s="31"/>
      <c r="O28" s="31"/>
      <c r="P28" s="31">
        <v>-4</v>
      </c>
      <c r="Q28" s="31">
        <v>-4</v>
      </c>
      <c r="R28" s="31"/>
      <c r="S28" s="31"/>
      <c r="T28" s="31"/>
      <c r="U28" s="31"/>
      <c r="V28" s="31"/>
      <c r="W28" s="31"/>
      <c r="X28" s="31"/>
      <c r="Y28" s="31"/>
      <c r="Z28" s="31"/>
      <c r="AA28" s="31">
        <v>-2</v>
      </c>
      <c r="AB28" s="143">
        <v>-2</v>
      </c>
      <c r="AC28" s="143">
        <v>-2</v>
      </c>
      <c r="AD28" s="143">
        <v>-2</v>
      </c>
      <c r="AE28" s="143">
        <v>-2</v>
      </c>
      <c r="AF28" s="31"/>
      <c r="AG28" s="31"/>
      <c r="AH28" s="143">
        <v>-2</v>
      </c>
    </row>
    <row x14ac:dyDescent="0.25" r="29" customHeight="1" ht="18.75">
      <c r="A29" s="30" t="s">
        <v>129</v>
      </c>
      <c r="B29" s="31" t="s">
        <v>134</v>
      </c>
      <c r="C29" s="31" t="s">
        <v>198</v>
      </c>
      <c r="D29" s="31" t="s">
        <v>198</v>
      </c>
      <c r="E29" s="31" t="s">
        <v>198</v>
      </c>
      <c r="F29" s="32"/>
      <c r="G29" s="31" t="s">
        <v>198</v>
      </c>
      <c r="H29" s="31" t="s">
        <v>198</v>
      </c>
      <c r="I29" s="31" t="s">
        <v>198</v>
      </c>
      <c r="J29" s="32"/>
      <c r="K29" s="31" t="s">
        <v>198</v>
      </c>
      <c r="L29" s="31" t="s">
        <v>198</v>
      </c>
      <c r="M29" s="31" t="s">
        <v>198</v>
      </c>
      <c r="N29" s="32"/>
      <c r="O29" s="32"/>
      <c r="P29" s="31" t="s">
        <v>197</v>
      </c>
      <c r="Q29" s="31" t="s">
        <v>197</v>
      </c>
      <c r="R29" s="32"/>
      <c r="S29" s="32"/>
      <c r="T29" s="32"/>
      <c r="U29" s="32"/>
      <c r="V29" s="32"/>
      <c r="W29" s="32"/>
      <c r="X29" s="32"/>
      <c r="Y29" s="32"/>
      <c r="Z29" s="32"/>
      <c r="AA29" s="31" t="s">
        <v>134</v>
      </c>
      <c r="AB29" s="143" t="s">
        <v>358</v>
      </c>
      <c r="AC29" s="143" t="s">
        <v>358</v>
      </c>
      <c r="AD29" s="143" t="s">
        <v>358</v>
      </c>
      <c r="AE29" s="143" t="s">
        <v>358</v>
      </c>
      <c r="AF29" s="32"/>
      <c r="AG29" s="32"/>
      <c r="AH29" s="143" t="s">
        <v>358</v>
      </c>
    </row>
    <row x14ac:dyDescent="0.25" r="30" customHeight="1" ht="18.75">
      <c r="A30" s="30" t="s">
        <v>130</v>
      </c>
      <c r="B30" s="31">
        <f>1/3</f>
      </c>
      <c r="C30" s="31">
        <v>1</v>
      </c>
      <c r="D30" s="31">
        <v>1</v>
      </c>
      <c r="E30" s="31">
        <v>1</v>
      </c>
      <c r="F30" s="31"/>
      <c r="G30" s="31">
        <v>1</v>
      </c>
      <c r="H30" s="31">
        <v>1</v>
      </c>
      <c r="I30" s="31">
        <v>1</v>
      </c>
      <c r="J30" s="31"/>
      <c r="K30" s="31">
        <v>1</v>
      </c>
      <c r="L30" s="31">
        <v>1</v>
      </c>
      <c r="M30" s="31">
        <v>1</v>
      </c>
      <c r="N30" s="31"/>
      <c r="O30" s="31"/>
      <c r="P30" s="31">
        <v>1.75</v>
      </c>
      <c r="Q30" s="31">
        <v>1.75</v>
      </c>
      <c r="R30" s="31"/>
      <c r="S30" s="31"/>
      <c r="T30" s="31"/>
      <c r="U30" s="31"/>
      <c r="V30" s="31"/>
      <c r="W30" s="31"/>
      <c r="X30" s="31"/>
      <c r="Y30" s="31"/>
      <c r="Z30" s="31"/>
      <c r="AA30" s="31">
        <f>1/3</f>
      </c>
      <c r="AB30" s="143">
        <v>0</v>
      </c>
      <c r="AC30" s="143">
        <v>0</v>
      </c>
      <c r="AD30" s="143">
        <v>0</v>
      </c>
      <c r="AE30" s="143">
        <v>0</v>
      </c>
      <c r="AF30" s="31"/>
      <c r="AG30" s="31"/>
      <c r="AH30" s="143">
        <v>0</v>
      </c>
    </row>
    <row x14ac:dyDescent="0.25" r="31" customHeight="1" ht="18.75">
      <c r="A31" s="46"/>
      <c r="B31" s="58"/>
      <c r="C31" s="2"/>
      <c r="D31" s="2"/>
      <c r="E31" s="2"/>
      <c r="F31" s="3"/>
      <c r="G31" s="2"/>
      <c r="H31" s="2"/>
      <c r="I31" s="2"/>
      <c r="J31" s="3"/>
      <c r="K31" s="2"/>
      <c r="L31" s="2"/>
      <c r="M31" s="2"/>
      <c r="N31" s="3"/>
      <c r="O31" s="3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2"/>
      <c r="AC31" s="2"/>
      <c r="AD31" s="2"/>
      <c r="AE31" s="2"/>
      <c r="AF31" s="3"/>
      <c r="AG31" s="3"/>
      <c r="AH31" s="2"/>
    </row>
    <row x14ac:dyDescent="0.25" r="32" customHeight="1" ht="18.75">
      <c r="A32" s="38" t="s">
        <v>64</v>
      </c>
      <c r="B32" s="58"/>
      <c r="C32" s="2"/>
      <c r="D32" s="2"/>
      <c r="E32" s="2"/>
      <c r="F32" s="3"/>
      <c r="G32" s="2"/>
      <c r="H32" s="2"/>
      <c r="I32" s="2"/>
      <c r="J32" s="3"/>
      <c r="K32" s="2"/>
      <c r="L32" s="2"/>
      <c r="M32" s="2"/>
      <c r="N32" s="3"/>
      <c r="O32" s="3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2"/>
      <c r="AC32" s="2"/>
      <c r="AD32" s="2"/>
      <c r="AE32" s="2"/>
      <c r="AF32" s="3"/>
      <c r="AG32" s="3"/>
      <c r="AH32" s="2"/>
    </row>
    <row x14ac:dyDescent="0.25" r="33" customHeight="1" ht="18.75">
      <c r="A33" s="30" t="s">
        <v>375</v>
      </c>
      <c r="B33" s="40" t="s">
        <v>376</v>
      </c>
      <c r="C33" s="2"/>
      <c r="D33" s="2"/>
      <c r="E33" s="2"/>
      <c r="F33" s="3"/>
      <c r="G33" s="2"/>
      <c r="H33" s="2"/>
      <c r="I33" s="2"/>
      <c r="J33" s="3"/>
      <c r="K33" s="2"/>
      <c r="L33" s="2"/>
      <c r="M33" s="2"/>
      <c r="N33" s="3"/>
      <c r="O33" s="3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2"/>
      <c r="AC33" s="2"/>
      <c r="AD33" s="2"/>
      <c r="AE33" s="2"/>
      <c r="AF33" s="3"/>
      <c r="AG33" s="3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4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3"/>
      <c r="F1" s="3"/>
      <c r="G1" s="2"/>
      <c r="H1" s="2"/>
      <c r="I1" s="45" t="s">
        <v>136</v>
      </c>
      <c r="J1" s="3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2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3"/>
      <c r="F2" s="3"/>
      <c r="G2" s="2"/>
      <c r="H2" s="2"/>
      <c r="I2" s="2"/>
      <c r="J2" s="3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2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88</v>
      </c>
      <c r="C3" s="7"/>
      <c r="D3" s="7"/>
      <c r="E3" s="1"/>
      <c r="F3" s="89" t="s">
        <v>3</v>
      </c>
      <c r="G3" s="90"/>
      <c r="H3" s="90"/>
      <c r="I3" s="90"/>
      <c r="J3" s="89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2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354</v>
      </c>
      <c r="C4" s="7"/>
      <c r="D4" s="7"/>
      <c r="E4" s="3"/>
      <c r="F4" s="91" t="s">
        <v>365</v>
      </c>
      <c r="G4" s="92"/>
      <c r="H4" s="92"/>
      <c r="I4" s="92"/>
      <c r="J4" s="93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2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366</v>
      </c>
      <c r="C5" s="7"/>
      <c r="D5" s="7"/>
      <c r="E5" s="3"/>
      <c r="F5" s="95"/>
      <c r="G5" s="96"/>
      <c r="H5" s="96"/>
      <c r="I5" s="96"/>
      <c r="J5" s="97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2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3"/>
      <c r="F6" s="3"/>
      <c r="G6" s="2"/>
      <c r="H6" s="2"/>
      <c r="I6" s="2"/>
      <c r="J6" s="3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2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66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198</v>
      </c>
      <c r="C8" s="31" t="s">
        <v>357</v>
      </c>
      <c r="D8" s="31" t="s">
        <v>357</v>
      </c>
      <c r="E8" s="32"/>
      <c r="F8" s="32"/>
      <c r="G8" s="33" t="s">
        <v>132</v>
      </c>
      <c r="H8" s="33" t="s">
        <v>132</v>
      </c>
      <c r="I8" s="33" t="s">
        <v>132</v>
      </c>
      <c r="J8" s="32"/>
      <c r="K8" s="31" t="s">
        <v>150</v>
      </c>
      <c r="L8" s="31" t="s">
        <v>150</v>
      </c>
      <c r="M8" s="31" t="s">
        <v>150</v>
      </c>
      <c r="N8" s="32"/>
      <c r="O8" s="32"/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359</v>
      </c>
      <c r="AB8" s="32"/>
      <c r="AC8" s="31" t="s">
        <v>359</v>
      </c>
      <c r="AD8" s="32"/>
      <c r="AE8" s="32"/>
      <c r="AF8" s="32"/>
      <c r="AG8" s="32" t="s">
        <v>360</v>
      </c>
      <c r="AH8" s="143" t="s">
        <v>358</v>
      </c>
    </row>
    <row x14ac:dyDescent="0.25" r="9" customHeight="1" ht="18.75">
      <c r="A9" s="30" t="s">
        <v>45</v>
      </c>
      <c r="B9" s="31" t="s">
        <v>361</v>
      </c>
      <c r="C9" s="33" t="s">
        <v>362</v>
      </c>
      <c r="D9" s="33" t="s">
        <v>362</v>
      </c>
      <c r="E9" s="32"/>
      <c r="F9" s="32"/>
      <c r="G9" s="33" t="s">
        <v>220</v>
      </c>
      <c r="H9" s="31" t="s">
        <v>228</v>
      </c>
      <c r="I9" s="31" t="s">
        <v>228</v>
      </c>
      <c r="J9" s="34"/>
      <c r="K9" s="33" t="s">
        <v>362</v>
      </c>
      <c r="L9" s="33" t="s">
        <v>362</v>
      </c>
      <c r="M9" s="31" t="s">
        <v>132</v>
      </c>
      <c r="N9" s="34"/>
      <c r="O9" s="34"/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118" t="s">
        <v>363</v>
      </c>
      <c r="AB9" s="34"/>
      <c r="AC9" s="118" t="s">
        <v>363</v>
      </c>
      <c r="AD9" s="34"/>
      <c r="AE9" s="34"/>
      <c r="AF9" s="34"/>
      <c r="AG9" s="34"/>
      <c r="AH9" s="143" t="s">
        <v>358</v>
      </c>
    </row>
    <row x14ac:dyDescent="0.25" r="10" customHeight="1" ht="18.75">
      <c r="A10" s="35" t="s">
        <v>47</v>
      </c>
      <c r="B10" s="117">
        <v>139</v>
      </c>
      <c r="C10" s="117">
        <v>86</v>
      </c>
      <c r="D10" s="117">
        <v>86</v>
      </c>
      <c r="E10" s="37"/>
      <c r="F10" s="37"/>
      <c r="G10" s="117">
        <v>63</v>
      </c>
      <c r="H10" s="117">
        <v>68</v>
      </c>
      <c r="I10" s="117">
        <v>68</v>
      </c>
      <c r="J10" s="37"/>
      <c r="K10" s="117">
        <v>86</v>
      </c>
      <c r="L10" s="117">
        <v>86</v>
      </c>
      <c r="M10" s="117">
        <v>98</v>
      </c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244</v>
      </c>
      <c r="AB10" s="37"/>
      <c r="AC10" s="117">
        <v>244</v>
      </c>
      <c r="AD10" s="37"/>
      <c r="AE10" s="37"/>
      <c r="AF10" s="37"/>
      <c r="AG10" s="37"/>
      <c r="AH10" s="144"/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2"/>
      <c r="F11" s="32"/>
      <c r="G11" s="33" t="s">
        <v>52</v>
      </c>
      <c r="H11" s="33" t="s">
        <v>52</v>
      </c>
      <c r="I11" s="33" t="s">
        <v>52</v>
      </c>
      <c r="J11" s="32"/>
      <c r="K11" s="31" t="s">
        <v>52</v>
      </c>
      <c r="L11" s="31" t="s">
        <v>52</v>
      </c>
      <c r="M11" s="31" t="s">
        <v>52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1" t="s">
        <v>52</v>
      </c>
      <c r="AD11" s="32"/>
      <c r="AE11" s="34"/>
      <c r="AF11" s="32"/>
      <c r="AG11" s="32"/>
      <c r="AH11" s="143" t="s">
        <v>49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2"/>
      <c r="F12" s="32"/>
      <c r="G12" s="31" t="s">
        <v>49</v>
      </c>
      <c r="H12" s="33" t="s">
        <v>52</v>
      </c>
      <c r="I12" s="33" t="s">
        <v>52</v>
      </c>
      <c r="J12" s="32"/>
      <c r="K12" s="31" t="s">
        <v>52</v>
      </c>
      <c r="L12" s="31" t="s">
        <v>52</v>
      </c>
      <c r="M12" s="31" t="s">
        <v>52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1" t="s">
        <v>52</v>
      </c>
      <c r="AD12" s="32"/>
      <c r="AE12" s="32"/>
      <c r="AF12" s="32"/>
      <c r="AG12" s="32"/>
      <c r="AH12" s="143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4"/>
      <c r="F13" s="34"/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3" t="s">
        <v>49</v>
      </c>
      <c r="AB13" s="32"/>
      <c r="AC13" s="33" t="s">
        <v>49</v>
      </c>
      <c r="AD13" s="32"/>
      <c r="AE13" s="32"/>
      <c r="AF13" s="32"/>
      <c r="AG13" s="32"/>
      <c r="AH13" s="143" t="s">
        <v>49</v>
      </c>
    </row>
    <row x14ac:dyDescent="0.25" r="14" customHeight="1" ht="18.75">
      <c r="A14" s="30" t="s">
        <v>126</v>
      </c>
      <c r="B14" s="31" t="s">
        <v>52</v>
      </c>
      <c r="C14" s="31" t="s">
        <v>52</v>
      </c>
      <c r="D14" s="31" t="s">
        <v>52</v>
      </c>
      <c r="E14" s="32"/>
      <c r="F14" s="32"/>
      <c r="G14" s="31" t="s">
        <v>49</v>
      </c>
      <c r="H14" s="31" t="s">
        <v>49</v>
      </c>
      <c r="I14" s="31" t="s">
        <v>49</v>
      </c>
      <c r="J14" s="32"/>
      <c r="K14" s="31" t="s">
        <v>52</v>
      </c>
      <c r="L14" s="31" t="s">
        <v>52</v>
      </c>
      <c r="M14" s="31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52</v>
      </c>
      <c r="AB14" s="32"/>
      <c r="AC14" s="31" t="s">
        <v>52</v>
      </c>
      <c r="AD14" s="32"/>
      <c r="AE14" s="32"/>
      <c r="AF14" s="32"/>
      <c r="AG14" s="32"/>
      <c r="AH14" s="143" t="s">
        <v>49</v>
      </c>
    </row>
    <row x14ac:dyDescent="0.25" r="15" customHeight="1" ht="18.75">
      <c r="A15" s="30" t="s">
        <v>127</v>
      </c>
      <c r="B15" s="31" t="s">
        <v>133</v>
      </c>
      <c r="C15" s="31" t="s">
        <v>133</v>
      </c>
      <c r="D15" s="31" t="s">
        <v>133</v>
      </c>
      <c r="E15" s="32"/>
      <c r="F15" s="32"/>
      <c r="G15" s="31" t="s">
        <v>234</v>
      </c>
      <c r="H15" s="31" t="s">
        <v>235</v>
      </c>
      <c r="I15" s="31" t="s">
        <v>235</v>
      </c>
      <c r="J15" s="32"/>
      <c r="K15" s="31" t="s">
        <v>133</v>
      </c>
      <c r="L15" s="31" t="s">
        <v>133</v>
      </c>
      <c r="M15" s="31" t="s">
        <v>133</v>
      </c>
      <c r="N15" s="32"/>
      <c r="O15" s="32"/>
      <c r="P15" s="143" t="s">
        <v>133</v>
      </c>
      <c r="Q15" s="143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2"/>
      <c r="AC15" s="31" t="s">
        <v>133</v>
      </c>
      <c r="AD15" s="32"/>
      <c r="AE15" s="32"/>
      <c r="AF15" s="32"/>
      <c r="AG15" s="32"/>
      <c r="AH15" s="143" t="s">
        <v>133</v>
      </c>
    </row>
    <row x14ac:dyDescent="0.25" r="16" customHeight="1" ht="18.75">
      <c r="A16" s="30" t="s">
        <v>128</v>
      </c>
      <c r="B16" s="31">
        <f>-1/6</f>
      </c>
      <c r="C16" s="31">
        <v>0</v>
      </c>
      <c r="D16" s="31">
        <v>0</v>
      </c>
      <c r="E16" s="31"/>
      <c r="F16" s="31"/>
      <c r="G16" s="31">
        <v>-3</v>
      </c>
      <c r="H16" s="31">
        <v>-6</v>
      </c>
      <c r="I16" s="31">
        <v>-6</v>
      </c>
      <c r="J16" s="31"/>
      <c r="K16" s="31">
        <v>0</v>
      </c>
      <c r="L16" s="31">
        <v>0</v>
      </c>
      <c r="M16" s="31">
        <v>-2</v>
      </c>
      <c r="N16" s="31"/>
      <c r="O16" s="31"/>
      <c r="P16" s="143">
        <v>-2</v>
      </c>
      <c r="Q16" s="143">
        <v>-2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0</v>
      </c>
      <c r="AB16" s="31"/>
      <c r="AC16" s="31">
        <v>0</v>
      </c>
      <c r="AD16" s="31"/>
      <c r="AE16" s="31"/>
      <c r="AF16" s="31"/>
      <c r="AG16" s="31"/>
      <c r="AH16" s="143">
        <v>-2</v>
      </c>
    </row>
    <row x14ac:dyDescent="0.25" r="17" customHeight="1" ht="18.75">
      <c r="A17" s="30" t="s">
        <v>129</v>
      </c>
      <c r="B17" s="31" t="s">
        <v>167</v>
      </c>
      <c r="C17" s="31" t="s">
        <v>167</v>
      </c>
      <c r="D17" s="31" t="s">
        <v>167</v>
      </c>
      <c r="E17" s="32"/>
      <c r="F17" s="32"/>
      <c r="G17" s="31" t="s">
        <v>169</v>
      </c>
      <c r="H17" s="31" t="s">
        <v>169</v>
      </c>
      <c r="I17" s="31" t="s">
        <v>169</v>
      </c>
      <c r="J17" s="32"/>
      <c r="K17" s="31" t="s">
        <v>167</v>
      </c>
      <c r="L17" s="31" t="s">
        <v>167</v>
      </c>
      <c r="M17" s="31" t="s">
        <v>134</v>
      </c>
      <c r="N17" s="32"/>
      <c r="O17" s="32"/>
      <c r="P17" s="143" t="s">
        <v>358</v>
      </c>
      <c r="Q17" s="143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118" t="s">
        <v>166</v>
      </c>
      <c r="AB17" s="32"/>
      <c r="AC17" s="118" t="s">
        <v>166</v>
      </c>
      <c r="AD17" s="32"/>
      <c r="AE17" s="32"/>
      <c r="AF17" s="32"/>
      <c r="AG17" s="32"/>
      <c r="AH17" s="143" t="s">
        <v>358</v>
      </c>
    </row>
    <row x14ac:dyDescent="0.25" r="18" customHeight="1" ht="18.75">
      <c r="A18" s="30" t="s">
        <v>130</v>
      </c>
      <c r="B18" s="31">
        <v>0.75</v>
      </c>
      <c r="C18" s="31">
        <v>0.75</v>
      </c>
      <c r="D18" s="31">
        <v>0.75</v>
      </c>
      <c r="E18" s="31"/>
      <c r="F18" s="31"/>
      <c r="G18" s="31">
        <v>2</v>
      </c>
      <c r="H18" s="31">
        <v>2</v>
      </c>
      <c r="I18" s="31">
        <v>2</v>
      </c>
      <c r="J18" s="31"/>
      <c r="K18" s="31">
        <v>0.75</v>
      </c>
      <c r="L18" s="31">
        <v>0.75</v>
      </c>
      <c r="M18" s="31">
        <f>1/3</f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f>0.75*5/4</f>
      </c>
      <c r="AB18" s="31"/>
      <c r="AC18" s="31">
        <f>0.75*5/4</f>
      </c>
      <c r="AD18" s="31"/>
      <c r="AE18" s="31"/>
      <c r="AF18" s="31"/>
      <c r="AG18" s="31"/>
      <c r="AH18" s="143">
        <v>0</v>
      </c>
    </row>
    <row x14ac:dyDescent="0.25" r="19" customHeight="1" ht="18.75">
      <c r="A19" s="46"/>
      <c r="B19" s="58"/>
      <c r="C19" s="2"/>
      <c r="D19" s="2"/>
      <c r="E19" s="3"/>
      <c r="F19" s="3"/>
      <c r="G19" s="2"/>
      <c r="H19" s="2"/>
      <c r="I19" s="2"/>
      <c r="J19" s="3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2"/>
      <c r="AD19" s="3"/>
      <c r="AE19" s="3"/>
      <c r="AF19" s="3"/>
      <c r="AG19" s="3"/>
      <c r="AH19" s="2"/>
    </row>
    <row x14ac:dyDescent="0.25" r="20" customHeight="1" ht="18.75">
      <c r="A20" s="30" t="s">
        <v>43</v>
      </c>
      <c r="B20" s="31" t="s">
        <v>131</v>
      </c>
      <c r="C20" s="143" t="s">
        <v>358</v>
      </c>
      <c r="D20" s="143" t="s">
        <v>358</v>
      </c>
      <c r="E20" s="32"/>
      <c r="F20" s="32"/>
      <c r="G20" s="143" t="s">
        <v>358</v>
      </c>
      <c r="H20" s="143" t="s">
        <v>358</v>
      </c>
      <c r="I20" s="143" t="s">
        <v>358</v>
      </c>
      <c r="J20" s="32"/>
      <c r="K20" s="143" t="s">
        <v>358</v>
      </c>
      <c r="L20" s="143" t="s">
        <v>358</v>
      </c>
      <c r="M20" s="143" t="s">
        <v>358</v>
      </c>
      <c r="N20" s="32"/>
      <c r="O20" s="32"/>
      <c r="P20" s="31" t="s">
        <v>150</v>
      </c>
      <c r="Q20" s="31" t="s">
        <v>150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32"/>
      <c r="AC20" s="143" t="s">
        <v>358</v>
      </c>
      <c r="AD20" s="32"/>
      <c r="AE20" s="32"/>
      <c r="AF20" s="32"/>
      <c r="AG20" s="32"/>
      <c r="AH20" s="31" t="s">
        <v>367</v>
      </c>
    </row>
    <row x14ac:dyDescent="0.25" r="21" customHeight="1" ht="18.75">
      <c r="A21" s="30" t="s">
        <v>45</v>
      </c>
      <c r="B21" s="31" t="s">
        <v>132</v>
      </c>
      <c r="C21" s="143" t="s">
        <v>358</v>
      </c>
      <c r="D21" s="143" t="s">
        <v>358</v>
      </c>
      <c r="E21" s="32"/>
      <c r="F21" s="32"/>
      <c r="G21" s="143" t="s">
        <v>358</v>
      </c>
      <c r="H21" s="143" t="s">
        <v>358</v>
      </c>
      <c r="I21" s="143" t="s">
        <v>358</v>
      </c>
      <c r="J21" s="34"/>
      <c r="K21" s="143" t="s">
        <v>358</v>
      </c>
      <c r="L21" s="143" t="s">
        <v>358</v>
      </c>
      <c r="M21" s="143" t="s">
        <v>358</v>
      </c>
      <c r="N21" s="34"/>
      <c r="O21" s="34"/>
      <c r="P21" s="31" t="s">
        <v>132</v>
      </c>
      <c r="Q21" s="31" t="s">
        <v>132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34"/>
      <c r="AC21" s="143" t="s">
        <v>358</v>
      </c>
      <c r="AD21" s="34"/>
      <c r="AE21" s="34"/>
      <c r="AF21" s="34"/>
      <c r="AG21" s="34"/>
      <c r="AH21" s="31" t="s">
        <v>368</v>
      </c>
    </row>
    <row x14ac:dyDescent="0.25" r="22" customHeight="1" ht="18.75">
      <c r="A22" s="35" t="s">
        <v>47</v>
      </c>
      <c r="B22" s="117">
        <v>98</v>
      </c>
      <c r="C22" s="144"/>
      <c r="D22" s="144"/>
      <c r="E22" s="37"/>
      <c r="F22" s="37"/>
      <c r="G22" s="144"/>
      <c r="H22" s="144"/>
      <c r="I22" s="144"/>
      <c r="J22" s="37"/>
      <c r="K22" s="144"/>
      <c r="L22" s="144"/>
      <c r="M22" s="144"/>
      <c r="N22" s="37"/>
      <c r="O22" s="37"/>
      <c r="P22" s="117">
        <v>98</v>
      </c>
      <c r="Q22" s="117">
        <v>98</v>
      </c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37"/>
      <c r="AC22" s="144"/>
      <c r="AD22" s="37"/>
      <c r="AE22" s="37"/>
      <c r="AF22" s="37"/>
      <c r="AG22" s="37"/>
      <c r="AH22" s="117">
        <v>151</v>
      </c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32"/>
      <c r="F23" s="32"/>
      <c r="G23" s="143" t="s">
        <v>49</v>
      </c>
      <c r="H23" s="143" t="s">
        <v>49</v>
      </c>
      <c r="I23" s="143" t="s">
        <v>49</v>
      </c>
      <c r="J23" s="32"/>
      <c r="K23" s="143" t="s">
        <v>49</v>
      </c>
      <c r="L23" s="143" t="s">
        <v>49</v>
      </c>
      <c r="M23" s="143" t="s">
        <v>49</v>
      </c>
      <c r="N23" s="32"/>
      <c r="O23" s="32"/>
      <c r="P23" s="31" t="s">
        <v>52</v>
      </c>
      <c r="Q23" s="31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32"/>
      <c r="AC23" s="143" t="s">
        <v>49</v>
      </c>
      <c r="AD23" s="32"/>
      <c r="AE23" s="34"/>
      <c r="AF23" s="32"/>
      <c r="AG23" s="32"/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32"/>
      <c r="F24" s="32"/>
      <c r="G24" s="143" t="s">
        <v>49</v>
      </c>
      <c r="H24" s="143" t="s">
        <v>49</v>
      </c>
      <c r="I24" s="143" t="s">
        <v>49</v>
      </c>
      <c r="J24" s="32"/>
      <c r="K24" s="143" t="s">
        <v>49</v>
      </c>
      <c r="L24" s="143" t="s">
        <v>49</v>
      </c>
      <c r="M24" s="143" t="s">
        <v>49</v>
      </c>
      <c r="N24" s="32"/>
      <c r="O24" s="32"/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32"/>
      <c r="AC24" s="143" t="s">
        <v>49</v>
      </c>
      <c r="AD24" s="32"/>
      <c r="AE24" s="32"/>
      <c r="AF24" s="32"/>
      <c r="AG24" s="32"/>
      <c r="AH24" s="31" t="s">
        <v>162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32"/>
      <c r="F25" s="32"/>
      <c r="G25" s="143" t="s">
        <v>49</v>
      </c>
      <c r="H25" s="143" t="s">
        <v>49</v>
      </c>
      <c r="I25" s="143" t="s">
        <v>49</v>
      </c>
      <c r="J25" s="32"/>
      <c r="K25" s="143" t="s">
        <v>49</v>
      </c>
      <c r="L25" s="143" t="s">
        <v>49</v>
      </c>
      <c r="M25" s="143" t="s">
        <v>49</v>
      </c>
      <c r="N25" s="32"/>
      <c r="O25" s="32"/>
      <c r="P25" s="31" t="s">
        <v>49</v>
      </c>
      <c r="Q25" s="31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32"/>
      <c r="AC25" s="143" t="s">
        <v>49</v>
      </c>
      <c r="AD25" s="32"/>
      <c r="AE25" s="32"/>
      <c r="AF25" s="32"/>
      <c r="AG25" s="32"/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143" t="s">
        <v>49</v>
      </c>
      <c r="E26" s="32"/>
      <c r="F26" s="32"/>
      <c r="G26" s="143" t="s">
        <v>49</v>
      </c>
      <c r="H26" s="143" t="s">
        <v>49</v>
      </c>
      <c r="I26" s="143" t="s">
        <v>49</v>
      </c>
      <c r="J26" s="32"/>
      <c r="K26" s="143" t="s">
        <v>49</v>
      </c>
      <c r="L26" s="143" t="s">
        <v>49</v>
      </c>
      <c r="M26" s="143" t="s">
        <v>49</v>
      </c>
      <c r="N26" s="32"/>
      <c r="O26" s="32"/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32"/>
      <c r="AC26" s="143" t="s">
        <v>49</v>
      </c>
      <c r="AD26" s="32"/>
      <c r="AE26" s="32"/>
      <c r="AF26" s="32"/>
      <c r="AG26" s="32"/>
      <c r="AH26" s="31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143" t="s">
        <v>133</v>
      </c>
      <c r="E27" s="32"/>
      <c r="F27" s="32"/>
      <c r="G27" s="143" t="s">
        <v>133</v>
      </c>
      <c r="H27" s="143" t="s">
        <v>133</v>
      </c>
      <c r="I27" s="143" t="s">
        <v>133</v>
      </c>
      <c r="J27" s="32"/>
      <c r="K27" s="143" t="s">
        <v>133</v>
      </c>
      <c r="L27" s="143" t="s">
        <v>133</v>
      </c>
      <c r="M27" s="143" t="s">
        <v>133</v>
      </c>
      <c r="N27" s="32"/>
      <c r="O27" s="32"/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32"/>
      <c r="AC27" s="143" t="s">
        <v>133</v>
      </c>
      <c r="AD27" s="32"/>
      <c r="AE27" s="32"/>
      <c r="AF27" s="32"/>
      <c r="AG27" s="32"/>
      <c r="AH27" s="31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143">
        <v>-2</v>
      </c>
      <c r="E28" s="31"/>
      <c r="F28" s="31"/>
      <c r="G28" s="143">
        <v>-2</v>
      </c>
      <c r="H28" s="143">
        <v>-2</v>
      </c>
      <c r="I28" s="143">
        <v>-2</v>
      </c>
      <c r="J28" s="31"/>
      <c r="K28" s="143">
        <v>-2</v>
      </c>
      <c r="L28" s="143">
        <v>-2</v>
      </c>
      <c r="M28" s="143">
        <v>-2</v>
      </c>
      <c r="N28" s="31"/>
      <c r="O28" s="31"/>
      <c r="P28" s="31">
        <v>-2</v>
      </c>
      <c r="Q28" s="31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143">
        <v>-2</v>
      </c>
      <c r="AD28" s="31"/>
      <c r="AE28" s="31"/>
      <c r="AF28" s="31"/>
      <c r="AG28" s="31"/>
      <c r="AH28" s="142">
        <v>-2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143" t="s">
        <v>358</v>
      </c>
      <c r="E29" s="32"/>
      <c r="F29" s="32"/>
      <c r="G29" s="143" t="s">
        <v>358</v>
      </c>
      <c r="H29" s="143" t="s">
        <v>358</v>
      </c>
      <c r="I29" s="143" t="s">
        <v>358</v>
      </c>
      <c r="J29" s="32"/>
      <c r="K29" s="143" t="s">
        <v>358</v>
      </c>
      <c r="L29" s="143" t="s">
        <v>358</v>
      </c>
      <c r="M29" s="143" t="s">
        <v>358</v>
      </c>
      <c r="N29" s="32"/>
      <c r="O29" s="32"/>
      <c r="P29" s="31" t="s">
        <v>134</v>
      </c>
      <c r="Q29" s="31" t="s">
        <v>134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32"/>
      <c r="AC29" s="143" t="s">
        <v>358</v>
      </c>
      <c r="AD29" s="32"/>
      <c r="AE29" s="32"/>
      <c r="AF29" s="32"/>
      <c r="AG29" s="145"/>
      <c r="AH29" s="31" t="s">
        <v>369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143">
        <v>0</v>
      </c>
      <c r="E30" s="31"/>
      <c r="F30" s="31"/>
      <c r="G30" s="143">
        <v>0</v>
      </c>
      <c r="H30" s="143">
        <v>0</v>
      </c>
      <c r="I30" s="143">
        <v>0</v>
      </c>
      <c r="J30" s="31"/>
      <c r="K30" s="143">
        <v>0</v>
      </c>
      <c r="L30" s="143">
        <v>0</v>
      </c>
      <c r="M30" s="143">
        <v>0</v>
      </c>
      <c r="N30" s="31"/>
      <c r="O30" s="31"/>
      <c r="P30" s="31">
        <f>1/3</f>
      </c>
      <c r="Q30" s="31">
        <f>1/3</f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143">
        <v>0</v>
      </c>
      <c r="AD30" s="31"/>
      <c r="AE30" s="31"/>
      <c r="AF30" s="31"/>
      <c r="AG30" s="31"/>
      <c r="AH30" s="33">
        <f>AVERAGE(1/3,0)</f>
      </c>
    </row>
    <row x14ac:dyDescent="0.25" r="31" customHeight="1" ht="18.75">
      <c r="A31" s="46"/>
      <c r="B31" s="58"/>
      <c r="C31" s="2"/>
      <c r="D31" s="2"/>
      <c r="E31" s="3"/>
      <c r="F31" s="3"/>
      <c r="G31" s="2"/>
      <c r="H31" s="2"/>
      <c r="I31" s="2"/>
      <c r="J31" s="3"/>
      <c r="K31" s="2"/>
      <c r="L31" s="2"/>
      <c r="M31" s="2"/>
      <c r="N31" s="3"/>
      <c r="O31" s="3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2"/>
      <c r="AD31" s="3"/>
      <c r="AE31" s="3"/>
      <c r="AF31" s="3"/>
      <c r="AG31" s="3"/>
      <c r="AH31" s="2"/>
    </row>
    <row x14ac:dyDescent="0.25" r="32" customHeight="1" ht="18.75">
      <c r="A32" s="38" t="s">
        <v>64</v>
      </c>
      <c r="B32" s="58"/>
      <c r="C32" s="2"/>
      <c r="D32" s="2"/>
      <c r="E32" s="3"/>
      <c r="F32" s="3"/>
      <c r="G32" s="2"/>
      <c r="H32" s="2"/>
      <c r="I32" s="2"/>
      <c r="J32" s="3"/>
      <c r="K32" s="2"/>
      <c r="L32" s="2"/>
      <c r="M32" s="2"/>
      <c r="N32" s="3"/>
      <c r="O32" s="3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2"/>
      <c r="AD32" s="3"/>
      <c r="AE32" s="3"/>
      <c r="AF32" s="3"/>
      <c r="AG32" s="3"/>
      <c r="AH32" s="2"/>
    </row>
    <row x14ac:dyDescent="0.25" r="33" customHeight="1" ht="18.75">
      <c r="A33" s="30" t="s">
        <v>370</v>
      </c>
      <c r="B33" s="40"/>
      <c r="C33" s="2"/>
      <c r="D33" s="2"/>
      <c r="E33" s="3"/>
      <c r="F33" s="3"/>
      <c r="G33" s="2"/>
      <c r="H33" s="2"/>
      <c r="I33" s="2"/>
      <c r="J33" s="3"/>
      <c r="K33" s="2"/>
      <c r="L33" s="2"/>
      <c r="M33" s="2"/>
      <c r="N33" s="3"/>
      <c r="O33" s="3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2"/>
      <c r="AD33" s="3"/>
      <c r="AE33" s="3"/>
      <c r="AF33" s="3"/>
      <c r="AG33" s="3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33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4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3"/>
      <c r="F1" s="3"/>
      <c r="G1" s="2"/>
      <c r="H1" s="2"/>
      <c r="I1" s="45" t="s">
        <v>136</v>
      </c>
      <c r="J1" s="3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2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3"/>
      <c r="F2" s="3"/>
      <c r="G2" s="2"/>
      <c r="H2" s="2"/>
      <c r="I2" s="2"/>
      <c r="J2" s="3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2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89</v>
      </c>
      <c r="C3" s="7"/>
      <c r="D3" s="7"/>
      <c r="E3" s="1"/>
      <c r="F3" s="89" t="s">
        <v>3</v>
      </c>
      <c r="G3" s="90"/>
      <c r="H3" s="90"/>
      <c r="I3" s="90"/>
      <c r="J3" s="89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2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354</v>
      </c>
      <c r="C4" s="7"/>
      <c r="D4" s="7"/>
      <c r="E4" s="3"/>
      <c r="F4" s="91" t="s">
        <v>355</v>
      </c>
      <c r="G4" s="92"/>
      <c r="H4" s="92"/>
      <c r="I4" s="92"/>
      <c r="J4" s="93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2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356</v>
      </c>
      <c r="C5" s="7"/>
      <c r="D5" s="7"/>
      <c r="E5" s="3"/>
      <c r="F5" s="95"/>
      <c r="G5" s="96"/>
      <c r="H5" s="96"/>
      <c r="I5" s="96"/>
      <c r="J5" s="97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2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3"/>
      <c r="F6" s="3"/>
      <c r="G6" s="2"/>
      <c r="H6" s="2"/>
      <c r="I6" s="2"/>
      <c r="J6" s="3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2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66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198</v>
      </c>
      <c r="C8" s="31" t="s">
        <v>357</v>
      </c>
      <c r="D8" s="31" t="s">
        <v>357</v>
      </c>
      <c r="E8" s="32"/>
      <c r="F8" s="32"/>
      <c r="G8" s="33" t="s">
        <v>132</v>
      </c>
      <c r="H8" s="33" t="s">
        <v>132</v>
      </c>
      <c r="I8" s="33" t="s">
        <v>132</v>
      </c>
      <c r="J8" s="32"/>
      <c r="K8" s="31" t="s">
        <v>150</v>
      </c>
      <c r="L8" s="31" t="s">
        <v>150</v>
      </c>
      <c r="M8" s="31" t="s">
        <v>150</v>
      </c>
      <c r="N8" s="32"/>
      <c r="O8" s="32"/>
      <c r="P8" s="143" t="s">
        <v>358</v>
      </c>
      <c r="Q8" s="143" t="s">
        <v>358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359</v>
      </c>
      <c r="AB8" s="32"/>
      <c r="AC8" s="31" t="s">
        <v>359</v>
      </c>
      <c r="AD8" s="32"/>
      <c r="AE8" s="32"/>
      <c r="AF8" s="32"/>
      <c r="AG8" s="32" t="s">
        <v>360</v>
      </c>
      <c r="AH8" s="143" t="s">
        <v>358</v>
      </c>
    </row>
    <row x14ac:dyDescent="0.25" r="9" customHeight="1" ht="18.75">
      <c r="A9" s="30" t="s">
        <v>45</v>
      </c>
      <c r="B9" s="31" t="s">
        <v>361</v>
      </c>
      <c r="C9" s="33" t="s">
        <v>362</v>
      </c>
      <c r="D9" s="33" t="s">
        <v>362</v>
      </c>
      <c r="E9" s="32"/>
      <c r="F9" s="32"/>
      <c r="G9" s="33" t="s">
        <v>220</v>
      </c>
      <c r="H9" s="31" t="s">
        <v>228</v>
      </c>
      <c r="I9" s="31" t="s">
        <v>228</v>
      </c>
      <c r="J9" s="34"/>
      <c r="K9" s="33" t="s">
        <v>362</v>
      </c>
      <c r="L9" s="33" t="s">
        <v>362</v>
      </c>
      <c r="M9" s="31" t="s">
        <v>132</v>
      </c>
      <c r="N9" s="34"/>
      <c r="O9" s="34"/>
      <c r="P9" s="143" t="s">
        <v>358</v>
      </c>
      <c r="Q9" s="143" t="s">
        <v>358</v>
      </c>
      <c r="R9" s="34"/>
      <c r="S9" s="34"/>
      <c r="T9" s="34"/>
      <c r="U9" s="34"/>
      <c r="V9" s="34"/>
      <c r="W9" s="34"/>
      <c r="X9" s="34"/>
      <c r="Y9" s="34"/>
      <c r="Z9" s="34"/>
      <c r="AA9" s="118" t="s">
        <v>363</v>
      </c>
      <c r="AB9" s="34"/>
      <c r="AC9" s="118" t="s">
        <v>363</v>
      </c>
      <c r="AD9" s="34"/>
      <c r="AE9" s="34"/>
      <c r="AF9" s="34"/>
      <c r="AG9" s="34"/>
      <c r="AH9" s="143" t="s">
        <v>358</v>
      </c>
    </row>
    <row x14ac:dyDescent="0.25" r="10" customHeight="1" ht="18.75">
      <c r="A10" s="35" t="s">
        <v>47</v>
      </c>
      <c r="B10" s="117">
        <v>139</v>
      </c>
      <c r="C10" s="117">
        <v>86</v>
      </c>
      <c r="D10" s="117">
        <v>86</v>
      </c>
      <c r="E10" s="37"/>
      <c r="F10" s="37"/>
      <c r="G10" s="117">
        <v>63</v>
      </c>
      <c r="H10" s="117">
        <v>68</v>
      </c>
      <c r="I10" s="117">
        <v>68</v>
      </c>
      <c r="J10" s="37"/>
      <c r="K10" s="117">
        <v>86</v>
      </c>
      <c r="L10" s="117">
        <v>86</v>
      </c>
      <c r="M10" s="117">
        <v>98</v>
      </c>
      <c r="N10" s="37"/>
      <c r="O10" s="37"/>
      <c r="P10" s="144"/>
      <c r="Q10" s="144"/>
      <c r="R10" s="37"/>
      <c r="S10" s="37"/>
      <c r="T10" s="37"/>
      <c r="U10" s="37"/>
      <c r="V10" s="37"/>
      <c r="W10" s="37"/>
      <c r="X10" s="37"/>
      <c r="Y10" s="37"/>
      <c r="Z10" s="37"/>
      <c r="AA10" s="117">
        <v>244</v>
      </c>
      <c r="AB10" s="37"/>
      <c r="AC10" s="117">
        <v>244</v>
      </c>
      <c r="AD10" s="37"/>
      <c r="AE10" s="37"/>
      <c r="AF10" s="37"/>
      <c r="AG10" s="37"/>
      <c r="AH10" s="144"/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2"/>
      <c r="F11" s="32"/>
      <c r="G11" s="33" t="s">
        <v>52</v>
      </c>
      <c r="H11" s="33" t="s">
        <v>52</v>
      </c>
      <c r="I11" s="33" t="s">
        <v>52</v>
      </c>
      <c r="J11" s="32"/>
      <c r="K11" s="31" t="s">
        <v>52</v>
      </c>
      <c r="L11" s="31" t="s">
        <v>52</v>
      </c>
      <c r="M11" s="31" t="s">
        <v>52</v>
      </c>
      <c r="N11" s="32"/>
      <c r="O11" s="32"/>
      <c r="P11" s="143" t="s">
        <v>49</v>
      </c>
      <c r="Q11" s="143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1" t="s">
        <v>52</v>
      </c>
      <c r="AD11" s="32"/>
      <c r="AE11" s="34"/>
      <c r="AF11" s="32"/>
      <c r="AG11" s="32"/>
      <c r="AH11" s="143" t="s">
        <v>49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2"/>
      <c r="F12" s="32"/>
      <c r="G12" s="31" t="s">
        <v>49</v>
      </c>
      <c r="H12" s="33" t="s">
        <v>52</v>
      </c>
      <c r="I12" s="33" t="s">
        <v>52</v>
      </c>
      <c r="J12" s="32"/>
      <c r="K12" s="31" t="s">
        <v>52</v>
      </c>
      <c r="L12" s="31" t="s">
        <v>52</v>
      </c>
      <c r="M12" s="31" t="s">
        <v>52</v>
      </c>
      <c r="N12" s="32"/>
      <c r="O12" s="32"/>
      <c r="P12" s="143" t="s">
        <v>49</v>
      </c>
      <c r="Q12" s="143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1" t="s">
        <v>52</v>
      </c>
      <c r="AD12" s="32"/>
      <c r="AE12" s="32"/>
      <c r="AF12" s="32"/>
      <c r="AG12" s="32"/>
      <c r="AH12" s="143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4"/>
      <c r="F13" s="34"/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2"/>
      <c r="O13" s="32"/>
      <c r="P13" s="143" t="s">
        <v>49</v>
      </c>
      <c r="Q13" s="143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3" t="s">
        <v>49</v>
      </c>
      <c r="AB13" s="32"/>
      <c r="AC13" s="33" t="s">
        <v>49</v>
      </c>
      <c r="AD13" s="32"/>
      <c r="AE13" s="32"/>
      <c r="AF13" s="32"/>
      <c r="AG13" s="32"/>
      <c r="AH13" s="143" t="s">
        <v>49</v>
      </c>
    </row>
    <row x14ac:dyDescent="0.25" r="14" customHeight="1" ht="18.75">
      <c r="A14" s="30" t="s">
        <v>126</v>
      </c>
      <c r="B14" s="31" t="s">
        <v>52</v>
      </c>
      <c r="C14" s="31" t="s">
        <v>52</v>
      </c>
      <c r="D14" s="31" t="s">
        <v>52</v>
      </c>
      <c r="E14" s="32"/>
      <c r="F14" s="32"/>
      <c r="G14" s="31" t="s">
        <v>49</v>
      </c>
      <c r="H14" s="31" t="s">
        <v>49</v>
      </c>
      <c r="I14" s="31" t="s">
        <v>49</v>
      </c>
      <c r="J14" s="32"/>
      <c r="K14" s="31" t="s">
        <v>52</v>
      </c>
      <c r="L14" s="31" t="s">
        <v>52</v>
      </c>
      <c r="M14" s="31" t="s">
        <v>49</v>
      </c>
      <c r="N14" s="32"/>
      <c r="O14" s="32"/>
      <c r="P14" s="143" t="s">
        <v>49</v>
      </c>
      <c r="Q14" s="143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52</v>
      </c>
      <c r="AB14" s="32"/>
      <c r="AC14" s="31" t="s">
        <v>52</v>
      </c>
      <c r="AD14" s="32"/>
      <c r="AE14" s="32"/>
      <c r="AF14" s="32"/>
      <c r="AG14" s="32"/>
      <c r="AH14" s="143" t="s">
        <v>49</v>
      </c>
    </row>
    <row x14ac:dyDescent="0.25" r="15" customHeight="1" ht="18.75">
      <c r="A15" s="30" t="s">
        <v>127</v>
      </c>
      <c r="B15" s="31" t="s">
        <v>133</v>
      </c>
      <c r="C15" s="31" t="s">
        <v>133</v>
      </c>
      <c r="D15" s="31" t="s">
        <v>133</v>
      </c>
      <c r="E15" s="32"/>
      <c r="F15" s="32"/>
      <c r="G15" s="31" t="s">
        <v>234</v>
      </c>
      <c r="H15" s="31" t="s">
        <v>235</v>
      </c>
      <c r="I15" s="31" t="s">
        <v>235</v>
      </c>
      <c r="J15" s="32"/>
      <c r="K15" s="31" t="s">
        <v>133</v>
      </c>
      <c r="L15" s="31" t="s">
        <v>133</v>
      </c>
      <c r="M15" s="31" t="s">
        <v>133</v>
      </c>
      <c r="N15" s="32"/>
      <c r="O15" s="32"/>
      <c r="P15" s="143" t="s">
        <v>133</v>
      </c>
      <c r="Q15" s="143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2"/>
      <c r="AC15" s="31" t="s">
        <v>133</v>
      </c>
      <c r="AD15" s="32"/>
      <c r="AE15" s="32"/>
      <c r="AF15" s="32"/>
      <c r="AG15" s="32"/>
      <c r="AH15" s="143" t="s">
        <v>133</v>
      </c>
    </row>
    <row x14ac:dyDescent="0.25" r="16" customHeight="1" ht="18.75">
      <c r="A16" s="30" t="s">
        <v>128</v>
      </c>
      <c r="B16" s="31">
        <f>-1/6</f>
      </c>
      <c r="C16" s="31">
        <v>0</v>
      </c>
      <c r="D16" s="31">
        <v>0</v>
      </c>
      <c r="E16" s="31"/>
      <c r="F16" s="31"/>
      <c r="G16" s="31">
        <v>-3</v>
      </c>
      <c r="H16" s="31">
        <v>-6</v>
      </c>
      <c r="I16" s="31">
        <v>-6</v>
      </c>
      <c r="J16" s="31"/>
      <c r="K16" s="31">
        <v>0</v>
      </c>
      <c r="L16" s="31">
        <v>0</v>
      </c>
      <c r="M16" s="31">
        <v>-2</v>
      </c>
      <c r="N16" s="31"/>
      <c r="O16" s="31"/>
      <c r="P16" s="143">
        <v>-2</v>
      </c>
      <c r="Q16" s="143">
        <v>-2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0</v>
      </c>
      <c r="AB16" s="31"/>
      <c r="AC16" s="31">
        <v>0</v>
      </c>
      <c r="AD16" s="31"/>
      <c r="AE16" s="31"/>
      <c r="AF16" s="31"/>
      <c r="AG16" s="31"/>
      <c r="AH16" s="143">
        <v>-2</v>
      </c>
    </row>
    <row x14ac:dyDescent="0.25" r="17" customHeight="1" ht="18.75">
      <c r="A17" s="30" t="s">
        <v>129</v>
      </c>
      <c r="B17" s="31" t="s">
        <v>167</v>
      </c>
      <c r="C17" s="31" t="s">
        <v>167</v>
      </c>
      <c r="D17" s="31" t="s">
        <v>167</v>
      </c>
      <c r="E17" s="32"/>
      <c r="F17" s="32"/>
      <c r="G17" s="31" t="s">
        <v>169</v>
      </c>
      <c r="H17" s="31" t="s">
        <v>169</v>
      </c>
      <c r="I17" s="31" t="s">
        <v>169</v>
      </c>
      <c r="J17" s="32"/>
      <c r="K17" s="31" t="s">
        <v>167</v>
      </c>
      <c r="L17" s="31" t="s">
        <v>167</v>
      </c>
      <c r="M17" s="31" t="s">
        <v>134</v>
      </c>
      <c r="N17" s="32"/>
      <c r="O17" s="32"/>
      <c r="P17" s="143" t="s">
        <v>358</v>
      </c>
      <c r="Q17" s="143" t="s">
        <v>358</v>
      </c>
      <c r="R17" s="32"/>
      <c r="S17" s="32"/>
      <c r="T17" s="32"/>
      <c r="U17" s="32"/>
      <c r="V17" s="32"/>
      <c r="W17" s="32"/>
      <c r="X17" s="32"/>
      <c r="Y17" s="32"/>
      <c r="Z17" s="32"/>
      <c r="AA17" s="118" t="s">
        <v>166</v>
      </c>
      <c r="AB17" s="32"/>
      <c r="AC17" s="118" t="s">
        <v>166</v>
      </c>
      <c r="AD17" s="32"/>
      <c r="AE17" s="32"/>
      <c r="AF17" s="32"/>
      <c r="AG17" s="32"/>
      <c r="AH17" s="143" t="s">
        <v>358</v>
      </c>
    </row>
    <row x14ac:dyDescent="0.25" r="18" customHeight="1" ht="18.75">
      <c r="A18" s="30" t="s">
        <v>130</v>
      </c>
      <c r="B18" s="31">
        <v>0.75</v>
      </c>
      <c r="C18" s="31">
        <v>0.75</v>
      </c>
      <c r="D18" s="31">
        <v>0.75</v>
      </c>
      <c r="E18" s="31"/>
      <c r="F18" s="31"/>
      <c r="G18" s="31">
        <v>2</v>
      </c>
      <c r="H18" s="31">
        <v>2</v>
      </c>
      <c r="I18" s="31">
        <v>2</v>
      </c>
      <c r="J18" s="31"/>
      <c r="K18" s="31">
        <v>0.75</v>
      </c>
      <c r="L18" s="31">
        <v>0.75</v>
      </c>
      <c r="M18" s="31">
        <f>1/3</f>
      </c>
      <c r="N18" s="31"/>
      <c r="O18" s="31"/>
      <c r="P18" s="143">
        <v>0</v>
      </c>
      <c r="Q18" s="143"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f>0.75*5/4</f>
      </c>
      <c r="AB18" s="31"/>
      <c r="AC18" s="31">
        <f>0.75*5/4</f>
      </c>
      <c r="AD18" s="31"/>
      <c r="AE18" s="31"/>
      <c r="AF18" s="31"/>
      <c r="AG18" s="31"/>
      <c r="AH18" s="143">
        <v>0</v>
      </c>
    </row>
    <row x14ac:dyDescent="0.25" r="19" customHeight="1" ht="18.75">
      <c r="A19" s="46"/>
      <c r="B19" s="58"/>
      <c r="C19" s="2"/>
      <c r="D19" s="2"/>
      <c r="E19" s="3"/>
      <c r="F19" s="3"/>
      <c r="G19" s="2"/>
      <c r="H19" s="2"/>
      <c r="I19" s="2"/>
      <c r="J19" s="3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2"/>
      <c r="AD19" s="3"/>
      <c r="AE19" s="3"/>
      <c r="AF19" s="3"/>
      <c r="AG19" s="3"/>
      <c r="AH19" s="2"/>
    </row>
    <row x14ac:dyDescent="0.25" r="20" customHeight="1" ht="18.75">
      <c r="A20" s="30" t="s">
        <v>43</v>
      </c>
      <c r="B20" s="31" t="s">
        <v>131</v>
      </c>
      <c r="C20" s="143" t="s">
        <v>358</v>
      </c>
      <c r="D20" s="143" t="s">
        <v>358</v>
      </c>
      <c r="E20" s="32"/>
      <c r="F20" s="32"/>
      <c r="G20" s="143" t="s">
        <v>358</v>
      </c>
      <c r="H20" s="143" t="s">
        <v>358</v>
      </c>
      <c r="I20" s="143" t="s">
        <v>358</v>
      </c>
      <c r="J20" s="32"/>
      <c r="K20" s="143" t="s">
        <v>358</v>
      </c>
      <c r="L20" s="143" t="s">
        <v>358</v>
      </c>
      <c r="M20" s="143" t="s">
        <v>358</v>
      </c>
      <c r="N20" s="32"/>
      <c r="O20" s="32"/>
      <c r="P20" s="31" t="s">
        <v>150</v>
      </c>
      <c r="Q20" s="31" t="s">
        <v>150</v>
      </c>
      <c r="R20" s="32"/>
      <c r="S20" s="32"/>
      <c r="T20" s="32"/>
      <c r="U20" s="32"/>
      <c r="V20" s="32"/>
      <c r="W20" s="32"/>
      <c r="X20" s="32"/>
      <c r="Y20" s="32"/>
      <c r="Z20" s="32"/>
      <c r="AA20" s="143" t="s">
        <v>358</v>
      </c>
      <c r="AB20" s="32"/>
      <c r="AC20" s="143" t="s">
        <v>358</v>
      </c>
      <c r="AD20" s="32"/>
      <c r="AE20" s="32"/>
      <c r="AF20" s="32"/>
      <c r="AG20" s="32"/>
      <c r="AH20" s="31" t="s">
        <v>68</v>
      </c>
    </row>
    <row x14ac:dyDescent="0.25" r="21" customHeight="1" ht="18.75">
      <c r="A21" s="30" t="s">
        <v>45</v>
      </c>
      <c r="B21" s="31" t="s">
        <v>132</v>
      </c>
      <c r="C21" s="143" t="s">
        <v>358</v>
      </c>
      <c r="D21" s="143" t="s">
        <v>358</v>
      </c>
      <c r="E21" s="32"/>
      <c r="F21" s="32"/>
      <c r="G21" s="143" t="s">
        <v>358</v>
      </c>
      <c r="H21" s="143" t="s">
        <v>358</v>
      </c>
      <c r="I21" s="143" t="s">
        <v>358</v>
      </c>
      <c r="J21" s="34"/>
      <c r="K21" s="143" t="s">
        <v>358</v>
      </c>
      <c r="L21" s="143" t="s">
        <v>358</v>
      </c>
      <c r="M21" s="143" t="s">
        <v>358</v>
      </c>
      <c r="N21" s="34"/>
      <c r="O21" s="34"/>
      <c r="P21" s="31" t="s">
        <v>132</v>
      </c>
      <c r="Q21" s="31" t="s">
        <v>132</v>
      </c>
      <c r="R21" s="34"/>
      <c r="S21" s="34"/>
      <c r="T21" s="34"/>
      <c r="U21" s="34"/>
      <c r="V21" s="34"/>
      <c r="W21" s="34"/>
      <c r="X21" s="34"/>
      <c r="Y21" s="34"/>
      <c r="Z21" s="34"/>
      <c r="AA21" s="143" t="s">
        <v>358</v>
      </c>
      <c r="AB21" s="34"/>
      <c r="AC21" s="143" t="s">
        <v>358</v>
      </c>
      <c r="AD21" s="34"/>
      <c r="AE21" s="34"/>
      <c r="AF21" s="34"/>
      <c r="AG21" s="34"/>
      <c r="AH21" s="31" t="s">
        <v>132</v>
      </c>
    </row>
    <row x14ac:dyDescent="0.25" r="22" customHeight="1" ht="18.75">
      <c r="A22" s="35" t="s">
        <v>47</v>
      </c>
      <c r="B22" s="117">
        <v>98</v>
      </c>
      <c r="C22" s="144"/>
      <c r="D22" s="144"/>
      <c r="E22" s="37"/>
      <c r="F22" s="37"/>
      <c r="G22" s="144"/>
      <c r="H22" s="144"/>
      <c r="I22" s="144"/>
      <c r="J22" s="37"/>
      <c r="K22" s="144"/>
      <c r="L22" s="144"/>
      <c r="M22" s="144"/>
      <c r="N22" s="37"/>
      <c r="O22" s="37"/>
      <c r="P22" s="117">
        <v>98</v>
      </c>
      <c r="Q22" s="117">
        <v>98</v>
      </c>
      <c r="R22" s="37"/>
      <c r="S22" s="37"/>
      <c r="T22" s="37"/>
      <c r="U22" s="37"/>
      <c r="V22" s="37"/>
      <c r="W22" s="37"/>
      <c r="X22" s="37"/>
      <c r="Y22" s="37"/>
      <c r="Z22" s="37"/>
      <c r="AA22" s="144"/>
      <c r="AB22" s="37"/>
      <c r="AC22" s="144"/>
      <c r="AD22" s="37"/>
      <c r="AE22" s="37"/>
      <c r="AF22" s="37"/>
      <c r="AG22" s="37"/>
      <c r="AH22" s="117">
        <v>98</v>
      </c>
    </row>
    <row x14ac:dyDescent="0.25" r="23" customHeight="1" ht="18.75">
      <c r="A23" s="30" t="s">
        <v>123</v>
      </c>
      <c r="B23" s="31" t="s">
        <v>52</v>
      </c>
      <c r="C23" s="143" t="s">
        <v>49</v>
      </c>
      <c r="D23" s="143" t="s">
        <v>49</v>
      </c>
      <c r="E23" s="32"/>
      <c r="F23" s="32"/>
      <c r="G23" s="143" t="s">
        <v>49</v>
      </c>
      <c r="H23" s="143" t="s">
        <v>49</v>
      </c>
      <c r="I23" s="143" t="s">
        <v>49</v>
      </c>
      <c r="J23" s="32"/>
      <c r="K23" s="143" t="s">
        <v>49</v>
      </c>
      <c r="L23" s="143" t="s">
        <v>49</v>
      </c>
      <c r="M23" s="143" t="s">
        <v>49</v>
      </c>
      <c r="N23" s="32"/>
      <c r="O23" s="32"/>
      <c r="P23" s="31" t="s">
        <v>52</v>
      </c>
      <c r="Q23" s="31" t="s">
        <v>52</v>
      </c>
      <c r="R23" s="32"/>
      <c r="S23" s="32"/>
      <c r="T23" s="32"/>
      <c r="U23" s="32"/>
      <c r="V23" s="32"/>
      <c r="W23" s="32"/>
      <c r="X23" s="32"/>
      <c r="Y23" s="32"/>
      <c r="Z23" s="32"/>
      <c r="AA23" s="143" t="s">
        <v>49</v>
      </c>
      <c r="AB23" s="32"/>
      <c r="AC23" s="143" t="s">
        <v>49</v>
      </c>
      <c r="AD23" s="32"/>
      <c r="AE23" s="34"/>
      <c r="AF23" s="32"/>
      <c r="AG23" s="32"/>
      <c r="AH23" s="31" t="s">
        <v>52</v>
      </c>
    </row>
    <row x14ac:dyDescent="0.25" r="24" customHeight="1" ht="18.75">
      <c r="A24" s="30" t="s">
        <v>124</v>
      </c>
      <c r="B24" s="31" t="s">
        <v>52</v>
      </c>
      <c r="C24" s="143" t="s">
        <v>49</v>
      </c>
      <c r="D24" s="143" t="s">
        <v>49</v>
      </c>
      <c r="E24" s="32"/>
      <c r="F24" s="32"/>
      <c r="G24" s="143" t="s">
        <v>49</v>
      </c>
      <c r="H24" s="143" t="s">
        <v>49</v>
      </c>
      <c r="I24" s="143" t="s">
        <v>49</v>
      </c>
      <c r="J24" s="32"/>
      <c r="K24" s="143" t="s">
        <v>49</v>
      </c>
      <c r="L24" s="143" t="s">
        <v>49</v>
      </c>
      <c r="M24" s="143" t="s">
        <v>49</v>
      </c>
      <c r="N24" s="32"/>
      <c r="O24" s="32"/>
      <c r="P24" s="31" t="s">
        <v>52</v>
      </c>
      <c r="Q24" s="31" t="s">
        <v>52</v>
      </c>
      <c r="R24" s="32"/>
      <c r="S24" s="32"/>
      <c r="T24" s="32"/>
      <c r="U24" s="32"/>
      <c r="V24" s="32"/>
      <c r="W24" s="32"/>
      <c r="X24" s="32"/>
      <c r="Y24" s="32"/>
      <c r="Z24" s="32"/>
      <c r="AA24" s="143" t="s">
        <v>49</v>
      </c>
      <c r="AB24" s="32"/>
      <c r="AC24" s="143" t="s">
        <v>49</v>
      </c>
      <c r="AD24" s="32"/>
      <c r="AE24" s="32"/>
      <c r="AF24" s="32"/>
      <c r="AG24" s="32"/>
      <c r="AH24" s="31" t="s">
        <v>52</v>
      </c>
    </row>
    <row x14ac:dyDescent="0.25" r="25" customHeight="1" ht="18.75">
      <c r="A25" s="30" t="s">
        <v>125</v>
      </c>
      <c r="B25" s="31" t="s">
        <v>49</v>
      </c>
      <c r="C25" s="143" t="s">
        <v>49</v>
      </c>
      <c r="D25" s="143" t="s">
        <v>49</v>
      </c>
      <c r="E25" s="32"/>
      <c r="F25" s="32"/>
      <c r="G25" s="143" t="s">
        <v>49</v>
      </c>
      <c r="H25" s="143" t="s">
        <v>49</v>
      </c>
      <c r="I25" s="143" t="s">
        <v>49</v>
      </c>
      <c r="J25" s="32"/>
      <c r="K25" s="143" t="s">
        <v>49</v>
      </c>
      <c r="L25" s="143" t="s">
        <v>49</v>
      </c>
      <c r="M25" s="143" t="s">
        <v>49</v>
      </c>
      <c r="N25" s="32"/>
      <c r="O25" s="32"/>
      <c r="P25" s="31" t="s">
        <v>49</v>
      </c>
      <c r="Q25" s="31" t="s">
        <v>49</v>
      </c>
      <c r="R25" s="32"/>
      <c r="S25" s="32"/>
      <c r="T25" s="32"/>
      <c r="U25" s="32"/>
      <c r="V25" s="32"/>
      <c r="W25" s="32"/>
      <c r="X25" s="32"/>
      <c r="Y25" s="32"/>
      <c r="Z25" s="32"/>
      <c r="AA25" s="143" t="s">
        <v>49</v>
      </c>
      <c r="AB25" s="32"/>
      <c r="AC25" s="143" t="s">
        <v>49</v>
      </c>
      <c r="AD25" s="32"/>
      <c r="AE25" s="32"/>
      <c r="AF25" s="32"/>
      <c r="AG25" s="32"/>
      <c r="AH25" s="31" t="s">
        <v>49</v>
      </c>
    </row>
    <row x14ac:dyDescent="0.25" r="26" customHeight="1" ht="18.75">
      <c r="A26" s="30" t="s">
        <v>126</v>
      </c>
      <c r="B26" s="31" t="s">
        <v>49</v>
      </c>
      <c r="C26" s="143" t="s">
        <v>49</v>
      </c>
      <c r="D26" s="143" t="s">
        <v>49</v>
      </c>
      <c r="E26" s="32"/>
      <c r="F26" s="32"/>
      <c r="G26" s="143" t="s">
        <v>49</v>
      </c>
      <c r="H26" s="143" t="s">
        <v>49</v>
      </c>
      <c r="I26" s="143" t="s">
        <v>49</v>
      </c>
      <c r="J26" s="32"/>
      <c r="K26" s="143" t="s">
        <v>49</v>
      </c>
      <c r="L26" s="143" t="s">
        <v>49</v>
      </c>
      <c r="M26" s="143" t="s">
        <v>49</v>
      </c>
      <c r="N26" s="32"/>
      <c r="O26" s="32"/>
      <c r="P26" s="31" t="s">
        <v>49</v>
      </c>
      <c r="Q26" s="31" t="s">
        <v>49</v>
      </c>
      <c r="R26" s="32"/>
      <c r="S26" s="32"/>
      <c r="T26" s="32"/>
      <c r="U26" s="32"/>
      <c r="V26" s="32"/>
      <c r="W26" s="32"/>
      <c r="X26" s="32"/>
      <c r="Y26" s="32"/>
      <c r="Z26" s="32"/>
      <c r="AA26" s="143" t="s">
        <v>49</v>
      </c>
      <c r="AB26" s="32"/>
      <c r="AC26" s="143" t="s">
        <v>49</v>
      </c>
      <c r="AD26" s="32"/>
      <c r="AE26" s="32"/>
      <c r="AF26" s="32"/>
      <c r="AG26" s="32"/>
      <c r="AH26" s="31" t="s">
        <v>49</v>
      </c>
    </row>
    <row x14ac:dyDescent="0.25" r="27" customHeight="1" ht="18.75">
      <c r="A27" s="30" t="s">
        <v>127</v>
      </c>
      <c r="B27" s="31" t="s">
        <v>133</v>
      </c>
      <c r="C27" s="143" t="s">
        <v>133</v>
      </c>
      <c r="D27" s="143" t="s">
        <v>133</v>
      </c>
      <c r="E27" s="32"/>
      <c r="F27" s="32"/>
      <c r="G27" s="143" t="s">
        <v>133</v>
      </c>
      <c r="H27" s="143" t="s">
        <v>133</v>
      </c>
      <c r="I27" s="143" t="s">
        <v>133</v>
      </c>
      <c r="J27" s="32"/>
      <c r="K27" s="143" t="s">
        <v>133</v>
      </c>
      <c r="L27" s="143" t="s">
        <v>133</v>
      </c>
      <c r="M27" s="143" t="s">
        <v>133</v>
      </c>
      <c r="N27" s="32"/>
      <c r="O27" s="32"/>
      <c r="P27" s="31" t="s">
        <v>133</v>
      </c>
      <c r="Q27" s="31" t="s">
        <v>133</v>
      </c>
      <c r="R27" s="32"/>
      <c r="S27" s="32"/>
      <c r="T27" s="32"/>
      <c r="U27" s="32"/>
      <c r="V27" s="32"/>
      <c r="W27" s="32"/>
      <c r="X27" s="32"/>
      <c r="Y27" s="32"/>
      <c r="Z27" s="32"/>
      <c r="AA27" s="143" t="s">
        <v>133</v>
      </c>
      <c r="AB27" s="32"/>
      <c r="AC27" s="143" t="s">
        <v>133</v>
      </c>
      <c r="AD27" s="32"/>
      <c r="AE27" s="32"/>
      <c r="AF27" s="32"/>
      <c r="AG27" s="32"/>
      <c r="AH27" s="31" t="s">
        <v>133</v>
      </c>
    </row>
    <row x14ac:dyDescent="0.25" r="28" customHeight="1" ht="18.75">
      <c r="A28" s="30" t="s">
        <v>128</v>
      </c>
      <c r="B28" s="31">
        <v>-2</v>
      </c>
      <c r="C28" s="143">
        <v>-2</v>
      </c>
      <c r="D28" s="143">
        <v>-2</v>
      </c>
      <c r="E28" s="31"/>
      <c r="F28" s="31"/>
      <c r="G28" s="143">
        <v>-2</v>
      </c>
      <c r="H28" s="143">
        <v>-2</v>
      </c>
      <c r="I28" s="143">
        <v>-2</v>
      </c>
      <c r="J28" s="31"/>
      <c r="K28" s="143">
        <v>-2</v>
      </c>
      <c r="L28" s="143">
        <v>-2</v>
      </c>
      <c r="M28" s="143">
        <v>-2</v>
      </c>
      <c r="N28" s="31"/>
      <c r="O28" s="31"/>
      <c r="P28" s="31">
        <v>-2</v>
      </c>
      <c r="Q28" s="31">
        <v>-2</v>
      </c>
      <c r="R28" s="31"/>
      <c r="S28" s="31"/>
      <c r="T28" s="31"/>
      <c r="U28" s="31"/>
      <c r="V28" s="31"/>
      <c r="W28" s="31"/>
      <c r="X28" s="31"/>
      <c r="Y28" s="31"/>
      <c r="Z28" s="31"/>
      <c r="AA28" s="143">
        <v>-2</v>
      </c>
      <c r="AB28" s="31"/>
      <c r="AC28" s="143">
        <v>-2</v>
      </c>
      <c r="AD28" s="31"/>
      <c r="AE28" s="31"/>
      <c r="AF28" s="31"/>
      <c r="AG28" s="31"/>
      <c r="AH28" s="31">
        <v>-2</v>
      </c>
    </row>
    <row x14ac:dyDescent="0.25" r="29" customHeight="1" ht="18.75">
      <c r="A29" s="30" t="s">
        <v>129</v>
      </c>
      <c r="B29" s="31" t="s">
        <v>134</v>
      </c>
      <c r="C29" s="143" t="s">
        <v>358</v>
      </c>
      <c r="D29" s="143" t="s">
        <v>358</v>
      </c>
      <c r="E29" s="32"/>
      <c r="F29" s="32"/>
      <c r="G29" s="143" t="s">
        <v>358</v>
      </c>
      <c r="H29" s="143" t="s">
        <v>358</v>
      </c>
      <c r="I29" s="143" t="s">
        <v>358</v>
      </c>
      <c r="J29" s="32"/>
      <c r="K29" s="143" t="s">
        <v>358</v>
      </c>
      <c r="L29" s="143" t="s">
        <v>358</v>
      </c>
      <c r="M29" s="143" t="s">
        <v>358</v>
      </c>
      <c r="N29" s="32"/>
      <c r="O29" s="32"/>
      <c r="P29" s="31" t="s">
        <v>134</v>
      </c>
      <c r="Q29" s="31" t="s">
        <v>134</v>
      </c>
      <c r="R29" s="32"/>
      <c r="S29" s="32"/>
      <c r="T29" s="32"/>
      <c r="U29" s="32"/>
      <c r="V29" s="32"/>
      <c r="W29" s="32"/>
      <c r="X29" s="32"/>
      <c r="Y29" s="32"/>
      <c r="Z29" s="32"/>
      <c r="AA29" s="143" t="s">
        <v>358</v>
      </c>
      <c r="AB29" s="32"/>
      <c r="AC29" s="143" t="s">
        <v>358</v>
      </c>
      <c r="AD29" s="32"/>
      <c r="AE29" s="32"/>
      <c r="AF29" s="32"/>
      <c r="AG29" s="32"/>
      <c r="AH29" s="31" t="s">
        <v>134</v>
      </c>
    </row>
    <row x14ac:dyDescent="0.25" r="30" customHeight="1" ht="18.75">
      <c r="A30" s="30" t="s">
        <v>130</v>
      </c>
      <c r="B30" s="31">
        <f>1/3</f>
      </c>
      <c r="C30" s="143">
        <v>0</v>
      </c>
      <c r="D30" s="143">
        <v>0</v>
      </c>
      <c r="E30" s="31"/>
      <c r="F30" s="31"/>
      <c r="G30" s="143">
        <v>0</v>
      </c>
      <c r="H30" s="143">
        <v>0</v>
      </c>
      <c r="I30" s="143">
        <v>0</v>
      </c>
      <c r="J30" s="31"/>
      <c r="K30" s="143">
        <v>0</v>
      </c>
      <c r="L30" s="143">
        <v>0</v>
      </c>
      <c r="M30" s="143">
        <v>0</v>
      </c>
      <c r="N30" s="31"/>
      <c r="O30" s="31"/>
      <c r="P30" s="31">
        <f>1/3</f>
      </c>
      <c r="Q30" s="31">
        <f>1/3</f>
      </c>
      <c r="R30" s="31"/>
      <c r="S30" s="31"/>
      <c r="T30" s="31"/>
      <c r="U30" s="31"/>
      <c r="V30" s="31"/>
      <c r="W30" s="31"/>
      <c r="X30" s="31"/>
      <c r="Y30" s="31"/>
      <c r="Z30" s="31"/>
      <c r="AA30" s="143">
        <v>0</v>
      </c>
      <c r="AB30" s="31"/>
      <c r="AC30" s="143">
        <v>0</v>
      </c>
      <c r="AD30" s="31"/>
      <c r="AE30" s="31"/>
      <c r="AF30" s="31"/>
      <c r="AG30" s="31"/>
      <c r="AH30" s="31">
        <f>1/3</f>
      </c>
    </row>
    <row x14ac:dyDescent="0.25" r="31" customHeight="1" ht="18.75">
      <c r="A31" s="46"/>
      <c r="B31" s="58"/>
      <c r="C31" s="2"/>
      <c r="D31" s="2"/>
      <c r="E31" s="3"/>
      <c r="F31" s="3"/>
      <c r="G31" s="2"/>
      <c r="H31" s="2"/>
      <c r="I31" s="2"/>
      <c r="J31" s="3"/>
      <c r="K31" s="2"/>
      <c r="L31" s="2"/>
      <c r="M31" s="2"/>
      <c r="N31" s="3"/>
      <c r="O31" s="3"/>
      <c r="P31" s="2"/>
      <c r="Q31" s="2"/>
      <c r="R31" s="3"/>
      <c r="S31" s="3"/>
      <c r="T31" s="3"/>
      <c r="U31" s="3"/>
      <c r="V31" s="3"/>
      <c r="W31" s="3"/>
      <c r="X31" s="3"/>
      <c r="Y31" s="3"/>
      <c r="Z31" s="3"/>
      <c r="AA31" s="2"/>
      <c r="AB31" s="3"/>
      <c r="AC31" s="2"/>
      <c r="AD31" s="3"/>
      <c r="AE31" s="3"/>
      <c r="AF31" s="3"/>
      <c r="AG31" s="3"/>
      <c r="AH31" s="2"/>
    </row>
    <row x14ac:dyDescent="0.25" r="32" customHeight="1" ht="18.75">
      <c r="A32" s="38" t="s">
        <v>64</v>
      </c>
      <c r="B32" s="58"/>
      <c r="C32" s="2"/>
      <c r="D32" s="2"/>
      <c r="E32" s="3"/>
      <c r="F32" s="3"/>
      <c r="G32" s="2"/>
      <c r="H32" s="2"/>
      <c r="I32" s="2"/>
      <c r="J32" s="3"/>
      <c r="K32" s="2"/>
      <c r="L32" s="2"/>
      <c r="M32" s="2"/>
      <c r="N32" s="3"/>
      <c r="O32" s="3"/>
      <c r="P32" s="2"/>
      <c r="Q32" s="2"/>
      <c r="R32" s="3"/>
      <c r="S32" s="3"/>
      <c r="T32" s="3"/>
      <c r="U32" s="3"/>
      <c r="V32" s="3"/>
      <c r="W32" s="3"/>
      <c r="X32" s="3"/>
      <c r="Y32" s="3"/>
      <c r="Z32" s="3"/>
      <c r="AA32" s="2"/>
      <c r="AB32" s="3"/>
      <c r="AC32" s="2"/>
      <c r="AD32" s="3"/>
      <c r="AE32" s="3"/>
      <c r="AF32" s="3"/>
      <c r="AG32" s="3"/>
      <c r="AH32" s="2"/>
    </row>
    <row x14ac:dyDescent="0.25" r="33" customHeight="1" ht="18.75">
      <c r="A33" s="30" t="s">
        <v>364</v>
      </c>
      <c r="B33" s="40"/>
      <c r="C33" s="2"/>
      <c r="D33" s="2"/>
      <c r="E33" s="3"/>
      <c r="F33" s="3"/>
      <c r="G33" s="2"/>
      <c r="H33" s="2"/>
      <c r="I33" s="2"/>
      <c r="J33" s="3"/>
      <c r="K33" s="2"/>
      <c r="L33" s="2"/>
      <c r="M33" s="2"/>
      <c r="N33" s="3"/>
      <c r="O33" s="3"/>
      <c r="P33" s="2"/>
      <c r="Q33" s="2"/>
      <c r="R33" s="3"/>
      <c r="S33" s="3"/>
      <c r="T33" s="3"/>
      <c r="U33" s="3"/>
      <c r="V33" s="3"/>
      <c r="W33" s="3"/>
      <c r="X33" s="3"/>
      <c r="Y33" s="3"/>
      <c r="Z33" s="3"/>
      <c r="AA33" s="2"/>
      <c r="AB33" s="3"/>
      <c r="AC33" s="2"/>
      <c r="AD33" s="3"/>
      <c r="AE33" s="3"/>
      <c r="AF33" s="3"/>
      <c r="AG33" s="3"/>
      <c r="AH33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4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2"/>
      <c r="AB1" s="2"/>
      <c r="AC1" s="2"/>
      <c r="AD1" s="2"/>
      <c r="AE1" s="2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2"/>
      <c r="AB2" s="2"/>
      <c r="AC2" s="2"/>
      <c r="AD2" s="2"/>
      <c r="AE2" s="2"/>
      <c r="AF2" s="3"/>
      <c r="AG2" s="3"/>
      <c r="AH2" s="2"/>
    </row>
    <row x14ac:dyDescent="0.25" r="3" customHeight="1" ht="18.75">
      <c r="A3" s="1" t="s">
        <v>2</v>
      </c>
      <c r="B3" s="5">
        <v>90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2"/>
      <c r="AC3" s="2"/>
      <c r="AD3" s="2"/>
      <c r="AE3" s="2"/>
      <c r="AF3" s="3"/>
      <c r="AG3" s="3"/>
      <c r="AH3" s="2"/>
    </row>
    <row x14ac:dyDescent="0.25" r="4" customHeight="1" ht="18.75">
      <c r="A4" s="1" t="s">
        <v>4</v>
      </c>
      <c r="B4" s="7" t="s">
        <v>350</v>
      </c>
      <c r="C4" s="7"/>
      <c r="D4" s="7"/>
      <c r="E4" s="2"/>
      <c r="F4" s="124" t="s">
        <v>351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2"/>
      <c r="AC4" s="2"/>
      <c r="AD4" s="2"/>
      <c r="AE4" s="2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2"/>
      <c r="AC6" s="2"/>
      <c r="AD6" s="2"/>
      <c r="AE6" s="2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74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170</v>
      </c>
      <c r="C8" s="31" t="s">
        <v>139</v>
      </c>
      <c r="D8" s="31" t="s">
        <v>139</v>
      </c>
      <c r="E8" s="31" t="s">
        <v>139</v>
      </c>
      <c r="F8" s="31" t="s">
        <v>139</v>
      </c>
      <c r="G8" s="31" t="s">
        <v>139</v>
      </c>
      <c r="H8" s="31" t="s">
        <v>139</v>
      </c>
      <c r="I8" s="31" t="s">
        <v>139</v>
      </c>
      <c r="J8" s="31" t="s">
        <v>139</v>
      </c>
      <c r="K8" s="31" t="s">
        <v>139</v>
      </c>
      <c r="L8" s="31" t="s">
        <v>139</v>
      </c>
      <c r="M8" s="31" t="s">
        <v>139</v>
      </c>
      <c r="N8" s="31" t="s">
        <v>139</v>
      </c>
      <c r="O8" s="31" t="s">
        <v>139</v>
      </c>
      <c r="P8" s="31" t="s">
        <v>139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1" t="s">
        <v>352</v>
      </c>
      <c r="AB8" s="31" t="s">
        <v>352</v>
      </c>
      <c r="AC8" s="31" t="s">
        <v>352</v>
      </c>
      <c r="AD8" s="31" t="s">
        <v>352</v>
      </c>
      <c r="AE8" s="31" t="s">
        <v>352</v>
      </c>
      <c r="AF8" s="32"/>
      <c r="AG8" s="32"/>
      <c r="AH8" s="31" t="s">
        <v>139</v>
      </c>
    </row>
    <row x14ac:dyDescent="0.25" r="9" customHeight="1" ht="18.75">
      <c r="A9" s="30" t="s">
        <v>45</v>
      </c>
      <c r="B9" s="31" t="s">
        <v>352</v>
      </c>
      <c r="C9" s="31" t="s">
        <v>139</v>
      </c>
      <c r="D9" s="31" t="s">
        <v>139</v>
      </c>
      <c r="E9" s="31" t="s">
        <v>139</v>
      </c>
      <c r="F9" s="31" t="s">
        <v>139</v>
      </c>
      <c r="G9" s="31" t="s">
        <v>139</v>
      </c>
      <c r="H9" s="31" t="s">
        <v>139</v>
      </c>
      <c r="I9" s="31" t="s">
        <v>139</v>
      </c>
      <c r="J9" s="31" t="s">
        <v>139</v>
      </c>
      <c r="K9" s="31" t="s">
        <v>139</v>
      </c>
      <c r="L9" s="31" t="s">
        <v>139</v>
      </c>
      <c r="M9" s="31" t="s">
        <v>139</v>
      </c>
      <c r="N9" s="31" t="s">
        <v>139</v>
      </c>
      <c r="O9" s="31" t="s">
        <v>139</v>
      </c>
      <c r="P9" s="31" t="s">
        <v>139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1" t="s">
        <v>352</v>
      </c>
      <c r="AB9" s="31" t="s">
        <v>352</v>
      </c>
      <c r="AC9" s="31" t="s">
        <v>352</v>
      </c>
      <c r="AD9" s="31" t="s">
        <v>352</v>
      </c>
      <c r="AE9" s="31" t="s">
        <v>352</v>
      </c>
      <c r="AF9" s="34"/>
      <c r="AG9" s="34"/>
      <c r="AH9" s="31" t="s">
        <v>139</v>
      </c>
    </row>
    <row x14ac:dyDescent="0.25" r="10" customHeight="1" ht="18.75">
      <c r="A10" s="35" t="s">
        <v>47</v>
      </c>
      <c r="B10" s="117">
        <v>195</v>
      </c>
      <c r="C10" s="117">
        <v>1</v>
      </c>
      <c r="D10" s="117">
        <v>1</v>
      </c>
      <c r="E10" s="117">
        <v>1</v>
      </c>
      <c r="F10" s="117">
        <v>1</v>
      </c>
      <c r="G10" s="117">
        <v>1</v>
      </c>
      <c r="H10" s="117">
        <v>1</v>
      </c>
      <c r="I10" s="117">
        <v>1</v>
      </c>
      <c r="J10" s="117">
        <v>1</v>
      </c>
      <c r="K10" s="117">
        <v>1</v>
      </c>
      <c r="L10" s="117">
        <v>1</v>
      </c>
      <c r="M10" s="117">
        <v>1</v>
      </c>
      <c r="N10" s="117">
        <v>1</v>
      </c>
      <c r="O10" s="117">
        <v>1</v>
      </c>
      <c r="P10" s="117">
        <v>1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117">
        <v>195</v>
      </c>
      <c r="AB10" s="117">
        <v>195</v>
      </c>
      <c r="AC10" s="117">
        <v>195</v>
      </c>
      <c r="AD10" s="117">
        <v>195</v>
      </c>
      <c r="AE10" s="117">
        <v>195</v>
      </c>
      <c r="AF10" s="37"/>
      <c r="AG10" s="37"/>
      <c r="AH10" s="117">
        <v>1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2"/>
      <c r="AG15" s="32"/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>
        <v>3</v>
      </c>
      <c r="AC16" s="31">
        <v>3</v>
      </c>
      <c r="AD16" s="31">
        <v>3</v>
      </c>
      <c r="AE16" s="31">
        <v>3</v>
      </c>
      <c r="AF16" s="31"/>
      <c r="AG16" s="31"/>
      <c r="AH16" s="31">
        <v>3</v>
      </c>
    </row>
    <row x14ac:dyDescent="0.25" r="17" customHeight="1" ht="18.75">
      <c r="A17" s="30" t="s">
        <v>129</v>
      </c>
      <c r="B17" s="31" t="s">
        <v>170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1" t="s">
        <v>170</v>
      </c>
      <c r="AC17" s="31" t="s">
        <v>170</v>
      </c>
      <c r="AD17" s="31" t="s">
        <v>170</v>
      </c>
      <c r="AE17" s="31" t="s">
        <v>170</v>
      </c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5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>
        <v>5</v>
      </c>
      <c r="AC18" s="31">
        <v>5</v>
      </c>
      <c r="AD18" s="31">
        <v>5</v>
      </c>
      <c r="AE18" s="31">
        <v>5</v>
      </c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  <c r="AC19" s="2"/>
      <c r="AD19" s="2"/>
      <c r="AE19" s="2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3"/>
      <c r="R20" s="3"/>
      <c r="S20" s="3"/>
      <c r="T20" s="3"/>
      <c r="U20" s="3"/>
      <c r="V20" s="3"/>
      <c r="W20" s="3"/>
      <c r="X20" s="3"/>
      <c r="Y20" s="3"/>
      <c r="Z20" s="3"/>
      <c r="AA20" s="2"/>
      <c r="AB20" s="2"/>
      <c r="AC20" s="2"/>
      <c r="AD20" s="2"/>
      <c r="AE20" s="2"/>
      <c r="AF20" s="3"/>
      <c r="AG20" s="3"/>
      <c r="AH20" s="2"/>
    </row>
    <row x14ac:dyDescent="0.25" r="21" customHeight="1" ht="18.75">
      <c r="A21" s="30" t="s">
        <v>353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2"/>
      <c r="AB21" s="2"/>
      <c r="AC21" s="2"/>
      <c r="AD21" s="2"/>
      <c r="AE21" s="2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91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336</v>
      </c>
      <c r="C4" s="7"/>
      <c r="D4" s="7"/>
      <c r="E4" s="2"/>
      <c r="F4" s="124" t="s">
        <v>337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338</v>
      </c>
      <c r="C8" s="33" t="s">
        <v>339</v>
      </c>
      <c r="D8" s="33" t="s">
        <v>339</v>
      </c>
      <c r="E8" s="33" t="s">
        <v>339</v>
      </c>
      <c r="F8" s="33" t="s">
        <v>339</v>
      </c>
      <c r="G8" s="33" t="s">
        <v>339</v>
      </c>
      <c r="H8" s="33" t="s">
        <v>339</v>
      </c>
      <c r="I8" s="33" t="s">
        <v>339</v>
      </c>
      <c r="J8" s="31" t="s">
        <v>339</v>
      </c>
      <c r="K8" s="33" t="s">
        <v>339</v>
      </c>
      <c r="L8" s="33" t="s">
        <v>339</v>
      </c>
      <c r="M8" s="33" t="s">
        <v>339</v>
      </c>
      <c r="N8" s="32"/>
      <c r="O8" s="32"/>
      <c r="P8" s="33" t="s">
        <v>339</v>
      </c>
      <c r="Q8" s="33" t="s">
        <v>339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340</v>
      </c>
      <c r="AB8" s="32"/>
      <c r="AC8" s="32"/>
      <c r="AD8" s="32"/>
      <c r="AE8" s="32"/>
      <c r="AF8" s="32"/>
      <c r="AG8" s="32"/>
      <c r="AH8" s="33" t="s">
        <v>339</v>
      </c>
    </row>
    <row x14ac:dyDescent="0.25" r="9" customHeight="1" ht="18.75">
      <c r="A9" s="30" t="s">
        <v>45</v>
      </c>
      <c r="B9" s="31" t="s">
        <v>341</v>
      </c>
      <c r="C9" s="31" t="s">
        <v>342</v>
      </c>
      <c r="D9" s="31" t="s">
        <v>339</v>
      </c>
      <c r="E9" s="31" t="s">
        <v>343</v>
      </c>
      <c r="F9" s="31" t="s">
        <v>343</v>
      </c>
      <c r="G9" s="31" t="s">
        <v>343</v>
      </c>
      <c r="H9" s="31" t="s">
        <v>343</v>
      </c>
      <c r="I9" s="31" t="s">
        <v>343</v>
      </c>
      <c r="J9" s="31" t="s">
        <v>343</v>
      </c>
      <c r="K9" s="31" t="s">
        <v>344</v>
      </c>
      <c r="L9" s="33" t="s">
        <v>345</v>
      </c>
      <c r="M9" s="31" t="s">
        <v>346</v>
      </c>
      <c r="N9" s="34"/>
      <c r="O9" s="34"/>
      <c r="P9" s="31" t="s">
        <v>339</v>
      </c>
      <c r="Q9" s="31" t="s">
        <v>339</v>
      </c>
      <c r="R9" s="34"/>
      <c r="S9" s="34"/>
      <c r="T9" s="34"/>
      <c r="U9" s="34"/>
      <c r="V9" s="34"/>
      <c r="W9" s="34"/>
      <c r="X9" s="34"/>
      <c r="Y9" s="34"/>
      <c r="Z9" s="34"/>
      <c r="AA9" s="119" t="s">
        <v>347</v>
      </c>
      <c r="AB9" s="34"/>
      <c r="AC9" s="34"/>
      <c r="AD9" s="34"/>
      <c r="AE9" s="34"/>
      <c r="AF9" s="34"/>
      <c r="AG9" s="34"/>
      <c r="AH9" s="31" t="s">
        <v>339</v>
      </c>
    </row>
    <row x14ac:dyDescent="0.25" r="10" customHeight="1" ht="18.75">
      <c r="A10" s="35" t="s">
        <v>47</v>
      </c>
      <c r="B10" s="117">
        <v>196</v>
      </c>
      <c r="C10" s="117">
        <v>41</v>
      </c>
      <c r="D10" s="117">
        <v>2</v>
      </c>
      <c r="E10" s="117">
        <v>91</v>
      </c>
      <c r="F10" s="117">
        <v>91</v>
      </c>
      <c r="G10" s="117">
        <v>91</v>
      </c>
      <c r="H10" s="117">
        <v>91</v>
      </c>
      <c r="I10" s="117">
        <v>91</v>
      </c>
      <c r="J10" s="117">
        <v>91</v>
      </c>
      <c r="K10" s="117">
        <v>166</v>
      </c>
      <c r="L10" s="117">
        <v>164</v>
      </c>
      <c r="M10" s="117">
        <v>165</v>
      </c>
      <c r="N10" s="37"/>
      <c r="O10" s="37"/>
      <c r="P10" s="117">
        <v>2</v>
      </c>
      <c r="Q10" s="117">
        <v>2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268</v>
      </c>
      <c r="AB10" s="37"/>
      <c r="AC10" s="37"/>
      <c r="AD10" s="37"/>
      <c r="AE10" s="37"/>
      <c r="AF10" s="37"/>
      <c r="AG10" s="37"/>
      <c r="AH10" s="117">
        <v>2</v>
      </c>
    </row>
    <row x14ac:dyDescent="0.25" r="11" customHeight="1" ht="18.75">
      <c r="A11" s="30" t="s">
        <v>123</v>
      </c>
      <c r="B11" s="31" t="s">
        <v>52</v>
      </c>
      <c r="C11" s="33" t="s">
        <v>52</v>
      </c>
      <c r="D11" s="33" t="s">
        <v>52</v>
      </c>
      <c r="E11" s="33" t="s">
        <v>52</v>
      </c>
      <c r="F11" s="33" t="s">
        <v>52</v>
      </c>
      <c r="G11" s="33" t="s">
        <v>52</v>
      </c>
      <c r="H11" s="33" t="s">
        <v>52</v>
      </c>
      <c r="I11" s="33" t="s">
        <v>52</v>
      </c>
      <c r="J11" s="33" t="s">
        <v>52</v>
      </c>
      <c r="K11" s="33" t="s">
        <v>52</v>
      </c>
      <c r="L11" s="33" t="s">
        <v>52</v>
      </c>
      <c r="M11" s="33" t="s">
        <v>52</v>
      </c>
      <c r="N11" s="32"/>
      <c r="O11" s="32"/>
      <c r="P11" s="33" t="s">
        <v>52</v>
      </c>
      <c r="Q11" s="33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2"/>
      <c r="AH11" s="33" t="s">
        <v>52</v>
      </c>
    </row>
    <row x14ac:dyDescent="0.25" r="12" customHeight="1" ht="18.75">
      <c r="A12" s="30" t="s">
        <v>124</v>
      </c>
      <c r="B12" s="31" t="s">
        <v>52</v>
      </c>
      <c r="C12" s="33" t="s">
        <v>52</v>
      </c>
      <c r="D12" s="33" t="s">
        <v>52</v>
      </c>
      <c r="E12" s="33" t="s">
        <v>52</v>
      </c>
      <c r="F12" s="33" t="s">
        <v>52</v>
      </c>
      <c r="G12" s="33" t="s">
        <v>52</v>
      </c>
      <c r="H12" s="33" t="s">
        <v>52</v>
      </c>
      <c r="I12" s="33" t="s">
        <v>52</v>
      </c>
      <c r="J12" s="33" t="s">
        <v>52</v>
      </c>
      <c r="K12" s="33" t="s">
        <v>52</v>
      </c>
      <c r="L12" s="33" t="s">
        <v>52</v>
      </c>
      <c r="M12" s="33" t="s">
        <v>52</v>
      </c>
      <c r="N12" s="32"/>
      <c r="O12" s="32"/>
      <c r="P12" s="33" t="s">
        <v>52</v>
      </c>
      <c r="Q12" s="33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3" t="s">
        <v>52</v>
      </c>
      <c r="AB12" s="32"/>
      <c r="AC12" s="32"/>
      <c r="AD12" s="32"/>
      <c r="AE12" s="32"/>
      <c r="AF12" s="32"/>
      <c r="AG12" s="32"/>
      <c r="AH12" s="33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2"/>
      <c r="O15" s="32"/>
      <c r="P15" s="31" t="s">
        <v>140</v>
      </c>
      <c r="Q15" s="31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2"/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/>
      <c r="O16" s="31"/>
      <c r="P16" s="31">
        <v>3</v>
      </c>
      <c r="Q16" s="31">
        <v>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/>
      <c r="AH16" s="31">
        <v>3</v>
      </c>
    </row>
    <row x14ac:dyDescent="0.25" r="17" customHeight="1" ht="18.75">
      <c r="A17" s="30" t="s">
        <v>129</v>
      </c>
      <c r="B17" s="31" t="s">
        <v>170</v>
      </c>
      <c r="C17" s="31" t="s">
        <v>169</v>
      </c>
      <c r="D17" s="31" t="s">
        <v>138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134</v>
      </c>
      <c r="K17" s="31" t="s">
        <v>320</v>
      </c>
      <c r="L17" s="31" t="s">
        <v>321</v>
      </c>
      <c r="M17" s="31" t="s">
        <v>322</v>
      </c>
      <c r="N17" s="32"/>
      <c r="O17" s="32"/>
      <c r="P17" s="31" t="s">
        <v>138</v>
      </c>
      <c r="Q17" s="31" t="s">
        <v>138</v>
      </c>
      <c r="R17" s="32"/>
      <c r="S17" s="32"/>
      <c r="T17" s="32"/>
      <c r="U17" s="32"/>
      <c r="V17" s="32"/>
      <c r="W17" s="32"/>
      <c r="X17" s="32"/>
      <c r="Y17" s="32"/>
      <c r="Z17" s="32"/>
      <c r="AA17" s="119" t="s">
        <v>348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5</v>
      </c>
      <c r="C18" s="31">
        <v>2</v>
      </c>
      <c r="D18" s="31">
        <v>4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>
        <f>AVERAGE(2,0.5)</f>
      </c>
      <c r="L18" s="31">
        <f>AVERAGE(4,0.5)</f>
      </c>
      <c r="M18" s="31">
        <f>AVERAGE(4,2)</f>
      </c>
      <c r="N18" s="31"/>
      <c r="O18" s="31"/>
      <c r="P18" s="31">
        <v>4</v>
      </c>
      <c r="Q18" s="31">
        <v>4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f>AVERAGE(5,5,4)</f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349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2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  <c r="AI1" s="3"/>
      <c r="AJ1" s="2"/>
      <c r="AK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  <c r="AI2" s="3"/>
      <c r="AJ2" s="2"/>
      <c r="AK2" s="2"/>
    </row>
    <row x14ac:dyDescent="0.25" r="3" customHeight="1" ht="18.75">
      <c r="A3" s="1" t="s">
        <v>2</v>
      </c>
      <c r="B3" s="5">
        <v>92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  <c r="AI3" s="3"/>
      <c r="AJ3" s="2"/>
      <c r="AK3" s="2"/>
    </row>
    <row x14ac:dyDescent="0.25" r="4" customHeight="1" ht="18.75">
      <c r="A4" s="1" t="s">
        <v>4</v>
      </c>
      <c r="B4" s="7" t="s">
        <v>324</v>
      </c>
      <c r="C4" s="7"/>
      <c r="D4" s="7"/>
      <c r="E4" s="2"/>
      <c r="F4" s="124" t="s">
        <v>325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  <c r="AI4" s="3"/>
      <c r="AJ4" s="2"/>
      <c r="AK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  <c r="AI5" s="3"/>
      <c r="AJ5" s="2"/>
      <c r="AK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  <c r="AI6" s="3"/>
      <c r="AJ6" s="2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  <c r="AI7" s="3"/>
      <c r="AJ7" s="99" t="s">
        <v>12</v>
      </c>
      <c r="AK7" s="112" t="s">
        <v>42</v>
      </c>
    </row>
    <row x14ac:dyDescent="0.25" r="8" customHeight="1" ht="18.75">
      <c r="A8" s="30" t="s">
        <v>43</v>
      </c>
      <c r="B8" s="33" t="s">
        <v>326</v>
      </c>
      <c r="C8" s="31" t="s">
        <v>327</v>
      </c>
      <c r="D8" s="31" t="s">
        <v>327</v>
      </c>
      <c r="E8" s="31" t="s">
        <v>327</v>
      </c>
      <c r="F8" s="31" t="s">
        <v>327</v>
      </c>
      <c r="G8" s="31" t="s">
        <v>327</v>
      </c>
      <c r="H8" s="31" t="s">
        <v>327</v>
      </c>
      <c r="I8" s="31" t="s">
        <v>327</v>
      </c>
      <c r="J8" s="31" t="s">
        <v>327</v>
      </c>
      <c r="K8" s="31" t="s">
        <v>327</v>
      </c>
      <c r="L8" s="31" t="s">
        <v>327</v>
      </c>
      <c r="M8" s="31" t="s">
        <v>327</v>
      </c>
      <c r="N8" s="31" t="s">
        <v>327</v>
      </c>
      <c r="O8" s="31" t="s">
        <v>327</v>
      </c>
      <c r="P8" s="31" t="s">
        <v>327</v>
      </c>
      <c r="Q8" s="31" t="s">
        <v>327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328</v>
      </c>
      <c r="AB8" s="32"/>
      <c r="AC8" s="32"/>
      <c r="AD8" s="32"/>
      <c r="AE8" s="32"/>
      <c r="AF8" s="32"/>
      <c r="AG8" s="32"/>
      <c r="AH8" s="33" t="s">
        <v>327</v>
      </c>
      <c r="AI8" s="3"/>
      <c r="AJ8" s="33" t="s">
        <v>327</v>
      </c>
      <c r="AK8" s="31" t="s">
        <v>329</v>
      </c>
    </row>
    <row x14ac:dyDescent="0.25" r="9" customHeight="1" ht="18.75">
      <c r="A9" s="30" t="s">
        <v>45</v>
      </c>
      <c r="B9" s="33" t="s">
        <v>330</v>
      </c>
      <c r="C9" s="31" t="s">
        <v>142</v>
      </c>
      <c r="D9" s="31" t="s">
        <v>142</v>
      </c>
      <c r="E9" s="31" t="s">
        <v>142</v>
      </c>
      <c r="F9" s="31" t="s">
        <v>142</v>
      </c>
      <c r="G9" s="31" t="s">
        <v>142</v>
      </c>
      <c r="H9" s="31" t="s">
        <v>142</v>
      </c>
      <c r="I9" s="31" t="s">
        <v>142</v>
      </c>
      <c r="J9" s="31" t="s">
        <v>142</v>
      </c>
      <c r="K9" s="31" t="s">
        <v>142</v>
      </c>
      <c r="L9" s="31" t="s">
        <v>142</v>
      </c>
      <c r="M9" s="31" t="s">
        <v>142</v>
      </c>
      <c r="N9" s="31" t="s">
        <v>142</v>
      </c>
      <c r="O9" s="31" t="s">
        <v>142</v>
      </c>
      <c r="P9" s="31" t="s">
        <v>142</v>
      </c>
      <c r="Q9" s="31" t="s">
        <v>142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330</v>
      </c>
      <c r="AB9" s="34"/>
      <c r="AC9" s="34"/>
      <c r="AD9" s="34"/>
      <c r="AE9" s="34"/>
      <c r="AF9" s="34"/>
      <c r="AG9" s="34"/>
      <c r="AH9" s="33" t="s">
        <v>142</v>
      </c>
      <c r="AI9" s="3"/>
      <c r="AJ9" s="31" t="s">
        <v>294</v>
      </c>
      <c r="AK9" s="31" t="s">
        <v>331</v>
      </c>
    </row>
    <row x14ac:dyDescent="0.25" r="10" customHeight="1" ht="18.75">
      <c r="A10" s="35" t="s">
        <v>47</v>
      </c>
      <c r="B10" s="117">
        <v>197</v>
      </c>
      <c r="C10" s="117">
        <v>5</v>
      </c>
      <c r="D10" s="117">
        <v>5</v>
      </c>
      <c r="E10" s="117">
        <v>5</v>
      </c>
      <c r="F10" s="117">
        <v>5</v>
      </c>
      <c r="G10" s="117">
        <v>5</v>
      </c>
      <c r="H10" s="117">
        <v>5</v>
      </c>
      <c r="I10" s="117">
        <v>5</v>
      </c>
      <c r="J10" s="117">
        <v>5</v>
      </c>
      <c r="K10" s="117">
        <v>5</v>
      </c>
      <c r="L10" s="117">
        <v>5</v>
      </c>
      <c r="M10" s="117">
        <v>5</v>
      </c>
      <c r="N10" s="117">
        <v>5</v>
      </c>
      <c r="O10" s="117">
        <v>5</v>
      </c>
      <c r="P10" s="117">
        <v>5</v>
      </c>
      <c r="Q10" s="117">
        <v>5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197</v>
      </c>
      <c r="AB10" s="37"/>
      <c r="AC10" s="37"/>
      <c r="AD10" s="37"/>
      <c r="AE10" s="37"/>
      <c r="AF10" s="37"/>
      <c r="AG10" s="37"/>
      <c r="AH10" s="117">
        <v>5</v>
      </c>
      <c r="AI10" s="3"/>
      <c r="AJ10" s="2"/>
      <c r="AK10" s="2"/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  <c r="AI11" s="3"/>
      <c r="AJ11" s="33" t="s">
        <v>52</v>
      </c>
      <c r="AK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  <c r="AI12" s="3"/>
      <c r="AJ12" s="31" t="s">
        <v>49</v>
      </c>
      <c r="AK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  <c r="AI13" s="3"/>
      <c r="AJ13" s="31" t="s">
        <v>52</v>
      </c>
      <c r="AK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  <c r="AI14" s="3"/>
      <c r="AJ14" s="31" t="s">
        <v>49</v>
      </c>
      <c r="AK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  <c r="AI15" s="3"/>
      <c r="AJ15" s="31" t="s">
        <v>133</v>
      </c>
      <c r="AK15" s="31" t="s">
        <v>143</v>
      </c>
    </row>
    <row x14ac:dyDescent="0.25" r="16" customHeight="1" ht="18.75">
      <c r="A16" s="30" t="s">
        <v>128</v>
      </c>
      <c r="B16" s="31">
        <f>5/3</f>
      </c>
      <c r="C16" s="31">
        <f>5/3</f>
      </c>
      <c r="D16" s="31">
        <f>5/3</f>
      </c>
      <c r="E16" s="31">
        <f>5/3</f>
      </c>
      <c r="F16" s="31">
        <f>5/3</f>
      </c>
      <c r="G16" s="31">
        <f>5/3</f>
      </c>
      <c r="H16" s="31">
        <f>5/3</f>
      </c>
      <c r="I16" s="31">
        <f>5/3</f>
      </c>
      <c r="J16" s="31">
        <f>5/3</f>
      </c>
      <c r="K16" s="31">
        <f>5/3</f>
      </c>
      <c r="L16" s="31">
        <f>5/3</f>
      </c>
      <c r="M16" s="31">
        <f>5/3</f>
      </c>
      <c r="N16" s="31">
        <f>5/3</f>
      </c>
      <c r="O16" s="31">
        <f>5/3</f>
      </c>
      <c r="P16" s="31">
        <f>5/3</f>
      </c>
      <c r="Q16" s="31">
        <f>5/3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5/3</f>
      </c>
      <c r="AB16" s="31"/>
      <c r="AC16" s="31"/>
      <c r="AD16" s="31"/>
      <c r="AE16" s="31"/>
      <c r="AF16" s="31"/>
      <c r="AG16" s="31"/>
      <c r="AH16" s="31">
        <f>5/3</f>
      </c>
      <c r="AI16" s="3"/>
      <c r="AJ16" s="31">
        <v>-0.5</v>
      </c>
      <c r="AK16" s="31">
        <v>1</v>
      </c>
    </row>
    <row x14ac:dyDescent="0.25" r="17" customHeight="1" ht="18.75">
      <c r="A17" s="30" t="s">
        <v>129</v>
      </c>
      <c r="B17" s="31" t="s">
        <v>170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2"/>
      <c r="AH17" s="31" t="s">
        <v>138</v>
      </c>
      <c r="AI17" s="3"/>
      <c r="AJ17" s="31" t="s">
        <v>274</v>
      </c>
      <c r="AK17" s="31" t="s">
        <v>274</v>
      </c>
    </row>
    <row x14ac:dyDescent="0.25" r="18" customHeight="1" ht="18.75">
      <c r="A18" s="30" t="s">
        <v>130</v>
      </c>
      <c r="B18" s="31">
        <v>5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/>
      <c r="AH18" s="31">
        <v>4</v>
      </c>
      <c r="AI18" s="3"/>
      <c r="AJ18" s="31">
        <v>3</v>
      </c>
      <c r="AK18" s="31">
        <v>3</v>
      </c>
    </row>
    <row x14ac:dyDescent="0.25" r="19" customHeight="1" ht="18.75">
      <c r="A19" s="46"/>
      <c r="B19" s="2"/>
      <c r="C19" s="2"/>
      <c r="D19" s="138" t="s">
        <v>332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  <c r="AI19" s="3"/>
      <c r="AJ19" s="121" t="s">
        <v>333</v>
      </c>
      <c r="AK19" s="121"/>
    </row>
    <row x14ac:dyDescent="0.25" r="20" customHeight="1" ht="18.75">
      <c r="A20" s="38" t="s">
        <v>64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  <c r="AI20" s="3"/>
      <c r="AJ20" s="2"/>
      <c r="AK20" s="2"/>
    </row>
    <row x14ac:dyDescent="0.25" r="21" customHeight="1" ht="18.75">
      <c r="A21" s="62" t="s">
        <v>334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  <c r="AI21" s="3"/>
      <c r="AJ21" s="2"/>
      <c r="AK21" s="2"/>
    </row>
    <row x14ac:dyDescent="0.25" r="22" customHeight="1" ht="18.75">
      <c r="A22" s="30" t="s">
        <v>335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3"/>
      <c r="AH22" s="2"/>
      <c r="AI22" s="3"/>
      <c r="AJ22" s="2"/>
      <c r="AK22" s="2"/>
    </row>
  </sheetData>
  <mergeCells count="6">
    <mergeCell ref="B3:D3"/>
    <mergeCell ref="F3:O3"/>
    <mergeCell ref="B4:D4"/>
    <mergeCell ref="F4:O5"/>
    <mergeCell ref="B5:D5"/>
    <mergeCell ref="AJ19:AK1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93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309</v>
      </c>
      <c r="C4" s="7"/>
      <c r="D4" s="7"/>
      <c r="E4" s="2"/>
      <c r="F4" s="124" t="s">
        <v>310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139" t="s">
        <v>311</v>
      </c>
      <c r="C8" s="31" t="s">
        <v>312</v>
      </c>
      <c r="D8" s="31" t="s">
        <v>312</v>
      </c>
      <c r="E8" s="31" t="s">
        <v>312</v>
      </c>
      <c r="F8" s="31" t="s">
        <v>312</v>
      </c>
      <c r="G8" s="31" t="s">
        <v>312</v>
      </c>
      <c r="H8" s="31" t="s">
        <v>312</v>
      </c>
      <c r="I8" s="31" t="s">
        <v>312</v>
      </c>
      <c r="J8" s="31" t="s">
        <v>312</v>
      </c>
      <c r="K8" s="31" t="s">
        <v>312</v>
      </c>
      <c r="L8" s="31" t="s">
        <v>312</v>
      </c>
      <c r="M8" s="31" t="s">
        <v>312</v>
      </c>
      <c r="N8" s="32"/>
      <c r="O8" s="32"/>
      <c r="P8" s="33" t="s">
        <v>312</v>
      </c>
      <c r="Q8" s="33" t="s">
        <v>312</v>
      </c>
      <c r="R8" s="32"/>
      <c r="S8" s="32"/>
      <c r="T8" s="32"/>
      <c r="U8" s="32"/>
      <c r="V8" s="32"/>
      <c r="W8" s="32"/>
      <c r="X8" s="32"/>
      <c r="Y8" s="32"/>
      <c r="Z8" s="32"/>
      <c r="AA8" s="33" t="s">
        <v>152</v>
      </c>
      <c r="AB8" s="32"/>
      <c r="AC8" s="32"/>
      <c r="AD8" s="32"/>
      <c r="AE8" s="32"/>
      <c r="AF8" s="32"/>
      <c r="AG8" s="32"/>
      <c r="AH8" s="33" t="s">
        <v>312</v>
      </c>
    </row>
    <row x14ac:dyDescent="0.25" r="9" customHeight="1" ht="18.75">
      <c r="A9" s="30" t="s">
        <v>45</v>
      </c>
      <c r="B9" s="33" t="s">
        <v>313</v>
      </c>
      <c r="C9" s="31" t="s">
        <v>314</v>
      </c>
      <c r="D9" s="31" t="s">
        <v>315</v>
      </c>
      <c r="E9" s="31" t="s">
        <v>316</v>
      </c>
      <c r="F9" s="31" t="s">
        <v>316</v>
      </c>
      <c r="G9" s="31" t="s">
        <v>316</v>
      </c>
      <c r="H9" s="31" t="s">
        <v>316</v>
      </c>
      <c r="I9" s="31" t="s">
        <v>316</v>
      </c>
      <c r="J9" s="31" t="s">
        <v>317</v>
      </c>
      <c r="K9" s="31" t="s">
        <v>317</v>
      </c>
      <c r="L9" s="31" t="s">
        <v>318</v>
      </c>
      <c r="M9" s="31" t="s">
        <v>319</v>
      </c>
      <c r="N9" s="34"/>
      <c r="O9" s="34"/>
      <c r="P9" s="33" t="s">
        <v>315</v>
      </c>
      <c r="Q9" s="33" t="s">
        <v>315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313</v>
      </c>
      <c r="AB9" s="34"/>
      <c r="AC9" s="34"/>
      <c r="AD9" s="34"/>
      <c r="AE9" s="34"/>
      <c r="AF9" s="34"/>
      <c r="AG9" s="34"/>
      <c r="AH9" s="33" t="s">
        <v>315</v>
      </c>
    </row>
    <row x14ac:dyDescent="0.25" r="10" customHeight="1" ht="18.75">
      <c r="A10" s="35" t="s">
        <v>47</v>
      </c>
      <c r="B10" s="117">
        <v>198</v>
      </c>
      <c r="C10" s="117">
        <v>45</v>
      </c>
      <c r="D10" s="117">
        <v>6</v>
      </c>
      <c r="E10" s="117">
        <v>92</v>
      </c>
      <c r="F10" s="117">
        <v>92</v>
      </c>
      <c r="G10" s="117">
        <v>92</v>
      </c>
      <c r="H10" s="117">
        <v>92</v>
      </c>
      <c r="I10" s="117">
        <v>92</v>
      </c>
      <c r="J10" s="117">
        <v>170</v>
      </c>
      <c r="K10" s="117">
        <v>170</v>
      </c>
      <c r="L10" s="117">
        <v>168</v>
      </c>
      <c r="M10" s="117">
        <v>169</v>
      </c>
      <c r="N10" s="37"/>
      <c r="O10" s="37"/>
      <c r="P10" s="117">
        <v>6</v>
      </c>
      <c r="Q10" s="117">
        <v>6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198</v>
      </c>
      <c r="AB10" s="37"/>
      <c r="AC10" s="37"/>
      <c r="AD10" s="37"/>
      <c r="AE10" s="37"/>
      <c r="AF10" s="37"/>
      <c r="AG10" s="37"/>
      <c r="AH10" s="117">
        <v>6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2"/>
      <c r="O11" s="32"/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2"/>
      <c r="O12" s="32"/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2"/>
      <c r="O15" s="32"/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2"/>
      <c r="AH15" s="31" t="s">
        <v>143</v>
      </c>
    </row>
    <row x14ac:dyDescent="0.25" r="16" customHeight="1" ht="18.75">
      <c r="A16" s="30" t="s">
        <v>128</v>
      </c>
      <c r="B16" s="31">
        <f>5/3</f>
      </c>
      <c r="C16" s="31">
        <v>2</v>
      </c>
      <c r="D16" s="31">
        <f>5/3</f>
      </c>
      <c r="E16" s="31">
        <f>11/6</f>
      </c>
      <c r="F16" s="31">
        <f>11/6</f>
      </c>
      <c r="G16" s="31">
        <f>11/6</f>
      </c>
      <c r="H16" s="31">
        <f>11/6</f>
      </c>
      <c r="I16" s="31">
        <f>11/6</f>
      </c>
      <c r="J16" s="31">
        <f>AVERAGE(2,11/6)</f>
      </c>
      <c r="K16" s="31">
        <f>AVERAGE(2,11/6)</f>
      </c>
      <c r="L16" s="31">
        <f>AVERAGE(5/3,11/6)</f>
      </c>
      <c r="M16" s="31">
        <f>AVERAGE(5/3,2)</f>
      </c>
      <c r="N16" s="31"/>
      <c r="O16" s="31"/>
      <c r="P16" s="31">
        <f>5/3</f>
      </c>
      <c r="Q16" s="31">
        <f>5/3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f>5/3</f>
      </c>
      <c r="AB16" s="31"/>
      <c r="AC16" s="31"/>
      <c r="AD16" s="31"/>
      <c r="AE16" s="31"/>
      <c r="AF16" s="31"/>
      <c r="AG16" s="31"/>
      <c r="AH16" s="31">
        <f>5/3</f>
      </c>
    </row>
    <row x14ac:dyDescent="0.25" r="17" customHeight="1" ht="18.75">
      <c r="A17" s="30" t="s">
        <v>129</v>
      </c>
      <c r="B17" s="31" t="s">
        <v>170</v>
      </c>
      <c r="C17" s="31" t="s">
        <v>169</v>
      </c>
      <c r="D17" s="31" t="s">
        <v>138</v>
      </c>
      <c r="E17" s="31" t="s">
        <v>134</v>
      </c>
      <c r="F17" s="31" t="s">
        <v>134</v>
      </c>
      <c r="G17" s="31" t="s">
        <v>134</v>
      </c>
      <c r="H17" s="31" t="s">
        <v>134</v>
      </c>
      <c r="I17" s="31" t="s">
        <v>134</v>
      </c>
      <c r="J17" s="31" t="s">
        <v>320</v>
      </c>
      <c r="K17" s="31" t="s">
        <v>320</v>
      </c>
      <c r="L17" s="31" t="s">
        <v>321</v>
      </c>
      <c r="M17" s="31" t="s">
        <v>322</v>
      </c>
      <c r="N17" s="32"/>
      <c r="O17" s="32"/>
      <c r="P17" s="31" t="s">
        <v>138</v>
      </c>
      <c r="Q17" s="31" t="s">
        <v>138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5</v>
      </c>
      <c r="C18" s="31">
        <v>2</v>
      </c>
      <c r="D18" s="31">
        <v>4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f>AVERAGE(2,0.5)</f>
      </c>
      <c r="K18" s="31">
        <f>AVERAGE(2,0.5)</f>
      </c>
      <c r="L18" s="31">
        <f>AVERAGE(4,0.5)</f>
      </c>
      <c r="M18" s="31">
        <f>AVERAGE(4,2)</f>
      </c>
      <c r="N18" s="31"/>
      <c r="O18" s="31"/>
      <c r="P18" s="31">
        <v>4</v>
      </c>
      <c r="Q18" s="31">
        <v>4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323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94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278</v>
      </c>
      <c r="C4" s="7"/>
      <c r="D4" s="7"/>
      <c r="E4" s="2"/>
      <c r="F4" s="124" t="s">
        <v>306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307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140" t="s">
        <v>280</v>
      </c>
      <c r="C8" s="31" t="s">
        <v>281</v>
      </c>
      <c r="D8" s="31" t="s">
        <v>281</v>
      </c>
      <c r="E8" s="31" t="s">
        <v>281</v>
      </c>
      <c r="F8" s="31" t="s">
        <v>281</v>
      </c>
      <c r="G8" s="31" t="s">
        <v>281</v>
      </c>
      <c r="H8" s="31" t="s">
        <v>281</v>
      </c>
      <c r="I8" s="31" t="s">
        <v>281</v>
      </c>
      <c r="J8" s="31" t="s">
        <v>281</v>
      </c>
      <c r="K8" s="31" t="s">
        <v>281</v>
      </c>
      <c r="L8" s="31" t="s">
        <v>281</v>
      </c>
      <c r="M8" s="31" t="s">
        <v>281</v>
      </c>
      <c r="N8" s="31" t="s">
        <v>281</v>
      </c>
      <c r="O8" s="31" t="s">
        <v>281</v>
      </c>
      <c r="P8" s="31" t="s">
        <v>281</v>
      </c>
      <c r="Q8" s="31" t="s">
        <v>281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285</v>
      </c>
      <c r="AB8" s="32"/>
      <c r="AC8" s="32"/>
      <c r="AD8" s="32"/>
      <c r="AE8" s="32"/>
      <c r="AF8" s="32"/>
      <c r="AG8" s="32"/>
      <c r="AH8" s="31" t="s">
        <v>281</v>
      </c>
    </row>
    <row x14ac:dyDescent="0.25" r="9" customHeight="1" ht="18.75">
      <c r="A9" s="30" t="s">
        <v>45</v>
      </c>
      <c r="B9" s="140" t="s">
        <v>287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31" t="s">
        <v>302</v>
      </c>
      <c r="J9" s="31" t="s">
        <v>302</v>
      </c>
      <c r="K9" s="31" t="s">
        <v>302</v>
      </c>
      <c r="L9" s="31" t="s">
        <v>302</v>
      </c>
      <c r="M9" s="31" t="s">
        <v>302</v>
      </c>
      <c r="N9" s="31" t="s">
        <v>302</v>
      </c>
      <c r="O9" s="31" t="s">
        <v>302</v>
      </c>
      <c r="P9" s="31" t="s">
        <v>302</v>
      </c>
      <c r="Q9" s="31" t="s">
        <v>302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287</v>
      </c>
      <c r="AB9" s="34"/>
      <c r="AC9" s="34"/>
      <c r="AD9" s="34"/>
      <c r="AE9" s="34"/>
      <c r="AF9" s="34"/>
      <c r="AG9" s="34"/>
      <c r="AH9" s="31" t="s">
        <v>302</v>
      </c>
    </row>
    <row x14ac:dyDescent="0.25" r="10" customHeight="1" ht="18.75">
      <c r="A10" s="35" t="s">
        <v>47</v>
      </c>
      <c r="B10" s="117">
        <v>206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19</v>
      </c>
      <c r="N10" s="117">
        <v>19</v>
      </c>
      <c r="O10" s="117">
        <v>19</v>
      </c>
      <c r="P10" s="117">
        <v>19</v>
      </c>
      <c r="Q10" s="117">
        <v>19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206</v>
      </c>
      <c r="AB10" s="37"/>
      <c r="AC10" s="37"/>
      <c r="AD10" s="37"/>
      <c r="AE10" s="37"/>
      <c r="AF10" s="37"/>
      <c r="AG10" s="37"/>
      <c r="AH10" s="117">
        <v>19</v>
      </c>
    </row>
    <row x14ac:dyDescent="0.25" r="11" customHeight="1" ht="18.75">
      <c r="A11" s="30" t="s">
        <v>123</v>
      </c>
      <c r="B11" s="139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139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139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139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139" t="s">
        <v>234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234</v>
      </c>
      <c r="N15" s="31" t="s">
        <v>234</v>
      </c>
      <c r="O15" s="31" t="s">
        <v>234</v>
      </c>
      <c r="P15" s="31" t="s">
        <v>234</v>
      </c>
      <c r="Q15" s="31" t="s">
        <v>234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234</v>
      </c>
      <c r="AB15" s="32"/>
      <c r="AC15" s="32"/>
      <c r="AD15" s="32"/>
      <c r="AE15" s="32"/>
      <c r="AF15" s="32"/>
      <c r="AG15" s="32"/>
      <c r="AH15" s="31" t="s">
        <v>234</v>
      </c>
    </row>
    <row x14ac:dyDescent="0.25" r="16" customHeight="1" ht="18.75">
      <c r="A16" s="30" t="s">
        <v>128</v>
      </c>
      <c r="B16" s="139">
        <v>-3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v>-3</v>
      </c>
      <c r="N16" s="31">
        <v>-3</v>
      </c>
      <c r="O16" s="31">
        <v>-3</v>
      </c>
      <c r="P16" s="31">
        <v>-3</v>
      </c>
      <c r="Q16" s="31">
        <v>-3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-3</v>
      </c>
      <c r="AB16" s="31"/>
      <c r="AC16" s="31"/>
      <c r="AD16" s="31"/>
      <c r="AE16" s="31"/>
      <c r="AF16" s="31"/>
      <c r="AG16" s="31"/>
      <c r="AH16" s="31">
        <v>-3</v>
      </c>
    </row>
    <row x14ac:dyDescent="0.25" r="17" customHeight="1" ht="18.75">
      <c r="A17" s="30" t="s">
        <v>129</v>
      </c>
      <c r="B17" s="139" t="s">
        <v>170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1" t="s">
        <v>138</v>
      </c>
      <c r="O17" s="31" t="s">
        <v>138</v>
      </c>
      <c r="P17" s="31" t="s">
        <v>138</v>
      </c>
      <c r="Q17" s="31" t="s">
        <v>138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139">
        <v>5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>
        <v>4</v>
      </c>
      <c r="O18" s="31">
        <v>4</v>
      </c>
      <c r="P18" s="31">
        <v>4</v>
      </c>
      <c r="Q18" s="31">
        <v>4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308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3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95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278</v>
      </c>
      <c r="C4" s="7"/>
      <c r="D4" s="7"/>
      <c r="E4" s="2"/>
      <c r="F4" s="124" t="s">
        <v>299</v>
      </c>
      <c r="G4" s="92"/>
      <c r="H4" s="92"/>
      <c r="I4" s="92"/>
      <c r="J4" s="92"/>
      <c r="K4" s="92"/>
      <c r="L4" s="92"/>
      <c r="M4" s="92"/>
      <c r="N4" s="93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300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3" t="s">
        <v>280</v>
      </c>
      <c r="C8" s="31" t="s">
        <v>281</v>
      </c>
      <c r="D8" s="31" t="s">
        <v>281</v>
      </c>
      <c r="E8" s="31" t="s">
        <v>281</v>
      </c>
      <c r="F8" s="31" t="s">
        <v>281</v>
      </c>
      <c r="G8" s="31" t="s">
        <v>281</v>
      </c>
      <c r="H8" s="31" t="s">
        <v>281</v>
      </c>
      <c r="I8" s="31" t="s">
        <v>281</v>
      </c>
      <c r="J8" s="31" t="s">
        <v>281</v>
      </c>
      <c r="K8" s="31" t="s">
        <v>281</v>
      </c>
      <c r="L8" s="31" t="s">
        <v>281</v>
      </c>
      <c r="M8" s="31" t="s">
        <v>281</v>
      </c>
      <c r="N8" s="32"/>
      <c r="O8" s="31" t="s">
        <v>281</v>
      </c>
      <c r="P8" s="31" t="s">
        <v>301</v>
      </c>
      <c r="Q8" s="31" t="s">
        <v>301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285</v>
      </c>
      <c r="AB8" s="32"/>
      <c r="AC8" s="32"/>
      <c r="AD8" s="32"/>
      <c r="AE8" s="32"/>
      <c r="AF8" s="32"/>
      <c r="AG8" s="32"/>
      <c r="AH8" s="31" t="s">
        <v>281</v>
      </c>
    </row>
    <row x14ac:dyDescent="0.25" r="9" customHeight="1" ht="15.75">
      <c r="A9" s="30" t="s">
        <v>45</v>
      </c>
      <c r="B9" s="33" t="s">
        <v>287</v>
      </c>
      <c r="C9" s="31" t="s">
        <v>302</v>
      </c>
      <c r="D9" s="31" t="s">
        <v>302</v>
      </c>
      <c r="E9" s="31" t="s">
        <v>302</v>
      </c>
      <c r="F9" s="31" t="s">
        <v>302</v>
      </c>
      <c r="G9" s="31" t="s">
        <v>302</v>
      </c>
      <c r="H9" s="31" t="s">
        <v>302</v>
      </c>
      <c r="I9" s="31" t="s">
        <v>302</v>
      </c>
      <c r="J9" s="31" t="s">
        <v>302</v>
      </c>
      <c r="K9" s="31" t="s">
        <v>302</v>
      </c>
      <c r="L9" s="31" t="s">
        <v>302</v>
      </c>
      <c r="M9" s="31" t="s">
        <v>303</v>
      </c>
      <c r="N9" s="34"/>
      <c r="O9" s="31" t="s">
        <v>302</v>
      </c>
      <c r="P9" s="31" t="s">
        <v>227</v>
      </c>
      <c r="Q9" s="31" t="s">
        <v>227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287</v>
      </c>
      <c r="AB9" s="34"/>
      <c r="AC9" s="34"/>
      <c r="AD9" s="34"/>
      <c r="AE9" s="34"/>
      <c r="AF9" s="34"/>
      <c r="AG9" s="34"/>
      <c r="AH9" s="31" t="s">
        <v>302</v>
      </c>
    </row>
    <row x14ac:dyDescent="0.25" r="10" customHeight="1" ht="18.75">
      <c r="A10" s="35" t="s">
        <v>47</v>
      </c>
      <c r="B10" s="117">
        <v>206</v>
      </c>
      <c r="C10" s="117">
        <v>19</v>
      </c>
      <c r="D10" s="117">
        <v>19</v>
      </c>
      <c r="E10" s="117">
        <v>19</v>
      </c>
      <c r="F10" s="117">
        <v>19</v>
      </c>
      <c r="G10" s="117">
        <v>19</v>
      </c>
      <c r="H10" s="117">
        <v>19</v>
      </c>
      <c r="I10" s="117">
        <v>19</v>
      </c>
      <c r="J10" s="117">
        <v>19</v>
      </c>
      <c r="K10" s="117">
        <v>19</v>
      </c>
      <c r="L10" s="117">
        <v>19</v>
      </c>
      <c r="M10" s="117">
        <v>150</v>
      </c>
      <c r="N10" s="37"/>
      <c r="O10" s="117">
        <v>19</v>
      </c>
      <c r="P10" s="117">
        <v>56</v>
      </c>
      <c r="Q10" s="117">
        <v>56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206</v>
      </c>
      <c r="AB10" s="37"/>
      <c r="AC10" s="37"/>
      <c r="AD10" s="37"/>
      <c r="AE10" s="37"/>
      <c r="AF10" s="37"/>
      <c r="AG10" s="37"/>
      <c r="AH10" s="117">
        <v>19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2"/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2"/>
      <c r="O12" s="31" t="s">
        <v>49</v>
      </c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2"/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1" t="s">
        <v>49</v>
      </c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2"/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234</v>
      </c>
      <c r="D15" s="31" t="s">
        <v>234</v>
      </c>
      <c r="E15" s="31" t="s">
        <v>234</v>
      </c>
      <c r="F15" s="31" t="s">
        <v>234</v>
      </c>
      <c r="G15" s="31" t="s">
        <v>234</v>
      </c>
      <c r="H15" s="31" t="s">
        <v>234</v>
      </c>
      <c r="I15" s="31" t="s">
        <v>234</v>
      </c>
      <c r="J15" s="31" t="s">
        <v>234</v>
      </c>
      <c r="K15" s="31" t="s">
        <v>234</v>
      </c>
      <c r="L15" s="31" t="s">
        <v>234</v>
      </c>
      <c r="M15" s="31" t="s">
        <v>304</v>
      </c>
      <c r="N15" s="32"/>
      <c r="O15" s="31" t="s">
        <v>234</v>
      </c>
      <c r="P15" s="31" t="s">
        <v>133</v>
      </c>
      <c r="Q15" s="31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234</v>
      </c>
      <c r="AB15" s="32"/>
      <c r="AC15" s="32"/>
      <c r="AD15" s="32"/>
      <c r="AE15" s="32"/>
      <c r="AF15" s="32"/>
      <c r="AG15" s="32"/>
      <c r="AH15" s="31" t="s">
        <v>234</v>
      </c>
    </row>
    <row x14ac:dyDescent="0.25" r="16" customHeight="1" ht="18.75">
      <c r="A16" s="30" t="s">
        <v>128</v>
      </c>
      <c r="B16" s="31">
        <v>-3</v>
      </c>
      <c r="C16" s="31">
        <v>-3</v>
      </c>
      <c r="D16" s="31">
        <v>-3</v>
      </c>
      <c r="E16" s="31">
        <v>-3</v>
      </c>
      <c r="F16" s="31">
        <v>-3</v>
      </c>
      <c r="G16" s="31">
        <v>-3</v>
      </c>
      <c r="H16" s="31">
        <v>-3</v>
      </c>
      <c r="I16" s="31">
        <v>-3</v>
      </c>
      <c r="J16" s="31">
        <v>-3</v>
      </c>
      <c r="K16" s="31">
        <v>-3</v>
      </c>
      <c r="L16" s="31">
        <v>-3</v>
      </c>
      <c r="M16" s="31">
        <f>AVERAGE(-3,-2)</f>
      </c>
      <c r="N16" s="31"/>
      <c r="O16" s="31">
        <v>-3</v>
      </c>
      <c r="P16" s="31">
        <v>-0.5</v>
      </c>
      <c r="Q16" s="31">
        <v>-0.5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-3</v>
      </c>
      <c r="AB16" s="31"/>
      <c r="AC16" s="31"/>
      <c r="AD16" s="31"/>
      <c r="AE16" s="31"/>
      <c r="AF16" s="31"/>
      <c r="AG16" s="31"/>
      <c r="AH16" s="31">
        <v>-3</v>
      </c>
    </row>
    <row x14ac:dyDescent="0.25" r="17" customHeight="1" ht="18.75">
      <c r="A17" s="30" t="s">
        <v>129</v>
      </c>
      <c r="B17" s="31" t="s">
        <v>170</v>
      </c>
      <c r="C17" s="31" t="s">
        <v>138</v>
      </c>
      <c r="D17" s="31" t="s">
        <v>138</v>
      </c>
      <c r="E17" s="31" t="s">
        <v>138</v>
      </c>
      <c r="F17" s="31" t="s">
        <v>138</v>
      </c>
      <c r="G17" s="31" t="s">
        <v>138</v>
      </c>
      <c r="H17" s="31" t="s">
        <v>138</v>
      </c>
      <c r="I17" s="31" t="s">
        <v>138</v>
      </c>
      <c r="J17" s="31" t="s">
        <v>138</v>
      </c>
      <c r="K17" s="31" t="s">
        <v>138</v>
      </c>
      <c r="L17" s="31" t="s">
        <v>138</v>
      </c>
      <c r="M17" s="31" t="s">
        <v>138</v>
      </c>
      <c r="N17" s="32"/>
      <c r="O17" s="31" t="s">
        <v>138</v>
      </c>
      <c r="P17" s="33" t="s">
        <v>169</v>
      </c>
      <c r="Q17" s="33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170</v>
      </c>
      <c r="AB17" s="32"/>
      <c r="AC17" s="32"/>
      <c r="AD17" s="32"/>
      <c r="AE17" s="32"/>
      <c r="AF17" s="32"/>
      <c r="AG17" s="32"/>
      <c r="AH17" s="31" t="s">
        <v>138</v>
      </c>
    </row>
    <row x14ac:dyDescent="0.25" r="18" customHeight="1" ht="18.75">
      <c r="A18" s="30" t="s">
        <v>130</v>
      </c>
      <c r="B18" s="31">
        <v>5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>
        <v>4</v>
      </c>
      <c r="N18" s="31"/>
      <c r="O18" s="31">
        <v>4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5</v>
      </c>
      <c r="AB18" s="31"/>
      <c r="AC18" s="31"/>
      <c r="AD18" s="31"/>
      <c r="AE18" s="31"/>
      <c r="AF18" s="31"/>
      <c r="AG18" s="31"/>
      <c r="AH18" s="31">
        <v>4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305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</row>
    <row x14ac:dyDescent="0.25" r="3" customHeight="1" ht="18.75">
      <c r="A3" s="1" t="s">
        <v>2</v>
      </c>
      <c r="B3" s="5">
        <v>96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</row>
    <row x14ac:dyDescent="0.25" r="4" customHeight="1" ht="18.75">
      <c r="A4" s="1" t="s">
        <v>4</v>
      </c>
      <c r="B4" s="7" t="s">
        <v>278</v>
      </c>
      <c r="C4" s="7"/>
      <c r="D4" s="7"/>
      <c r="E4" s="2"/>
      <c r="F4" s="124" t="s">
        <v>279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</row>
    <row x14ac:dyDescent="0.25" r="5" customHeight="1" ht="18.75">
      <c r="A5" s="1" t="s">
        <v>7</v>
      </c>
      <c r="B5" s="7" t="s">
        <v>219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3" t="s">
        <v>280</v>
      </c>
      <c r="C8" s="31" t="s">
        <v>281</v>
      </c>
      <c r="D8" s="31" t="s">
        <v>281</v>
      </c>
      <c r="E8" s="33"/>
      <c r="F8" s="33"/>
      <c r="G8" s="31" t="s">
        <v>282</v>
      </c>
      <c r="H8" s="31" t="s">
        <v>282</v>
      </c>
      <c r="I8" s="31" t="s">
        <v>282</v>
      </c>
      <c r="J8" s="31"/>
      <c r="K8" s="141" t="s">
        <v>283</v>
      </c>
      <c r="L8" s="141" t="s">
        <v>283</v>
      </c>
      <c r="M8" s="141" t="s">
        <v>283</v>
      </c>
      <c r="N8" s="32"/>
      <c r="O8" s="32"/>
      <c r="P8" s="33" t="s">
        <v>284</v>
      </c>
      <c r="Q8" s="33" t="s">
        <v>284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285</v>
      </c>
      <c r="AB8" s="32"/>
      <c r="AC8" s="32"/>
      <c r="AD8" s="32"/>
      <c r="AE8" s="32"/>
      <c r="AF8" s="32"/>
      <c r="AG8" s="139" t="s">
        <v>286</v>
      </c>
      <c r="AH8" s="31" t="s">
        <v>281</v>
      </c>
    </row>
    <row x14ac:dyDescent="0.25" r="9" customHeight="1" ht="18.75">
      <c r="A9" s="30" t="s">
        <v>45</v>
      </c>
      <c r="B9" s="33" t="s">
        <v>287</v>
      </c>
      <c r="C9" s="31" t="s">
        <v>288</v>
      </c>
      <c r="D9" s="31" t="s">
        <v>207</v>
      </c>
      <c r="E9" s="31" t="s">
        <v>289</v>
      </c>
      <c r="F9" s="31" t="s">
        <v>290</v>
      </c>
      <c r="G9" s="33" t="s">
        <v>290</v>
      </c>
      <c r="H9" s="33" t="s">
        <v>211</v>
      </c>
      <c r="I9" s="33" t="s">
        <v>207</v>
      </c>
      <c r="J9" s="33" t="s">
        <v>290</v>
      </c>
      <c r="K9" s="142" t="s">
        <v>291</v>
      </c>
      <c r="L9" s="142" t="s">
        <v>291</v>
      </c>
      <c r="M9" s="142" t="s">
        <v>291</v>
      </c>
      <c r="N9" s="34"/>
      <c r="O9" s="34"/>
      <c r="P9" s="31" t="s">
        <v>212</v>
      </c>
      <c r="Q9" s="31" t="s">
        <v>212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292</v>
      </c>
      <c r="AB9" s="34"/>
      <c r="AC9" s="34"/>
      <c r="AD9" s="34"/>
      <c r="AE9" s="34"/>
      <c r="AF9" s="34"/>
      <c r="AG9" s="140" t="s">
        <v>293</v>
      </c>
      <c r="AH9" s="31" t="s">
        <v>294</v>
      </c>
    </row>
    <row x14ac:dyDescent="0.25" r="10" customHeight="1" ht="18.75">
      <c r="A10" s="35" t="s">
        <v>47</v>
      </c>
      <c r="B10" s="117">
        <v>206</v>
      </c>
      <c r="C10" s="117">
        <v>120</v>
      </c>
      <c r="D10" s="117">
        <v>50</v>
      </c>
      <c r="E10" s="117">
        <v>102</v>
      </c>
      <c r="F10" s="117">
        <v>44</v>
      </c>
      <c r="G10" s="117">
        <v>44</v>
      </c>
      <c r="H10" s="117">
        <v>46</v>
      </c>
      <c r="I10" s="117">
        <v>50</v>
      </c>
      <c r="J10" s="117">
        <v>44</v>
      </c>
      <c r="K10" s="117">
        <v>269</v>
      </c>
      <c r="L10" s="117">
        <v>269</v>
      </c>
      <c r="M10" s="117">
        <v>269</v>
      </c>
      <c r="N10" s="37"/>
      <c r="O10" s="37"/>
      <c r="P10" s="117">
        <v>48</v>
      </c>
      <c r="Q10" s="117">
        <v>48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186</v>
      </c>
      <c r="AB10" s="37"/>
      <c r="AC10" s="37"/>
      <c r="AD10" s="37"/>
      <c r="AE10" s="37"/>
      <c r="AF10" s="37"/>
      <c r="AG10" s="117">
        <v>26</v>
      </c>
      <c r="AH10" s="117">
        <v>35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2"/>
      <c r="O11" s="32"/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295</v>
      </c>
      <c r="L12" s="31" t="s">
        <v>295</v>
      </c>
      <c r="M12" s="31" t="s">
        <v>295</v>
      </c>
      <c r="N12" s="32"/>
      <c r="O12" s="32"/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48" t="s">
        <v>162</v>
      </c>
      <c r="F13" s="31" t="s">
        <v>49</v>
      </c>
      <c r="G13" s="31" t="s">
        <v>49</v>
      </c>
      <c r="H13" s="31" t="s">
        <v>52</v>
      </c>
      <c r="I13" s="31" t="s">
        <v>52</v>
      </c>
      <c r="J13" s="31" t="s">
        <v>49</v>
      </c>
      <c r="K13" s="31" t="s">
        <v>52</v>
      </c>
      <c r="L13" s="31" t="s">
        <v>52</v>
      </c>
      <c r="M13" s="31" t="s">
        <v>52</v>
      </c>
      <c r="N13" s="32"/>
      <c r="O13" s="32"/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2"/>
      <c r="O15" s="32"/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2"/>
      <c r="AC15" s="32"/>
      <c r="AD15" s="32"/>
      <c r="AE15" s="32"/>
      <c r="AF15" s="32"/>
      <c r="AG15" s="31" t="s">
        <v>143</v>
      </c>
      <c r="AH15" s="31" t="s">
        <v>133</v>
      </c>
    </row>
    <row x14ac:dyDescent="0.25" r="16" customHeight="1" ht="18.75">
      <c r="A16" s="30" t="s">
        <v>128</v>
      </c>
      <c r="B16" s="31">
        <v>-3</v>
      </c>
      <c r="C16" s="31">
        <f>13/12</f>
      </c>
      <c r="D16" s="31">
        <v>1</v>
      </c>
      <c r="E16" s="31">
        <f>AVERAGE(2,2,1)</f>
      </c>
      <c r="F16" s="31">
        <v>2</v>
      </c>
      <c r="G16" s="31">
        <v>2</v>
      </c>
      <c r="H16" s="31">
        <f>5/3</f>
      </c>
      <c r="I16" s="31">
        <v>1</v>
      </c>
      <c r="J16" s="31">
        <v>2</v>
      </c>
      <c r="K16" s="31">
        <v>0.5</v>
      </c>
      <c r="L16" s="31">
        <v>0.5</v>
      </c>
      <c r="M16" s="31">
        <v>0.5</v>
      </c>
      <c r="N16" s="31"/>
      <c r="O16" s="31"/>
      <c r="P16" s="31">
        <f>4/3</f>
      </c>
      <c r="Q16" s="31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/>
      <c r="AC16" s="31"/>
      <c r="AD16" s="31"/>
      <c r="AE16" s="31"/>
      <c r="AF16" s="31"/>
      <c r="AG16" s="31">
        <f>4/3</f>
      </c>
      <c r="AH16" s="31">
        <v>-0.5</v>
      </c>
    </row>
    <row x14ac:dyDescent="0.25" r="17" customHeight="1" ht="18.75">
      <c r="A17" s="30" t="s">
        <v>129</v>
      </c>
      <c r="B17" s="31" t="s">
        <v>170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296</v>
      </c>
      <c r="L17" s="31" t="s">
        <v>296</v>
      </c>
      <c r="M17" s="31" t="s">
        <v>296</v>
      </c>
      <c r="N17" s="32"/>
      <c r="O17" s="32"/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32"/>
      <c r="AF17" s="32"/>
      <c r="AG17" s="31" t="s">
        <v>274</v>
      </c>
      <c r="AH17" s="31" t="s">
        <v>274</v>
      </c>
    </row>
    <row x14ac:dyDescent="0.25" r="18" customHeight="1" ht="18.75">
      <c r="A18" s="30" t="s">
        <v>130</v>
      </c>
      <c r="B18" s="31">
        <v>5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f>AVERAGE(2,2,2,3)</f>
      </c>
      <c r="L18" s="31">
        <f>AVERAGE(2,2,2,3)</f>
      </c>
      <c r="M18" s="31">
        <f>AVERAGE(2,2,2,3)</f>
      </c>
      <c r="N18" s="31"/>
      <c r="O18" s="31"/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31"/>
      <c r="AF18" s="31"/>
      <c r="AG18" s="31">
        <v>3</v>
      </c>
      <c r="AH18" s="31">
        <v>3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2"/>
      <c r="AH20" s="2"/>
    </row>
    <row x14ac:dyDescent="0.25" r="21" customHeight="1" ht="18.75">
      <c r="A21" s="30" t="s">
        <v>297</v>
      </c>
      <c r="B21" s="40" t="s">
        <v>298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4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3"/>
      <c r="F1" s="3"/>
      <c r="G1" s="2"/>
      <c r="H1" s="2"/>
      <c r="I1" s="45" t="s">
        <v>145</v>
      </c>
      <c r="J1" s="3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3"/>
      <c r="AH1" s="2"/>
    </row>
    <row x14ac:dyDescent="0.25" r="2" customHeight="1" ht="18.75">
      <c r="A2" s="46"/>
      <c r="B2" s="58"/>
      <c r="C2" s="2"/>
      <c r="D2" s="2"/>
      <c r="E2" s="3"/>
      <c r="F2" s="3"/>
      <c r="G2" s="2"/>
      <c r="H2" s="2"/>
      <c r="I2" s="2"/>
      <c r="J2" s="3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3"/>
      <c r="AH2" s="2"/>
    </row>
    <row x14ac:dyDescent="0.25" r="3" customHeight="1" ht="18.75">
      <c r="A3" s="1" t="s">
        <v>2</v>
      </c>
      <c r="B3" s="5">
        <v>97</v>
      </c>
      <c r="C3" s="7"/>
      <c r="D3" s="7"/>
      <c r="E3" s="1"/>
      <c r="F3" s="89" t="s">
        <v>3</v>
      </c>
      <c r="G3" s="90"/>
      <c r="H3" s="90"/>
      <c r="I3" s="90"/>
      <c r="J3" s="89"/>
      <c r="K3" s="90"/>
      <c r="L3" s="90"/>
      <c r="M3" s="90"/>
      <c r="N3" s="89"/>
      <c r="O3" s="89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3"/>
      <c r="AH3" s="2"/>
    </row>
    <row x14ac:dyDescent="0.25" r="4" customHeight="1" ht="18.75">
      <c r="A4" s="1" t="s">
        <v>4</v>
      </c>
      <c r="B4" s="7" t="s">
        <v>265</v>
      </c>
      <c r="C4" s="7"/>
      <c r="D4" s="7"/>
      <c r="E4" s="3"/>
      <c r="F4" s="91" t="s">
        <v>266</v>
      </c>
      <c r="G4" s="92"/>
      <c r="H4" s="92"/>
      <c r="I4" s="92"/>
      <c r="J4" s="93"/>
      <c r="K4" s="92"/>
      <c r="L4" s="92"/>
      <c r="M4" s="92"/>
      <c r="N4" s="93"/>
      <c r="O4" s="94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3"/>
      <c r="F5" s="95"/>
      <c r="G5" s="96"/>
      <c r="H5" s="96"/>
      <c r="I5" s="96"/>
      <c r="J5" s="97"/>
      <c r="K5" s="96"/>
      <c r="L5" s="96"/>
      <c r="M5" s="96"/>
      <c r="N5" s="97"/>
      <c r="O5" s="98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3"/>
      <c r="AH5" s="2"/>
    </row>
    <row x14ac:dyDescent="0.25" r="6" customHeight="1" ht="18.75">
      <c r="A6" s="46"/>
      <c r="B6" s="58"/>
      <c r="C6" s="2"/>
      <c r="D6" s="2"/>
      <c r="E6" s="3"/>
      <c r="F6" s="3"/>
      <c r="G6" s="2"/>
      <c r="H6" s="2"/>
      <c r="I6" s="2"/>
      <c r="J6" s="3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66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31" t="s">
        <v>267</v>
      </c>
      <c r="C8" s="33" t="s">
        <v>268</v>
      </c>
      <c r="D8" s="33" t="s">
        <v>268</v>
      </c>
      <c r="E8" s="34" t="s">
        <v>268</v>
      </c>
      <c r="F8" s="34" t="s">
        <v>268</v>
      </c>
      <c r="G8" s="33" t="s">
        <v>268</v>
      </c>
      <c r="H8" s="33" t="s">
        <v>268</v>
      </c>
      <c r="I8" s="33" t="s">
        <v>268</v>
      </c>
      <c r="J8" s="32"/>
      <c r="K8" s="31" t="s">
        <v>268</v>
      </c>
      <c r="L8" s="31" t="s">
        <v>268</v>
      </c>
      <c r="M8" s="31" t="s">
        <v>268</v>
      </c>
      <c r="N8" s="32"/>
      <c r="O8" s="32"/>
      <c r="P8" s="31" t="s">
        <v>268</v>
      </c>
      <c r="Q8" s="31" t="s">
        <v>268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269</v>
      </c>
      <c r="AB8" s="32"/>
      <c r="AC8" s="32"/>
      <c r="AD8" s="32"/>
      <c r="AE8" s="32"/>
      <c r="AF8" s="32"/>
      <c r="AG8" s="32"/>
      <c r="AH8" s="31" t="s">
        <v>268</v>
      </c>
    </row>
    <row x14ac:dyDescent="0.25" r="9" customHeight="1" ht="18.75">
      <c r="A9" s="30" t="s">
        <v>45</v>
      </c>
      <c r="B9" s="31" t="s">
        <v>270</v>
      </c>
      <c r="C9" s="31" t="s">
        <v>271</v>
      </c>
      <c r="D9" s="31" t="s">
        <v>271</v>
      </c>
      <c r="E9" s="34"/>
      <c r="F9" s="34"/>
      <c r="G9" s="31" t="s">
        <v>220</v>
      </c>
      <c r="H9" s="31" t="s">
        <v>228</v>
      </c>
      <c r="I9" s="31" t="s">
        <v>228</v>
      </c>
      <c r="J9" s="34"/>
      <c r="K9" s="31" t="s">
        <v>271</v>
      </c>
      <c r="L9" s="31" t="s">
        <v>272</v>
      </c>
      <c r="M9" s="31" t="s">
        <v>271</v>
      </c>
      <c r="N9" s="34"/>
      <c r="O9" s="34"/>
      <c r="P9" s="31" t="s">
        <v>271</v>
      </c>
      <c r="Q9" s="31" t="s">
        <v>271</v>
      </c>
      <c r="R9" s="34"/>
      <c r="S9" s="34"/>
      <c r="T9" s="34"/>
      <c r="U9" s="34"/>
      <c r="V9" s="34"/>
      <c r="W9" s="34"/>
      <c r="X9" s="34"/>
      <c r="Y9" s="34"/>
      <c r="Z9" s="34"/>
      <c r="AA9" s="119" t="s">
        <v>273</v>
      </c>
      <c r="AB9" s="34"/>
      <c r="AC9" s="34"/>
      <c r="AD9" s="34"/>
      <c r="AE9" s="34"/>
      <c r="AF9" s="34"/>
      <c r="AG9" s="34"/>
      <c r="AH9" s="31" t="s">
        <v>272</v>
      </c>
    </row>
    <row x14ac:dyDescent="0.25" r="10" customHeight="1" ht="18.75">
      <c r="A10" s="35" t="s">
        <v>47</v>
      </c>
      <c r="B10" s="117">
        <v>207</v>
      </c>
      <c r="C10" s="117">
        <v>57</v>
      </c>
      <c r="D10" s="117">
        <v>57</v>
      </c>
      <c r="E10" s="37"/>
      <c r="F10" s="37"/>
      <c r="G10" s="117">
        <v>63</v>
      </c>
      <c r="H10" s="117">
        <v>68</v>
      </c>
      <c r="I10" s="117">
        <v>68</v>
      </c>
      <c r="J10" s="37"/>
      <c r="K10" s="117">
        <v>57</v>
      </c>
      <c r="L10" s="117">
        <v>35</v>
      </c>
      <c r="M10" s="117">
        <v>57</v>
      </c>
      <c r="N10" s="37"/>
      <c r="O10" s="37"/>
      <c r="P10" s="117">
        <v>57</v>
      </c>
      <c r="Q10" s="117">
        <v>57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187</v>
      </c>
      <c r="AB10" s="37"/>
      <c r="AC10" s="37"/>
      <c r="AD10" s="37"/>
      <c r="AE10" s="37"/>
      <c r="AF10" s="37"/>
      <c r="AG10" s="37"/>
      <c r="AH10" s="117">
        <v>35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2"/>
      <c r="F11" s="32"/>
      <c r="G11" s="31" t="s">
        <v>52</v>
      </c>
      <c r="H11" s="33" t="s">
        <v>52</v>
      </c>
      <c r="I11" s="33" t="s">
        <v>52</v>
      </c>
      <c r="J11" s="32"/>
      <c r="K11" s="31" t="s">
        <v>52</v>
      </c>
      <c r="L11" s="31" t="s">
        <v>52</v>
      </c>
      <c r="M11" s="31" t="s">
        <v>52</v>
      </c>
      <c r="N11" s="32"/>
      <c r="O11" s="32"/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2"/>
      <c r="AH11" s="31" t="s">
        <v>52</v>
      </c>
    </row>
    <row x14ac:dyDescent="0.25" r="12" customHeight="1" ht="18.75">
      <c r="A12" s="30" t="s">
        <v>124</v>
      </c>
      <c r="B12" s="33" t="s">
        <v>52</v>
      </c>
      <c r="C12" s="31" t="s">
        <v>52</v>
      </c>
      <c r="D12" s="31" t="s">
        <v>52</v>
      </c>
      <c r="E12" s="32"/>
      <c r="F12" s="32"/>
      <c r="G12" s="31" t="s">
        <v>49</v>
      </c>
      <c r="H12" s="33" t="s">
        <v>52</v>
      </c>
      <c r="I12" s="33" t="s">
        <v>52</v>
      </c>
      <c r="J12" s="32"/>
      <c r="K12" s="31" t="s">
        <v>52</v>
      </c>
      <c r="L12" s="31" t="s">
        <v>52</v>
      </c>
      <c r="M12" s="31" t="s">
        <v>52</v>
      </c>
      <c r="N12" s="32"/>
      <c r="O12" s="32"/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2"/>
      <c r="AD12" s="32"/>
      <c r="AE12" s="32"/>
      <c r="AF12" s="32"/>
      <c r="AG12" s="32"/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52</v>
      </c>
      <c r="D13" s="31" t="s">
        <v>52</v>
      </c>
      <c r="E13" s="32"/>
      <c r="F13" s="32"/>
      <c r="G13" s="31" t="s">
        <v>49</v>
      </c>
      <c r="H13" s="31" t="s">
        <v>49</v>
      </c>
      <c r="I13" s="31" t="s">
        <v>49</v>
      </c>
      <c r="J13" s="32"/>
      <c r="K13" s="31" t="s">
        <v>52</v>
      </c>
      <c r="L13" s="31" t="s">
        <v>52</v>
      </c>
      <c r="M13" s="31" t="s">
        <v>52</v>
      </c>
      <c r="N13" s="32"/>
      <c r="O13" s="32"/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2"/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2"/>
      <c r="F14" s="32"/>
      <c r="G14" s="31" t="s">
        <v>49</v>
      </c>
      <c r="H14" s="31" t="s">
        <v>49</v>
      </c>
      <c r="I14" s="31" t="s">
        <v>49</v>
      </c>
      <c r="J14" s="32"/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2"/>
      <c r="AH14" s="31" t="s">
        <v>49</v>
      </c>
    </row>
    <row x14ac:dyDescent="0.25" r="15" customHeight="1" ht="18.75">
      <c r="A15" s="30" t="s">
        <v>127</v>
      </c>
      <c r="B15" s="31" t="s">
        <v>234</v>
      </c>
      <c r="C15" s="31" t="s">
        <v>133</v>
      </c>
      <c r="D15" s="31" t="s">
        <v>133</v>
      </c>
      <c r="E15" s="32"/>
      <c r="F15" s="32"/>
      <c r="G15" s="31" t="s">
        <v>234</v>
      </c>
      <c r="H15" s="31" t="s">
        <v>235</v>
      </c>
      <c r="I15" s="31" t="s">
        <v>235</v>
      </c>
      <c r="J15" s="32"/>
      <c r="K15" s="31" t="s">
        <v>133</v>
      </c>
      <c r="L15" s="31" t="s">
        <v>133</v>
      </c>
      <c r="M15" s="31" t="s">
        <v>133</v>
      </c>
      <c r="N15" s="32"/>
      <c r="O15" s="32"/>
      <c r="P15" s="31" t="s">
        <v>133</v>
      </c>
      <c r="Q15" s="31" t="s">
        <v>133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2"/>
      <c r="AC15" s="32"/>
      <c r="AD15" s="32"/>
      <c r="AE15" s="32"/>
      <c r="AF15" s="32"/>
      <c r="AG15" s="32"/>
      <c r="AH15" s="31" t="s">
        <v>133</v>
      </c>
    </row>
    <row x14ac:dyDescent="0.25" r="16" customHeight="1" ht="18.75">
      <c r="A16" s="30" t="s">
        <v>128</v>
      </c>
      <c r="B16" s="31">
        <v>-3</v>
      </c>
      <c r="C16" s="31">
        <v>-0.5</v>
      </c>
      <c r="D16" s="31">
        <v>-0.5</v>
      </c>
      <c r="E16" s="31"/>
      <c r="F16" s="31"/>
      <c r="G16" s="31">
        <v>-3</v>
      </c>
      <c r="H16" s="31">
        <v>-6</v>
      </c>
      <c r="I16" s="31">
        <v>-6</v>
      </c>
      <c r="J16" s="31"/>
      <c r="K16" s="31">
        <v>-0.5</v>
      </c>
      <c r="L16" s="31">
        <v>-0.5</v>
      </c>
      <c r="M16" s="31">
        <v>-0.5</v>
      </c>
      <c r="N16" s="31"/>
      <c r="O16" s="31"/>
      <c r="P16" s="31">
        <v>-0.5</v>
      </c>
      <c r="Q16" s="31">
        <v>-0.5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/>
      <c r="AC16" s="31"/>
      <c r="AD16" s="31"/>
      <c r="AE16" s="31"/>
      <c r="AF16" s="31"/>
      <c r="AG16" s="31"/>
      <c r="AH16" s="31">
        <v>-0.5</v>
      </c>
    </row>
    <row x14ac:dyDescent="0.25" r="17" customHeight="1" ht="18.75">
      <c r="A17" s="30" t="s">
        <v>129</v>
      </c>
      <c r="B17" s="31" t="s">
        <v>170</v>
      </c>
      <c r="C17" s="31" t="s">
        <v>169</v>
      </c>
      <c r="D17" s="31" t="s">
        <v>169</v>
      </c>
      <c r="E17" s="32"/>
      <c r="F17" s="32"/>
      <c r="G17" s="31" t="s">
        <v>169</v>
      </c>
      <c r="H17" s="31" t="s">
        <v>169</v>
      </c>
      <c r="I17" s="31" t="s">
        <v>169</v>
      </c>
      <c r="J17" s="32"/>
      <c r="K17" s="31" t="s">
        <v>169</v>
      </c>
      <c r="L17" s="31" t="s">
        <v>274</v>
      </c>
      <c r="M17" s="31" t="s">
        <v>169</v>
      </c>
      <c r="N17" s="32"/>
      <c r="O17" s="32"/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275</v>
      </c>
      <c r="AB17" s="32"/>
      <c r="AC17" s="32"/>
      <c r="AD17" s="32"/>
      <c r="AE17" s="32"/>
      <c r="AF17" s="32"/>
      <c r="AG17" s="32"/>
      <c r="AH17" s="31" t="s">
        <v>274</v>
      </c>
    </row>
    <row x14ac:dyDescent="0.25" r="18" customHeight="1" ht="18.75">
      <c r="A18" s="30" t="s">
        <v>130</v>
      </c>
      <c r="B18" s="31">
        <v>5</v>
      </c>
      <c r="C18" s="31">
        <v>2</v>
      </c>
      <c r="D18" s="31">
        <v>2</v>
      </c>
      <c r="E18" s="31"/>
      <c r="F18" s="31"/>
      <c r="G18" s="31">
        <v>2</v>
      </c>
      <c r="H18" s="31">
        <v>2</v>
      </c>
      <c r="I18" s="31">
        <v>2</v>
      </c>
      <c r="J18" s="31"/>
      <c r="K18" s="31">
        <v>2</v>
      </c>
      <c r="L18" s="31">
        <v>3</v>
      </c>
      <c r="M18" s="31">
        <v>2</v>
      </c>
      <c r="N18" s="31"/>
      <c r="O18" s="31"/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3.75</v>
      </c>
      <c r="AB18" s="31"/>
      <c r="AC18" s="31"/>
      <c r="AD18" s="31"/>
      <c r="AE18" s="31"/>
      <c r="AF18" s="31"/>
      <c r="AG18" s="31"/>
      <c r="AH18" s="31">
        <v>3</v>
      </c>
    </row>
    <row x14ac:dyDescent="0.25" r="19" customHeight="1" ht="18.75">
      <c r="A19" s="46"/>
      <c r="B19" s="58"/>
      <c r="C19" s="2"/>
      <c r="D19" s="2"/>
      <c r="E19" s="3"/>
      <c r="F19" s="3"/>
      <c r="G19" s="2"/>
      <c r="H19" s="2"/>
      <c r="I19" s="2"/>
      <c r="J19" s="3"/>
      <c r="K19" s="2"/>
      <c r="L19" s="2"/>
      <c r="M19" s="2"/>
      <c r="N19" s="3"/>
      <c r="O19" s="3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3"/>
      <c r="F20" s="3"/>
      <c r="G20" s="2"/>
      <c r="H20" s="2"/>
      <c r="I20" s="2"/>
      <c r="J20" s="3"/>
      <c r="K20" s="2"/>
      <c r="L20" s="2"/>
      <c r="M20" s="2"/>
      <c r="N20" s="3"/>
      <c r="O20" s="3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3"/>
      <c r="AH20" s="2"/>
    </row>
    <row x14ac:dyDescent="0.25" r="21" customHeight="1" ht="18.75">
      <c r="A21" s="30" t="s">
        <v>276</v>
      </c>
      <c r="B21" s="40" t="s">
        <v>277</v>
      </c>
      <c r="C21" s="2"/>
      <c r="D21" s="2"/>
      <c r="E21" s="3"/>
      <c r="F21" s="3"/>
      <c r="G21" s="2"/>
      <c r="H21" s="2"/>
      <c r="I21" s="2"/>
      <c r="J21" s="3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</row>
    <row x14ac:dyDescent="0.25" r="3" customHeight="1" ht="18.75">
      <c r="A3" s="1" t="s">
        <v>2</v>
      </c>
      <c r="B3" s="5">
        <v>98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</row>
    <row x14ac:dyDescent="0.25" r="4" customHeight="1" ht="18.75">
      <c r="A4" s="1" t="s">
        <v>4</v>
      </c>
      <c r="B4" s="7" t="s">
        <v>259</v>
      </c>
      <c r="C4" s="7"/>
      <c r="D4" s="7"/>
      <c r="E4" s="2"/>
      <c r="F4" s="124" t="s">
        <v>260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261</v>
      </c>
      <c r="C8" s="31" t="s">
        <v>262</v>
      </c>
      <c r="D8" s="31" t="s">
        <v>262</v>
      </c>
      <c r="E8" s="31" t="s">
        <v>262</v>
      </c>
      <c r="F8" s="33" t="s">
        <v>262</v>
      </c>
      <c r="G8" s="31" t="s">
        <v>262</v>
      </c>
      <c r="H8" s="31" t="s">
        <v>262</v>
      </c>
      <c r="I8" s="31" t="s">
        <v>262</v>
      </c>
      <c r="J8" s="31" t="s">
        <v>262</v>
      </c>
      <c r="K8" s="31" t="s">
        <v>262</v>
      </c>
      <c r="L8" s="31" t="s">
        <v>262</v>
      </c>
      <c r="M8" s="31" t="s">
        <v>262</v>
      </c>
      <c r="N8" s="31" t="s">
        <v>262</v>
      </c>
      <c r="O8" s="31" t="s">
        <v>262</v>
      </c>
      <c r="P8" s="31" t="s">
        <v>263</v>
      </c>
      <c r="Q8" s="31" t="s">
        <v>263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263</v>
      </c>
      <c r="AB8" s="32"/>
      <c r="AC8" s="32"/>
      <c r="AD8" s="32"/>
      <c r="AE8" s="32"/>
      <c r="AF8" s="32"/>
      <c r="AG8" s="31" t="s">
        <v>262</v>
      </c>
      <c r="AH8" s="31" t="s">
        <v>262</v>
      </c>
    </row>
    <row x14ac:dyDescent="0.25" r="9" customHeight="1" ht="18.75">
      <c r="A9" s="30" t="s">
        <v>45</v>
      </c>
      <c r="B9" s="31" t="s">
        <v>263</v>
      </c>
      <c r="C9" s="31" t="s">
        <v>262</v>
      </c>
      <c r="D9" s="31" t="s">
        <v>262</v>
      </c>
      <c r="E9" s="31" t="s">
        <v>262</v>
      </c>
      <c r="F9" s="31" t="s">
        <v>262</v>
      </c>
      <c r="G9" s="31" t="s">
        <v>262</v>
      </c>
      <c r="H9" s="31" t="s">
        <v>262</v>
      </c>
      <c r="I9" s="31" t="s">
        <v>262</v>
      </c>
      <c r="J9" s="31" t="s">
        <v>262</v>
      </c>
      <c r="K9" s="31" t="s">
        <v>262</v>
      </c>
      <c r="L9" s="31" t="s">
        <v>262</v>
      </c>
      <c r="M9" s="31" t="s">
        <v>262</v>
      </c>
      <c r="N9" s="31" t="s">
        <v>262</v>
      </c>
      <c r="O9" s="31" t="s">
        <v>262</v>
      </c>
      <c r="P9" s="31" t="s">
        <v>262</v>
      </c>
      <c r="Q9" s="31" t="s">
        <v>262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263</v>
      </c>
      <c r="AB9" s="34"/>
      <c r="AC9" s="34"/>
      <c r="AD9" s="34"/>
      <c r="AE9" s="34"/>
      <c r="AF9" s="34"/>
      <c r="AG9" s="31" t="s">
        <v>262</v>
      </c>
      <c r="AH9" s="31" t="s">
        <v>262</v>
      </c>
    </row>
    <row x14ac:dyDescent="0.25" r="10" customHeight="1" ht="18.75">
      <c r="A10" s="35" t="s">
        <v>47</v>
      </c>
      <c r="B10" s="117">
        <v>229</v>
      </c>
      <c r="C10" s="117">
        <v>70</v>
      </c>
      <c r="D10" s="117">
        <v>70</v>
      </c>
      <c r="E10" s="117">
        <v>70</v>
      </c>
      <c r="F10" s="117">
        <v>70</v>
      </c>
      <c r="G10" s="117">
        <v>70</v>
      </c>
      <c r="H10" s="117">
        <v>70</v>
      </c>
      <c r="I10" s="117">
        <v>70</v>
      </c>
      <c r="J10" s="117">
        <v>70</v>
      </c>
      <c r="K10" s="117">
        <v>70</v>
      </c>
      <c r="L10" s="117">
        <v>70</v>
      </c>
      <c r="M10" s="117">
        <v>70</v>
      </c>
      <c r="N10" s="117">
        <v>70</v>
      </c>
      <c r="O10" s="117">
        <v>70</v>
      </c>
      <c r="P10" s="117">
        <v>70</v>
      </c>
      <c r="Q10" s="117">
        <v>70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229</v>
      </c>
      <c r="AB10" s="37"/>
      <c r="AC10" s="37"/>
      <c r="AD10" s="37"/>
      <c r="AE10" s="37"/>
      <c r="AF10" s="37"/>
      <c r="AG10" s="117">
        <v>70</v>
      </c>
      <c r="AH10" s="117">
        <v>70</v>
      </c>
    </row>
    <row x14ac:dyDescent="0.25" r="11" customHeight="1" ht="18.75">
      <c r="A11" s="30" t="s">
        <v>123</v>
      </c>
      <c r="B11" s="33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3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3" t="s">
        <v>52</v>
      </c>
      <c r="AB12" s="32"/>
      <c r="AC12" s="32"/>
      <c r="AD12" s="32"/>
      <c r="AE12" s="32"/>
      <c r="AF12" s="32"/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2"/>
      <c r="AD13" s="32"/>
      <c r="AE13" s="32"/>
      <c r="AF13" s="32"/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1" t="s">
        <v>140</v>
      </c>
      <c r="O15" s="31" t="s">
        <v>140</v>
      </c>
      <c r="P15" s="31" t="s">
        <v>140</v>
      </c>
      <c r="Q15" s="31" t="s">
        <v>140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2"/>
      <c r="AC15" s="32"/>
      <c r="AD15" s="32"/>
      <c r="AE15" s="32"/>
      <c r="AF15" s="32"/>
      <c r="AG15" s="31" t="s">
        <v>140</v>
      </c>
      <c r="AH15" s="31" t="s">
        <v>140</v>
      </c>
    </row>
    <row x14ac:dyDescent="0.25" r="16" customHeight="1" ht="18.75">
      <c r="A16" s="30" t="s">
        <v>128</v>
      </c>
      <c r="B16" s="31">
        <v>3</v>
      </c>
      <c r="C16" s="31">
        <v>3</v>
      </c>
      <c r="D16" s="31">
        <v>3</v>
      </c>
      <c r="E16" s="31">
        <v>3</v>
      </c>
      <c r="F16" s="31">
        <v>3</v>
      </c>
      <c r="G16" s="31">
        <v>3</v>
      </c>
      <c r="H16" s="31">
        <v>3</v>
      </c>
      <c r="I16" s="31">
        <v>3</v>
      </c>
      <c r="J16" s="31">
        <v>3</v>
      </c>
      <c r="K16" s="31">
        <v>3</v>
      </c>
      <c r="L16" s="31">
        <v>3</v>
      </c>
      <c r="M16" s="31">
        <v>3</v>
      </c>
      <c r="N16" s="31">
        <v>3</v>
      </c>
      <c r="O16" s="31">
        <v>3</v>
      </c>
      <c r="P16" s="31">
        <v>3</v>
      </c>
      <c r="Q16" s="31">
        <v>3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3</v>
      </c>
      <c r="AB16" s="31"/>
      <c r="AC16" s="31"/>
      <c r="AD16" s="31"/>
      <c r="AE16" s="31"/>
      <c r="AF16" s="31"/>
      <c r="AG16" s="31">
        <v>3</v>
      </c>
      <c r="AH16" s="31">
        <v>3</v>
      </c>
    </row>
    <row x14ac:dyDescent="0.25" r="17" customHeight="1" ht="18.75">
      <c r="A17" s="30" t="s">
        <v>129</v>
      </c>
      <c r="B17" s="31" t="s">
        <v>249</v>
      </c>
      <c r="C17" s="31" t="s">
        <v>257</v>
      </c>
      <c r="D17" s="31" t="s">
        <v>257</v>
      </c>
      <c r="E17" s="31" t="s">
        <v>257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249</v>
      </c>
      <c r="AB17" s="32"/>
      <c r="AC17" s="32"/>
      <c r="AD17" s="32"/>
      <c r="AE17" s="32"/>
      <c r="AF17" s="32"/>
      <c r="AG17" s="31" t="s">
        <v>257</v>
      </c>
      <c r="AH17" s="31" t="s">
        <v>257</v>
      </c>
    </row>
    <row x14ac:dyDescent="0.25" r="18" customHeight="1" ht="18.75">
      <c r="A18" s="30" t="s">
        <v>130</v>
      </c>
      <c r="B18" s="31">
        <v>1.875</v>
      </c>
      <c r="C18" s="31">
        <v>1.5</v>
      </c>
      <c r="D18" s="31">
        <v>1.5</v>
      </c>
      <c r="E18" s="31">
        <v>1.5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1.875</v>
      </c>
      <c r="AB18" s="31"/>
      <c r="AC18" s="31"/>
      <c r="AD18" s="31"/>
      <c r="AE18" s="31"/>
      <c r="AF18" s="31"/>
      <c r="AG18" s="31">
        <v>1.5</v>
      </c>
      <c r="AH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2"/>
      <c r="AH20" s="2"/>
    </row>
    <row x14ac:dyDescent="0.25" r="21" customHeight="1" ht="18.75">
      <c r="A21" s="30" t="s">
        <v>264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2"/>
      <c r="AD1" s="3"/>
      <c r="AE1" s="2"/>
      <c r="AF1" s="3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2"/>
      <c r="AD2" s="3"/>
      <c r="AE2" s="2"/>
      <c r="AF2" s="3"/>
      <c r="AG2" s="2"/>
      <c r="AH2" s="2"/>
    </row>
    <row x14ac:dyDescent="0.25" r="3" customHeight="1" ht="18.75">
      <c r="A3" s="1" t="s">
        <v>2</v>
      </c>
      <c r="B3" s="5">
        <v>99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2"/>
      <c r="AD3" s="3"/>
      <c r="AE3" s="2"/>
      <c r="AF3" s="3"/>
      <c r="AG3" s="2"/>
      <c r="AH3" s="2"/>
    </row>
    <row x14ac:dyDescent="0.25" r="4" customHeight="1" ht="18.75">
      <c r="A4" s="1" t="s">
        <v>4</v>
      </c>
      <c r="B4" s="7" t="s">
        <v>247</v>
      </c>
      <c r="C4" s="7"/>
      <c r="D4" s="7"/>
      <c r="E4" s="2"/>
      <c r="F4" s="124" t="s">
        <v>248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2"/>
      <c r="AD4" s="3"/>
      <c r="AE4" s="2"/>
      <c r="AF4" s="3"/>
      <c r="AG4" s="2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2"/>
      <c r="AD5" s="3"/>
      <c r="AE5" s="2"/>
      <c r="AF5" s="3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2"/>
      <c r="AD6" s="3"/>
      <c r="AE6" s="2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249</v>
      </c>
      <c r="C8" s="31" t="s">
        <v>250</v>
      </c>
      <c r="D8" s="31" t="s">
        <v>250</v>
      </c>
      <c r="E8" s="31" t="s">
        <v>250</v>
      </c>
      <c r="F8" s="31" t="s">
        <v>251</v>
      </c>
      <c r="G8" s="31" t="s">
        <v>251</v>
      </c>
      <c r="H8" s="31" t="s">
        <v>251</v>
      </c>
      <c r="I8" s="31" t="s">
        <v>251</v>
      </c>
      <c r="J8" s="33"/>
      <c r="K8" s="31" t="s">
        <v>252</v>
      </c>
      <c r="L8" s="31" t="s">
        <v>252</v>
      </c>
      <c r="M8" s="31" t="s">
        <v>252</v>
      </c>
      <c r="N8" s="31" t="s">
        <v>250</v>
      </c>
      <c r="O8" s="31" t="s">
        <v>250</v>
      </c>
      <c r="P8" s="31" t="s">
        <v>253</v>
      </c>
      <c r="Q8" s="31" t="s">
        <v>253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253</v>
      </c>
      <c r="AB8" s="32"/>
      <c r="AC8" s="31" t="s">
        <v>253</v>
      </c>
      <c r="AD8" s="32"/>
      <c r="AE8" s="31" t="s">
        <v>253</v>
      </c>
      <c r="AF8" s="32"/>
      <c r="AG8" s="31" t="s">
        <v>250</v>
      </c>
      <c r="AH8" s="31" t="s">
        <v>250</v>
      </c>
    </row>
    <row x14ac:dyDescent="0.25" r="9" customHeight="1" ht="18.75">
      <c r="A9" s="30" t="s">
        <v>45</v>
      </c>
      <c r="B9" s="31" t="s">
        <v>253</v>
      </c>
      <c r="C9" s="31" t="s">
        <v>250</v>
      </c>
      <c r="D9" s="31" t="s">
        <v>250</v>
      </c>
      <c r="E9" s="31" t="s">
        <v>250</v>
      </c>
      <c r="F9" s="119" t="s">
        <v>254</v>
      </c>
      <c r="G9" s="119" t="s">
        <v>254</v>
      </c>
      <c r="H9" s="119" t="s">
        <v>254</v>
      </c>
      <c r="I9" s="119" t="s">
        <v>254</v>
      </c>
      <c r="J9" s="119" t="s">
        <v>254</v>
      </c>
      <c r="K9" s="119" t="s">
        <v>255</v>
      </c>
      <c r="L9" s="119" t="s">
        <v>255</v>
      </c>
      <c r="M9" s="119" t="s">
        <v>255</v>
      </c>
      <c r="N9" s="31" t="s">
        <v>250</v>
      </c>
      <c r="O9" s="31" t="s">
        <v>250</v>
      </c>
      <c r="P9" s="31" t="s">
        <v>250</v>
      </c>
      <c r="Q9" s="31" t="s">
        <v>250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253</v>
      </c>
      <c r="AB9" s="34"/>
      <c r="AC9" s="31" t="s">
        <v>253</v>
      </c>
      <c r="AD9" s="34"/>
      <c r="AE9" s="31" t="s">
        <v>253</v>
      </c>
      <c r="AF9" s="34"/>
      <c r="AG9" s="31" t="s">
        <v>250</v>
      </c>
      <c r="AH9" s="31" t="s">
        <v>250</v>
      </c>
    </row>
    <row x14ac:dyDescent="0.25" r="10" customHeight="1" ht="18.75">
      <c r="A10" s="35" t="s">
        <v>47</v>
      </c>
      <c r="B10" s="117">
        <v>232</v>
      </c>
      <c r="C10" s="117">
        <v>73</v>
      </c>
      <c r="D10" s="117">
        <v>73</v>
      </c>
      <c r="E10" s="117">
        <v>73</v>
      </c>
      <c r="F10" s="117">
        <v>266</v>
      </c>
      <c r="G10" s="117">
        <v>266</v>
      </c>
      <c r="H10" s="117">
        <v>266</v>
      </c>
      <c r="I10" s="117">
        <v>266</v>
      </c>
      <c r="J10" s="117">
        <v>266</v>
      </c>
      <c r="K10" s="117">
        <v>265</v>
      </c>
      <c r="L10" s="117">
        <v>265</v>
      </c>
      <c r="M10" s="117">
        <v>265</v>
      </c>
      <c r="N10" s="117">
        <v>73</v>
      </c>
      <c r="O10" s="117">
        <v>73</v>
      </c>
      <c r="P10" s="117">
        <v>73</v>
      </c>
      <c r="Q10" s="117">
        <v>73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232</v>
      </c>
      <c r="AB10" s="37"/>
      <c r="AC10" s="117">
        <v>232</v>
      </c>
      <c r="AD10" s="37"/>
      <c r="AE10" s="117">
        <v>232</v>
      </c>
      <c r="AF10" s="37"/>
      <c r="AG10" s="117">
        <v>73</v>
      </c>
      <c r="AH10" s="117">
        <v>73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1" t="s">
        <v>52</v>
      </c>
      <c r="AD11" s="32"/>
      <c r="AE11" s="31" t="s">
        <v>52</v>
      </c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2"/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2"/>
      <c r="AC13" s="31" t="s">
        <v>49</v>
      </c>
      <c r="AD13" s="32"/>
      <c r="AE13" s="31" t="s">
        <v>49</v>
      </c>
      <c r="AF13" s="32"/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256</v>
      </c>
      <c r="G15" s="31" t="s">
        <v>256</v>
      </c>
      <c r="H15" s="31" t="s">
        <v>256</v>
      </c>
      <c r="I15" s="31" t="s">
        <v>256</v>
      </c>
      <c r="J15" s="31" t="s">
        <v>256</v>
      </c>
      <c r="K15" s="31" t="s">
        <v>133</v>
      </c>
      <c r="L15" s="31" t="s">
        <v>133</v>
      </c>
      <c r="M15" s="31" t="s">
        <v>133</v>
      </c>
      <c r="N15" s="31" t="s">
        <v>143</v>
      </c>
      <c r="O15" s="31" t="s">
        <v>143</v>
      </c>
      <c r="P15" s="31" t="s">
        <v>143</v>
      </c>
      <c r="Q15" s="31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1" t="s">
        <v>143</v>
      </c>
      <c r="AD15" s="32"/>
      <c r="AE15" s="31" t="s">
        <v>143</v>
      </c>
      <c r="AF15" s="32"/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0.75</v>
      </c>
      <c r="C16" s="31">
        <v>0.75</v>
      </c>
      <c r="D16" s="31">
        <v>0.75</v>
      </c>
      <c r="E16" s="31">
        <v>0.75</v>
      </c>
      <c r="F16" s="31">
        <f>AVERAGE(1.5,0)</f>
      </c>
      <c r="G16" s="31">
        <f>AVERAGE(1.5,0)</f>
      </c>
      <c r="H16" s="31">
        <f>AVERAGE(1.5,0)</f>
      </c>
      <c r="I16" s="31">
        <f>AVERAGE(1.5,0)</f>
      </c>
      <c r="J16" s="31">
        <f>AVERAGE(1.5,0)</f>
      </c>
      <c r="K16" s="31">
        <v>-1</v>
      </c>
      <c r="L16" s="31">
        <v>-1</v>
      </c>
      <c r="M16" s="31">
        <v>-1</v>
      </c>
      <c r="N16" s="31">
        <v>0.75</v>
      </c>
      <c r="O16" s="31">
        <v>0.75</v>
      </c>
      <c r="P16" s="31">
        <v>0.75</v>
      </c>
      <c r="Q16" s="31">
        <v>0.75</v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0.75</v>
      </c>
      <c r="AB16" s="31"/>
      <c r="AC16" s="31">
        <v>0.75</v>
      </c>
      <c r="AD16" s="31"/>
      <c r="AE16" s="31">
        <v>0.75</v>
      </c>
      <c r="AF16" s="31"/>
      <c r="AG16" s="31">
        <v>0.75</v>
      </c>
      <c r="AH16" s="31">
        <v>0.75</v>
      </c>
    </row>
    <row x14ac:dyDescent="0.25" r="17" customHeight="1" ht="18.75">
      <c r="A17" s="30" t="s">
        <v>129</v>
      </c>
      <c r="B17" s="31" t="s">
        <v>249</v>
      </c>
      <c r="C17" s="31" t="s">
        <v>257</v>
      </c>
      <c r="D17" s="31" t="s">
        <v>257</v>
      </c>
      <c r="E17" s="31" t="s">
        <v>257</v>
      </c>
      <c r="F17" s="31" t="s">
        <v>257</v>
      </c>
      <c r="G17" s="31" t="s">
        <v>257</v>
      </c>
      <c r="H17" s="31" t="s">
        <v>257</v>
      </c>
      <c r="I17" s="31" t="s">
        <v>257</v>
      </c>
      <c r="J17" s="31" t="s">
        <v>257</v>
      </c>
      <c r="K17" s="31" t="s">
        <v>257</v>
      </c>
      <c r="L17" s="31" t="s">
        <v>257</v>
      </c>
      <c r="M17" s="31" t="s">
        <v>257</v>
      </c>
      <c r="N17" s="31" t="s">
        <v>257</v>
      </c>
      <c r="O17" s="31" t="s">
        <v>257</v>
      </c>
      <c r="P17" s="31" t="s">
        <v>257</v>
      </c>
      <c r="Q17" s="31" t="s">
        <v>257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249</v>
      </c>
      <c r="AB17" s="32"/>
      <c r="AC17" s="31" t="s">
        <v>249</v>
      </c>
      <c r="AD17" s="32"/>
      <c r="AE17" s="31" t="s">
        <v>249</v>
      </c>
      <c r="AF17" s="32"/>
      <c r="AG17" s="31" t="s">
        <v>257</v>
      </c>
      <c r="AH17" s="31" t="s">
        <v>257</v>
      </c>
    </row>
    <row x14ac:dyDescent="0.25" r="18" customHeight="1" ht="18.75">
      <c r="A18" s="30" t="s">
        <v>130</v>
      </c>
      <c r="B18" s="31">
        <v>1.875</v>
      </c>
      <c r="C18" s="31">
        <v>1.5</v>
      </c>
      <c r="D18" s="31">
        <v>1.5</v>
      </c>
      <c r="E18" s="31">
        <v>1.5</v>
      </c>
      <c r="F18" s="31">
        <v>1.5</v>
      </c>
      <c r="G18" s="31">
        <v>1.5</v>
      </c>
      <c r="H18" s="31">
        <v>1.5</v>
      </c>
      <c r="I18" s="31">
        <v>1.5</v>
      </c>
      <c r="J18" s="31">
        <v>1.5</v>
      </c>
      <c r="K18" s="31">
        <v>1.5</v>
      </c>
      <c r="L18" s="31">
        <v>1.5</v>
      </c>
      <c r="M18" s="31">
        <v>1.5</v>
      </c>
      <c r="N18" s="31">
        <v>1.5</v>
      </c>
      <c r="O18" s="31">
        <v>1.5</v>
      </c>
      <c r="P18" s="31">
        <v>1.5</v>
      </c>
      <c r="Q18" s="31">
        <v>1.5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1.875</v>
      </c>
      <c r="AB18" s="31"/>
      <c r="AC18" s="31">
        <v>1.875</v>
      </c>
      <c r="AD18" s="31"/>
      <c r="AE18" s="31">
        <v>1.875</v>
      </c>
      <c r="AF18" s="31"/>
      <c r="AG18" s="31">
        <v>1.5</v>
      </c>
      <c r="AH18" s="31">
        <v>1.5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2"/>
      <c r="AD19" s="3"/>
      <c r="AE19" s="2"/>
      <c r="AF19" s="3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2"/>
      <c r="AD20" s="3"/>
      <c r="AE20" s="2"/>
      <c r="AF20" s="3"/>
      <c r="AG20" s="2"/>
      <c r="AH20" s="2"/>
    </row>
    <row x14ac:dyDescent="0.25" r="21" customHeight="1" ht="18.75">
      <c r="A21" s="30" t="s">
        <v>258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2"/>
      <c r="AD21" s="3"/>
      <c r="AE21" s="2"/>
      <c r="AF21" s="3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4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3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3"/>
      <c r="O1" s="3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2"/>
      <c r="AB1" s="2"/>
      <c r="AC1" s="2"/>
      <c r="AD1" s="2"/>
      <c r="AE1" s="2"/>
      <c r="AF1" s="3"/>
      <c r="AG1" s="3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2"/>
      <c r="AB2" s="2"/>
      <c r="AC2" s="2"/>
      <c r="AD2" s="2"/>
      <c r="AE2" s="2"/>
      <c r="AF2" s="3"/>
      <c r="AG2" s="3"/>
      <c r="AH2" s="2"/>
    </row>
    <row x14ac:dyDescent="0.25" r="3" customHeight="1" ht="18.75">
      <c r="A3" s="1" t="s">
        <v>2</v>
      </c>
      <c r="B3" s="5">
        <v>100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89"/>
      <c r="O3" s="89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2"/>
      <c r="AC3" s="2"/>
      <c r="AD3" s="2"/>
      <c r="AE3" s="2"/>
      <c r="AF3" s="3"/>
      <c r="AG3" s="3"/>
      <c r="AH3" s="2"/>
    </row>
    <row x14ac:dyDescent="0.25" r="4" customHeight="1" ht="18.75">
      <c r="A4" s="1" t="s">
        <v>4</v>
      </c>
      <c r="B4" s="7" t="s">
        <v>241</v>
      </c>
      <c r="C4" s="7"/>
      <c r="D4" s="7"/>
      <c r="E4" s="2"/>
      <c r="F4" s="124" t="s">
        <v>242</v>
      </c>
      <c r="G4" s="92"/>
      <c r="H4" s="92"/>
      <c r="I4" s="92"/>
      <c r="J4" s="92"/>
      <c r="K4" s="92"/>
      <c r="L4" s="92"/>
      <c r="M4" s="92"/>
      <c r="N4" s="93"/>
      <c r="O4" s="94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2"/>
      <c r="AC4" s="2"/>
      <c r="AD4" s="2"/>
      <c r="AE4" s="2"/>
      <c r="AF4" s="3"/>
      <c r="AG4" s="3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7"/>
      <c r="O5" s="98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3"/>
      <c r="AG5" s="3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2"/>
      <c r="AC6" s="2"/>
      <c r="AD6" s="2"/>
      <c r="AE6" s="2"/>
      <c r="AF6" s="3"/>
      <c r="AG6" s="3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74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7" t="s">
        <v>36</v>
      </c>
      <c r="AC7" s="107" t="s">
        <v>37</v>
      </c>
      <c r="AD7" s="107" t="s">
        <v>38</v>
      </c>
      <c r="AE7" s="109" t="s">
        <v>39</v>
      </c>
      <c r="AF7" s="110" t="s">
        <v>40</v>
      </c>
      <c r="AG7" s="111" t="s">
        <v>41</v>
      </c>
      <c r="AH7" s="112" t="s">
        <v>42</v>
      </c>
    </row>
    <row x14ac:dyDescent="0.25" r="8" customHeight="1" ht="18.75">
      <c r="A8" s="30" t="s">
        <v>43</v>
      </c>
      <c r="B8" s="139" t="s">
        <v>213</v>
      </c>
      <c r="C8" s="31" t="s">
        <v>243</v>
      </c>
      <c r="D8" s="31" t="s">
        <v>243</v>
      </c>
      <c r="E8" s="31" t="s">
        <v>243</v>
      </c>
      <c r="F8" s="31" t="s">
        <v>243</v>
      </c>
      <c r="G8" s="31" t="s">
        <v>243</v>
      </c>
      <c r="H8" s="31" t="s">
        <v>243</v>
      </c>
      <c r="I8" s="31" t="s">
        <v>243</v>
      </c>
      <c r="J8" s="31" t="s">
        <v>243</v>
      </c>
      <c r="K8" s="31" t="s">
        <v>243</v>
      </c>
      <c r="L8" s="31" t="s">
        <v>243</v>
      </c>
      <c r="M8" s="31" t="s">
        <v>243</v>
      </c>
      <c r="N8" s="32"/>
      <c r="O8" s="32"/>
      <c r="P8" s="31" t="s">
        <v>244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1" t="s">
        <v>244</v>
      </c>
      <c r="AB8" s="31" t="s">
        <v>244</v>
      </c>
      <c r="AC8" s="31" t="s">
        <v>244</v>
      </c>
      <c r="AD8" s="31" t="s">
        <v>244</v>
      </c>
      <c r="AE8" s="31" t="s">
        <v>244</v>
      </c>
      <c r="AF8" s="32"/>
      <c r="AG8" s="32"/>
      <c r="AH8" s="31" t="s">
        <v>243</v>
      </c>
    </row>
    <row x14ac:dyDescent="0.25" r="9" customHeight="1" ht="18.75">
      <c r="A9" s="30" t="s">
        <v>45</v>
      </c>
      <c r="B9" s="139" t="s">
        <v>244</v>
      </c>
      <c r="C9" s="31" t="s">
        <v>243</v>
      </c>
      <c r="D9" s="31" t="s">
        <v>243</v>
      </c>
      <c r="E9" s="31" t="s">
        <v>243</v>
      </c>
      <c r="F9" s="31" t="s">
        <v>243</v>
      </c>
      <c r="G9" s="31" t="s">
        <v>243</v>
      </c>
      <c r="H9" s="31" t="s">
        <v>243</v>
      </c>
      <c r="I9" s="31" t="s">
        <v>243</v>
      </c>
      <c r="J9" s="31" t="s">
        <v>243</v>
      </c>
      <c r="K9" s="31" t="s">
        <v>243</v>
      </c>
      <c r="L9" s="31" t="s">
        <v>243</v>
      </c>
      <c r="M9" s="31" t="s">
        <v>243</v>
      </c>
      <c r="N9" s="34"/>
      <c r="O9" s="34"/>
      <c r="P9" s="31" t="s">
        <v>243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1" t="s">
        <v>244</v>
      </c>
      <c r="AB9" s="31" t="s">
        <v>244</v>
      </c>
      <c r="AC9" s="31" t="s">
        <v>244</v>
      </c>
      <c r="AD9" s="31" t="s">
        <v>244</v>
      </c>
      <c r="AE9" s="31" t="s">
        <v>244</v>
      </c>
      <c r="AF9" s="34"/>
      <c r="AG9" s="34"/>
      <c r="AH9" s="31" t="s">
        <v>243</v>
      </c>
    </row>
    <row x14ac:dyDescent="0.25" r="10" customHeight="1" ht="18.75">
      <c r="A10" s="35" t="s">
        <v>47</v>
      </c>
      <c r="B10" s="117">
        <v>208</v>
      </c>
      <c r="C10" s="117">
        <v>42</v>
      </c>
      <c r="D10" s="117">
        <v>42</v>
      </c>
      <c r="E10" s="117">
        <v>42</v>
      </c>
      <c r="F10" s="117">
        <v>42</v>
      </c>
      <c r="G10" s="117">
        <v>42</v>
      </c>
      <c r="H10" s="117">
        <v>42</v>
      </c>
      <c r="I10" s="117">
        <v>42</v>
      </c>
      <c r="J10" s="117">
        <v>42</v>
      </c>
      <c r="K10" s="117">
        <v>42</v>
      </c>
      <c r="L10" s="117">
        <v>42</v>
      </c>
      <c r="M10" s="117">
        <v>42</v>
      </c>
      <c r="N10" s="37"/>
      <c r="O10" s="37"/>
      <c r="P10" s="117">
        <v>42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117">
        <v>208</v>
      </c>
      <c r="AB10" s="117">
        <v>208</v>
      </c>
      <c r="AC10" s="117">
        <v>208</v>
      </c>
      <c r="AD10" s="117">
        <v>208</v>
      </c>
      <c r="AE10" s="117">
        <v>208</v>
      </c>
      <c r="AF10" s="37"/>
      <c r="AG10" s="37"/>
      <c r="AH10" s="117">
        <v>42</v>
      </c>
    </row>
    <row x14ac:dyDescent="0.25" r="11" customHeight="1" ht="18.75">
      <c r="A11" s="30" t="s">
        <v>123</v>
      </c>
      <c r="B11" s="140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2"/>
      <c r="O11" s="32"/>
      <c r="P11" s="31" t="s">
        <v>52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1" t="s">
        <v>52</v>
      </c>
      <c r="AC11" s="31" t="s">
        <v>52</v>
      </c>
      <c r="AD11" s="31" t="s">
        <v>52</v>
      </c>
      <c r="AE11" s="31" t="s">
        <v>52</v>
      </c>
      <c r="AF11" s="32"/>
      <c r="AG11" s="32"/>
      <c r="AH11" s="31" t="s">
        <v>52</v>
      </c>
    </row>
    <row x14ac:dyDescent="0.25" r="12" customHeight="1" ht="18.75">
      <c r="A12" s="30" t="s">
        <v>124</v>
      </c>
      <c r="B12" s="139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2"/>
      <c r="O12" s="32"/>
      <c r="P12" s="31" t="s">
        <v>49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1" t="s">
        <v>49</v>
      </c>
      <c r="AC12" s="31" t="s">
        <v>49</v>
      </c>
      <c r="AD12" s="31" t="s">
        <v>49</v>
      </c>
      <c r="AE12" s="31" t="s">
        <v>49</v>
      </c>
      <c r="AF12" s="32"/>
      <c r="AG12" s="32"/>
      <c r="AH12" s="31" t="s">
        <v>49</v>
      </c>
    </row>
    <row x14ac:dyDescent="0.25" r="13" customHeight="1" ht="18.75">
      <c r="A13" s="30" t="s">
        <v>125</v>
      </c>
      <c r="B13" s="139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1" t="s">
        <v>49</v>
      </c>
      <c r="AB13" s="31" t="s">
        <v>49</v>
      </c>
      <c r="AC13" s="31" t="s">
        <v>49</v>
      </c>
      <c r="AD13" s="31" t="s">
        <v>49</v>
      </c>
      <c r="AE13" s="31" t="s">
        <v>49</v>
      </c>
      <c r="AF13" s="32"/>
      <c r="AG13" s="32"/>
      <c r="AH13" s="31" t="s">
        <v>49</v>
      </c>
    </row>
    <row x14ac:dyDescent="0.25" r="14" customHeight="1" ht="18.75">
      <c r="A14" s="30" t="s">
        <v>126</v>
      </c>
      <c r="B14" s="139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2"/>
      <c r="O14" s="32"/>
      <c r="P14" s="31" t="s">
        <v>49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1" t="s">
        <v>49</v>
      </c>
      <c r="AC14" s="31" t="s">
        <v>49</v>
      </c>
      <c r="AD14" s="31" t="s">
        <v>49</v>
      </c>
      <c r="AE14" s="31" t="s">
        <v>49</v>
      </c>
      <c r="AF14" s="32"/>
      <c r="AG14" s="32"/>
      <c r="AH14" s="31" t="s">
        <v>49</v>
      </c>
    </row>
    <row x14ac:dyDescent="0.25" r="15" customHeight="1" ht="18.75">
      <c r="A15" s="30" t="s">
        <v>127</v>
      </c>
      <c r="B15" s="139" t="s">
        <v>140</v>
      </c>
      <c r="C15" s="31" t="s">
        <v>140</v>
      </c>
      <c r="D15" s="31" t="s">
        <v>140</v>
      </c>
      <c r="E15" s="31" t="s">
        <v>140</v>
      </c>
      <c r="F15" s="31" t="s">
        <v>140</v>
      </c>
      <c r="G15" s="31" t="s">
        <v>140</v>
      </c>
      <c r="H15" s="31" t="s">
        <v>140</v>
      </c>
      <c r="I15" s="31" t="s">
        <v>140</v>
      </c>
      <c r="J15" s="31" t="s">
        <v>140</v>
      </c>
      <c r="K15" s="31" t="s">
        <v>140</v>
      </c>
      <c r="L15" s="31" t="s">
        <v>140</v>
      </c>
      <c r="M15" s="31" t="s">
        <v>140</v>
      </c>
      <c r="N15" s="32"/>
      <c r="O15" s="32"/>
      <c r="P15" s="31" t="s">
        <v>140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140</v>
      </c>
      <c r="AB15" s="31" t="s">
        <v>140</v>
      </c>
      <c r="AC15" s="31" t="s">
        <v>140</v>
      </c>
      <c r="AD15" s="31" t="s">
        <v>140</v>
      </c>
      <c r="AE15" s="31" t="s">
        <v>140</v>
      </c>
      <c r="AF15" s="32"/>
      <c r="AG15" s="32"/>
      <c r="AH15" s="31" t="s">
        <v>140</v>
      </c>
    </row>
    <row x14ac:dyDescent="0.25" r="16" customHeight="1" ht="18.75">
      <c r="A16" s="30" t="s">
        <v>128</v>
      </c>
      <c r="B16" s="139">
        <v>2.5</v>
      </c>
      <c r="C16" s="31">
        <v>2.5</v>
      </c>
      <c r="D16" s="31">
        <v>2.5</v>
      </c>
      <c r="E16" s="31">
        <v>2.5</v>
      </c>
      <c r="F16" s="31">
        <v>2.5</v>
      </c>
      <c r="G16" s="31">
        <v>2.5</v>
      </c>
      <c r="H16" s="31">
        <v>2.5</v>
      </c>
      <c r="I16" s="31">
        <v>2.5</v>
      </c>
      <c r="J16" s="31">
        <v>2.5</v>
      </c>
      <c r="K16" s="31">
        <v>2.5</v>
      </c>
      <c r="L16" s="31">
        <v>2.5</v>
      </c>
      <c r="M16" s="31">
        <v>2.5</v>
      </c>
      <c r="N16" s="31"/>
      <c r="O16" s="31"/>
      <c r="P16" s="31">
        <v>2.5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>
        <v>2.5</v>
      </c>
      <c r="AB16" s="31">
        <v>2.5</v>
      </c>
      <c r="AC16" s="31">
        <v>2.5</v>
      </c>
      <c r="AD16" s="31">
        <v>2.5</v>
      </c>
      <c r="AE16" s="31">
        <v>2.5</v>
      </c>
      <c r="AF16" s="31"/>
      <c r="AG16" s="31"/>
      <c r="AH16" s="31">
        <v>2.5</v>
      </c>
    </row>
    <row x14ac:dyDescent="0.25" r="17" customHeight="1" ht="18.75">
      <c r="A17" s="30" t="s">
        <v>129</v>
      </c>
      <c r="B17" s="139" t="s">
        <v>213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2"/>
      <c r="O17" s="32"/>
      <c r="P17" s="31" t="s">
        <v>169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213</v>
      </c>
      <c r="AB17" s="31" t="s">
        <v>213</v>
      </c>
      <c r="AC17" s="31" t="s">
        <v>213</v>
      </c>
      <c r="AD17" s="31" t="s">
        <v>213</v>
      </c>
      <c r="AE17" s="31" t="s">
        <v>213</v>
      </c>
      <c r="AF17" s="32"/>
      <c r="AG17" s="32"/>
      <c r="AH17" s="31" t="s">
        <v>169</v>
      </c>
    </row>
    <row x14ac:dyDescent="0.25" r="18" customHeight="1" ht="18.75">
      <c r="A18" s="30" t="s">
        <v>130</v>
      </c>
      <c r="B18" s="139">
        <v>2.5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/>
      <c r="O18" s="31"/>
      <c r="P18" s="31">
        <v>2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>
        <v>2.5</v>
      </c>
      <c r="AB18" s="31">
        <v>2.5</v>
      </c>
      <c r="AC18" s="31">
        <v>2.5</v>
      </c>
      <c r="AD18" s="31">
        <v>2.5</v>
      </c>
      <c r="AE18" s="31">
        <v>2.5</v>
      </c>
      <c r="AF18" s="31"/>
      <c r="AG18" s="31"/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2"/>
      <c r="Q19" s="3"/>
      <c r="R19" s="3"/>
      <c r="S19" s="3"/>
      <c r="T19" s="3"/>
      <c r="U19" s="3"/>
      <c r="V19" s="3"/>
      <c r="W19" s="3"/>
      <c r="X19" s="3"/>
      <c r="Y19" s="3"/>
      <c r="Z19" s="3"/>
      <c r="AA19" s="2"/>
      <c r="AB19" s="2"/>
      <c r="AC19" s="2"/>
      <c r="AD19" s="2"/>
      <c r="AE19" s="2"/>
      <c r="AF19" s="3"/>
      <c r="AG19" s="3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2"/>
      <c r="Q20" s="3"/>
      <c r="R20" s="3"/>
      <c r="S20" s="3"/>
      <c r="T20" s="3"/>
      <c r="U20" s="3"/>
      <c r="V20" s="3"/>
      <c r="W20" s="3"/>
      <c r="X20" s="3"/>
      <c r="Y20" s="3"/>
      <c r="Z20" s="3"/>
      <c r="AA20" s="2"/>
      <c r="AB20" s="2"/>
      <c r="AC20" s="2"/>
      <c r="AD20" s="2"/>
      <c r="AE20" s="2"/>
      <c r="AF20" s="3"/>
      <c r="AG20" s="3"/>
      <c r="AH20" s="2"/>
    </row>
    <row x14ac:dyDescent="0.25" r="21" customHeight="1" ht="18.75">
      <c r="A21" s="30" t="s">
        <v>245</v>
      </c>
      <c r="B21" s="40" t="s">
        <v>246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  <c r="O21" s="3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2"/>
      <c r="AB21" s="2"/>
      <c r="AC21" s="2"/>
      <c r="AD21" s="2"/>
      <c r="AE21" s="2"/>
      <c r="AF21" s="3"/>
      <c r="AG21" s="3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Z22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4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3" width="13.576428571428572" customWidth="1" bestFit="1"/>
    <col min="37" max="37" style="43" width="13.576428571428572" customWidth="1" bestFit="1"/>
    <col min="38" max="38" style="43" width="13.576428571428572" customWidth="1" bestFit="1"/>
    <col min="39" max="39" style="43" width="13.576428571428572" customWidth="1" bestFit="1"/>
    <col min="40" max="40" style="43" width="13.576428571428572" customWidth="1" bestFit="1"/>
    <col min="41" max="41" style="43" width="13.576428571428572" customWidth="1" bestFit="1"/>
    <col min="42" max="42" style="43" width="13.576428571428572" customWidth="1" bestFit="1"/>
    <col min="43" max="43" style="43" width="13.576428571428572" customWidth="1" bestFit="1"/>
    <col min="44" max="44" style="43" width="13.576428571428572" customWidth="1" bestFit="1"/>
    <col min="45" max="45" style="43" width="13.576428571428572" customWidth="1" bestFit="1"/>
    <col min="46" max="46" style="43" width="13.576428571428572" customWidth="1" bestFit="1"/>
    <col min="47" max="47" style="43" width="13.576428571428572" customWidth="1" bestFit="1"/>
    <col min="48" max="48" style="43" width="13.576428571428572" customWidth="1" bestFit="1"/>
    <col min="49" max="49" style="43" width="13.576428571428572" customWidth="1" bestFit="1"/>
    <col min="50" max="50" style="43" width="13.576428571428572" customWidth="1" bestFit="1"/>
    <col min="51" max="51" style="43" width="13.576428571428572" customWidth="1" bestFit="1"/>
    <col min="52" max="52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3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x14ac:dyDescent="0.25" r="3" customHeight="1" ht="18.75">
      <c r="A3" s="1" t="s">
        <v>2</v>
      </c>
      <c r="B3" s="5">
        <v>101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89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x14ac:dyDescent="0.25" r="4" customHeight="1" ht="18.75">
      <c r="A4" s="1" t="s">
        <v>4</v>
      </c>
      <c r="B4" s="7" t="s">
        <v>202</v>
      </c>
      <c r="C4" s="7"/>
      <c r="D4" s="7"/>
      <c r="E4" s="2"/>
      <c r="F4" s="124" t="s">
        <v>218</v>
      </c>
      <c r="G4" s="92"/>
      <c r="H4" s="92"/>
      <c r="I4" s="92"/>
      <c r="J4" s="92"/>
      <c r="K4" s="92"/>
      <c r="L4" s="92"/>
      <c r="M4" s="92"/>
      <c r="N4" s="92"/>
      <c r="O4" s="94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x14ac:dyDescent="0.25" r="5" customHeight="1" ht="18.75">
      <c r="A5" s="1" t="s">
        <v>7</v>
      </c>
      <c r="B5" s="7" t="s">
        <v>219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98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72" t="s">
        <v>23</v>
      </c>
      <c r="P7" s="102" t="s">
        <v>24</v>
      </c>
      <c r="Q7" s="74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2" t="s">
        <v>41</v>
      </c>
      <c r="AH7" s="112" t="s">
        <v>42</v>
      </c>
      <c r="AI7" s="3"/>
      <c r="AJ7" s="99" t="s">
        <v>11</v>
      </c>
      <c r="AK7" s="99" t="s">
        <v>12</v>
      </c>
      <c r="AL7" s="128" t="s">
        <v>13</v>
      </c>
      <c r="AM7" s="129" t="s">
        <v>14</v>
      </c>
      <c r="AN7" s="100" t="s">
        <v>15</v>
      </c>
      <c r="AO7" s="100" t="s">
        <v>16</v>
      </c>
      <c r="AP7" s="100" t="s">
        <v>17</v>
      </c>
      <c r="AQ7" s="130" t="s">
        <v>18</v>
      </c>
      <c r="AR7" s="101" t="s">
        <v>19</v>
      </c>
      <c r="AS7" s="101" t="s">
        <v>20</v>
      </c>
      <c r="AT7" s="101" t="s">
        <v>21</v>
      </c>
      <c r="AU7" s="136" t="s">
        <v>23</v>
      </c>
      <c r="AV7" s="102" t="s">
        <v>24</v>
      </c>
      <c r="AW7" s="102" t="s">
        <v>25</v>
      </c>
      <c r="AX7" s="55" t="s">
        <v>35</v>
      </c>
      <c r="AY7" s="112" t="s">
        <v>41</v>
      </c>
      <c r="AZ7" s="112" t="s">
        <v>42</v>
      </c>
    </row>
    <row x14ac:dyDescent="0.25" r="8" customHeight="1" ht="18.75">
      <c r="A8" s="30" t="s">
        <v>43</v>
      </c>
      <c r="B8" s="31" t="s">
        <v>205</v>
      </c>
      <c r="C8" s="31" t="s">
        <v>220</v>
      </c>
      <c r="D8" s="31" t="s">
        <v>220</v>
      </c>
      <c r="E8" s="33" t="s">
        <v>220</v>
      </c>
      <c r="F8" s="33" t="s">
        <v>220</v>
      </c>
      <c r="G8" s="31" t="s">
        <v>132</v>
      </c>
      <c r="H8" s="31" t="s">
        <v>132</v>
      </c>
      <c r="I8" s="31" t="s">
        <v>132</v>
      </c>
      <c r="J8" s="33" t="s">
        <v>220</v>
      </c>
      <c r="K8" s="31" t="s">
        <v>221</v>
      </c>
      <c r="L8" s="31" t="s">
        <v>221</v>
      </c>
      <c r="M8" s="31" t="s">
        <v>221</v>
      </c>
      <c r="N8" s="31" t="s">
        <v>206</v>
      </c>
      <c r="O8" s="32" t="s">
        <v>222</v>
      </c>
      <c r="P8" s="33" t="s">
        <v>206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1" t="s">
        <v>223</v>
      </c>
      <c r="AB8" s="32"/>
      <c r="AC8" s="32" t="s">
        <v>206</v>
      </c>
      <c r="AD8" s="32"/>
      <c r="AE8" s="32"/>
      <c r="AF8" s="32" t="s">
        <v>207</v>
      </c>
      <c r="AG8" s="31" t="s">
        <v>222</v>
      </c>
      <c r="AH8" s="31" t="s">
        <v>224</v>
      </c>
      <c r="AI8" s="3"/>
      <c r="AJ8" s="31" t="s">
        <v>206</v>
      </c>
      <c r="AK8" s="31" t="s">
        <v>206</v>
      </c>
      <c r="AL8" s="33" t="s">
        <v>207</v>
      </c>
      <c r="AM8" s="33" t="s">
        <v>207</v>
      </c>
      <c r="AN8" s="33" t="s">
        <v>207</v>
      </c>
      <c r="AO8" s="33" t="s">
        <v>207</v>
      </c>
      <c r="AP8" s="33" t="s">
        <v>207</v>
      </c>
      <c r="AQ8" s="33" t="s">
        <v>210</v>
      </c>
      <c r="AR8" s="31" t="s">
        <v>206</v>
      </c>
      <c r="AS8" s="31" t="s">
        <v>206</v>
      </c>
      <c r="AT8" s="31" t="s">
        <v>206</v>
      </c>
      <c r="AU8" s="31" t="s">
        <v>206</v>
      </c>
      <c r="AV8" s="31" t="s">
        <v>206</v>
      </c>
      <c r="AW8" s="31" t="s">
        <v>206</v>
      </c>
      <c r="AX8" s="31" t="s">
        <v>206</v>
      </c>
      <c r="AY8" s="114" t="s">
        <v>225</v>
      </c>
      <c r="AZ8" s="31" t="s">
        <v>226</v>
      </c>
    </row>
    <row x14ac:dyDescent="0.25" r="9" customHeight="1" ht="15.75">
      <c r="A9" s="30" t="s">
        <v>45</v>
      </c>
      <c r="B9" s="31" t="s">
        <v>208</v>
      </c>
      <c r="C9" s="31" t="s">
        <v>227</v>
      </c>
      <c r="D9" s="31" t="s">
        <v>227</v>
      </c>
      <c r="E9" s="31" t="s">
        <v>227</v>
      </c>
      <c r="F9" s="31" t="s">
        <v>227</v>
      </c>
      <c r="G9" s="31" t="s">
        <v>220</v>
      </c>
      <c r="H9" s="31" t="s">
        <v>228</v>
      </c>
      <c r="I9" s="31" t="s">
        <v>228</v>
      </c>
      <c r="J9" s="31" t="s">
        <v>227</v>
      </c>
      <c r="K9" s="33" t="s">
        <v>229</v>
      </c>
      <c r="L9" s="33" t="s">
        <v>229</v>
      </c>
      <c r="M9" s="33" t="s">
        <v>229</v>
      </c>
      <c r="N9" s="31" t="s">
        <v>210</v>
      </c>
      <c r="O9" s="32"/>
      <c r="P9" s="116" t="s">
        <v>212</v>
      </c>
      <c r="Q9" s="34"/>
      <c r="R9" s="34"/>
      <c r="S9" s="34"/>
      <c r="T9" s="34"/>
      <c r="U9" s="34"/>
      <c r="V9" s="34"/>
      <c r="W9" s="34"/>
      <c r="X9" s="34"/>
      <c r="Y9" s="34"/>
      <c r="Z9" s="34"/>
      <c r="AA9" s="31" t="s">
        <v>230</v>
      </c>
      <c r="AB9" s="34"/>
      <c r="AC9" s="34"/>
      <c r="AD9" s="34"/>
      <c r="AE9" s="34"/>
      <c r="AF9" s="34"/>
      <c r="AG9" s="31" t="s">
        <v>227</v>
      </c>
      <c r="AH9" s="31" t="s">
        <v>227</v>
      </c>
      <c r="AI9" s="3"/>
      <c r="AJ9" s="31" t="s">
        <v>231</v>
      </c>
      <c r="AK9" s="31" t="s">
        <v>207</v>
      </c>
      <c r="AL9" s="31" t="s">
        <v>232</v>
      </c>
      <c r="AM9" s="31" t="s">
        <v>210</v>
      </c>
      <c r="AN9" s="31" t="s">
        <v>210</v>
      </c>
      <c r="AO9" s="31" t="s">
        <v>211</v>
      </c>
      <c r="AP9" s="31" t="s">
        <v>207</v>
      </c>
      <c r="AQ9" s="31" t="s">
        <v>210</v>
      </c>
      <c r="AR9" s="31" t="s">
        <v>210</v>
      </c>
      <c r="AS9" s="31" t="s">
        <v>210</v>
      </c>
      <c r="AT9" s="31" t="s">
        <v>210</v>
      </c>
      <c r="AU9" s="31" t="s">
        <v>210</v>
      </c>
      <c r="AV9" s="31" t="s">
        <v>212</v>
      </c>
      <c r="AW9" s="31" t="s">
        <v>212</v>
      </c>
      <c r="AX9" s="31" t="s">
        <v>206</v>
      </c>
      <c r="AY9" s="114" t="s">
        <v>233</v>
      </c>
      <c r="AZ9" s="31" t="s">
        <v>233</v>
      </c>
    </row>
    <row x14ac:dyDescent="0.25" r="10" customHeight="1" ht="18.75">
      <c r="A10" s="35" t="s">
        <v>47</v>
      </c>
      <c r="B10" s="117">
        <v>218</v>
      </c>
      <c r="C10" s="117">
        <v>56</v>
      </c>
      <c r="D10" s="117">
        <v>56</v>
      </c>
      <c r="E10" s="117">
        <v>56</v>
      </c>
      <c r="F10" s="117">
        <v>56</v>
      </c>
      <c r="G10" s="117">
        <v>63</v>
      </c>
      <c r="H10" s="117">
        <v>68</v>
      </c>
      <c r="I10" s="117">
        <v>68</v>
      </c>
      <c r="J10" s="117">
        <v>56</v>
      </c>
      <c r="K10" s="117">
        <v>271</v>
      </c>
      <c r="L10" s="117">
        <v>271</v>
      </c>
      <c r="M10" s="117">
        <v>271</v>
      </c>
      <c r="N10" s="117">
        <v>52</v>
      </c>
      <c r="O10" s="37"/>
      <c r="P10" s="117">
        <v>48</v>
      </c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117">
        <v>222</v>
      </c>
      <c r="AB10" s="37"/>
      <c r="AC10" s="37"/>
      <c r="AD10" s="37"/>
      <c r="AE10" s="37"/>
      <c r="AF10" s="37"/>
      <c r="AG10" s="117">
        <v>56</v>
      </c>
      <c r="AH10" s="117">
        <v>56</v>
      </c>
      <c r="AI10" s="3"/>
      <c r="AJ10" s="117">
        <v>118</v>
      </c>
      <c r="AK10" s="117">
        <v>50</v>
      </c>
      <c r="AL10" s="117">
        <v>122</v>
      </c>
      <c r="AM10" s="117">
        <v>52</v>
      </c>
      <c r="AN10" s="117">
        <v>52</v>
      </c>
      <c r="AO10" s="117">
        <v>46</v>
      </c>
      <c r="AP10" s="117">
        <v>50</v>
      </c>
      <c r="AQ10" s="117">
        <v>52</v>
      </c>
      <c r="AR10" s="117">
        <v>52</v>
      </c>
      <c r="AS10" s="117">
        <v>52</v>
      </c>
      <c r="AT10" s="117">
        <v>52</v>
      </c>
      <c r="AU10" s="117">
        <v>52</v>
      </c>
      <c r="AV10" s="117">
        <v>48</v>
      </c>
      <c r="AW10" s="117">
        <v>48</v>
      </c>
      <c r="AX10" s="117">
        <v>216</v>
      </c>
      <c r="AY10" s="137">
        <v>270</v>
      </c>
      <c r="AZ10" s="117">
        <v>270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3" t="s">
        <v>52</v>
      </c>
      <c r="I11" s="33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2"/>
      <c r="P11" s="114" t="s">
        <v>52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 t="s">
        <v>52</v>
      </c>
      <c r="AB11" s="32"/>
      <c r="AC11" s="34"/>
      <c r="AD11" s="32"/>
      <c r="AE11" s="34"/>
      <c r="AF11" s="32"/>
      <c r="AG11" s="33" t="s">
        <v>52</v>
      </c>
      <c r="AH11" s="33" t="s">
        <v>52</v>
      </c>
      <c r="AI11" s="3"/>
      <c r="AJ11" s="31" t="s">
        <v>52</v>
      </c>
      <c r="AK11" s="31" t="s">
        <v>52</v>
      </c>
      <c r="AL11" s="31" t="s">
        <v>52</v>
      </c>
      <c r="AM11" s="31" t="s">
        <v>52</v>
      </c>
      <c r="AN11" s="31" t="s">
        <v>52</v>
      </c>
      <c r="AO11" s="31" t="s">
        <v>52</v>
      </c>
      <c r="AP11" s="31" t="s">
        <v>52</v>
      </c>
      <c r="AQ11" s="31" t="s">
        <v>52</v>
      </c>
      <c r="AR11" s="31" t="s">
        <v>52</v>
      </c>
      <c r="AS11" s="31" t="s">
        <v>52</v>
      </c>
      <c r="AT11" s="31" t="s">
        <v>52</v>
      </c>
      <c r="AU11" s="31" t="s">
        <v>52</v>
      </c>
      <c r="AV11" s="31" t="s">
        <v>52</v>
      </c>
      <c r="AW11" s="31" t="s">
        <v>52</v>
      </c>
      <c r="AX11" s="31" t="s">
        <v>52</v>
      </c>
      <c r="AY11" s="116" t="s">
        <v>52</v>
      </c>
      <c r="AZ11" s="33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3" t="s">
        <v>52</v>
      </c>
      <c r="I12" s="33" t="s">
        <v>52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2"/>
      <c r="P12" s="116" t="s">
        <v>49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 t="s">
        <v>49</v>
      </c>
      <c r="AB12" s="32"/>
      <c r="AC12" s="32"/>
      <c r="AD12" s="32"/>
      <c r="AE12" s="32"/>
      <c r="AF12" s="32"/>
      <c r="AG12" s="33" t="s">
        <v>49</v>
      </c>
      <c r="AH12" s="33" t="s">
        <v>49</v>
      </c>
      <c r="AI12" s="3"/>
      <c r="AJ12" s="31" t="s">
        <v>49</v>
      </c>
      <c r="AK12" s="31" t="s">
        <v>49</v>
      </c>
      <c r="AL12" s="31" t="s">
        <v>49</v>
      </c>
      <c r="AM12" s="31" t="s">
        <v>49</v>
      </c>
      <c r="AN12" s="31" t="s">
        <v>49</v>
      </c>
      <c r="AO12" s="31" t="s">
        <v>49</v>
      </c>
      <c r="AP12" s="31" t="s">
        <v>49</v>
      </c>
      <c r="AQ12" s="31" t="s">
        <v>49</v>
      </c>
      <c r="AR12" s="31" t="s">
        <v>49</v>
      </c>
      <c r="AS12" s="31" t="s">
        <v>49</v>
      </c>
      <c r="AT12" s="31" t="s">
        <v>49</v>
      </c>
      <c r="AU12" s="31" t="s">
        <v>49</v>
      </c>
      <c r="AV12" s="31" t="s">
        <v>49</v>
      </c>
      <c r="AW12" s="31" t="s">
        <v>49</v>
      </c>
      <c r="AX12" s="31" t="s">
        <v>49</v>
      </c>
      <c r="AY12" s="116" t="s">
        <v>49</v>
      </c>
      <c r="AZ12" s="33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49</v>
      </c>
      <c r="H13" s="31" t="s">
        <v>49</v>
      </c>
      <c r="I13" s="31" t="s">
        <v>49</v>
      </c>
      <c r="J13" s="31" t="s">
        <v>52</v>
      </c>
      <c r="K13" s="31" t="s">
        <v>52</v>
      </c>
      <c r="L13" s="31" t="s">
        <v>52</v>
      </c>
      <c r="M13" s="31" t="s">
        <v>52</v>
      </c>
      <c r="N13" s="33" t="s">
        <v>52</v>
      </c>
      <c r="O13" s="32"/>
      <c r="P13" s="114" t="s">
        <v>52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1" t="s">
        <v>52</v>
      </c>
      <c r="AH13" s="31" t="s">
        <v>52</v>
      </c>
      <c r="AI13" s="3"/>
      <c r="AJ13" s="31" t="s">
        <v>52</v>
      </c>
      <c r="AK13" s="31" t="s">
        <v>52</v>
      </c>
      <c r="AL13" s="31" t="s">
        <v>52</v>
      </c>
      <c r="AM13" s="31" t="s">
        <v>52</v>
      </c>
      <c r="AN13" s="31" t="s">
        <v>52</v>
      </c>
      <c r="AO13" s="31" t="s">
        <v>52</v>
      </c>
      <c r="AP13" s="31" t="s">
        <v>52</v>
      </c>
      <c r="AQ13" s="31" t="s">
        <v>52</v>
      </c>
      <c r="AR13" s="31" t="s">
        <v>52</v>
      </c>
      <c r="AS13" s="31" t="s">
        <v>52</v>
      </c>
      <c r="AT13" s="31" t="s">
        <v>52</v>
      </c>
      <c r="AU13" s="33" t="s">
        <v>52</v>
      </c>
      <c r="AV13" s="33" t="s">
        <v>52</v>
      </c>
      <c r="AW13" s="33" t="s">
        <v>52</v>
      </c>
      <c r="AX13" s="33" t="s">
        <v>52</v>
      </c>
      <c r="AY13" s="31" t="s">
        <v>52</v>
      </c>
      <c r="AZ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2"/>
      <c r="P14" s="114" t="s">
        <v>49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  <c r="AI14" s="3"/>
      <c r="AJ14" s="31" t="s">
        <v>49</v>
      </c>
      <c r="AK14" s="31" t="s">
        <v>49</v>
      </c>
      <c r="AL14" s="31" t="s">
        <v>49</v>
      </c>
      <c r="AM14" s="31" t="s">
        <v>49</v>
      </c>
      <c r="AN14" s="31" t="s">
        <v>49</v>
      </c>
      <c r="AO14" s="31" t="s">
        <v>49</v>
      </c>
      <c r="AP14" s="31" t="s">
        <v>49</v>
      </c>
      <c r="AQ14" s="31" t="s">
        <v>49</v>
      </c>
      <c r="AR14" s="31" t="s">
        <v>49</v>
      </c>
      <c r="AS14" s="31" t="s">
        <v>49</v>
      </c>
      <c r="AT14" s="31" t="s">
        <v>49</v>
      </c>
      <c r="AU14" s="31" t="s">
        <v>49</v>
      </c>
      <c r="AV14" s="31" t="s">
        <v>49</v>
      </c>
      <c r="AW14" s="31" t="s">
        <v>49</v>
      </c>
      <c r="AX14" s="31" t="s">
        <v>49</v>
      </c>
      <c r="AY14" s="31" t="s">
        <v>49</v>
      </c>
      <c r="AZ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133</v>
      </c>
      <c r="D15" s="31" t="s">
        <v>133</v>
      </c>
      <c r="E15" s="31" t="s">
        <v>133</v>
      </c>
      <c r="F15" s="31" t="s">
        <v>133</v>
      </c>
      <c r="G15" s="31" t="s">
        <v>234</v>
      </c>
      <c r="H15" s="31" t="s">
        <v>235</v>
      </c>
      <c r="I15" s="31" t="s">
        <v>235</v>
      </c>
      <c r="J15" s="31" t="s">
        <v>133</v>
      </c>
      <c r="K15" s="31" t="s">
        <v>133</v>
      </c>
      <c r="L15" s="31" t="s">
        <v>133</v>
      </c>
      <c r="M15" s="31" t="s">
        <v>133</v>
      </c>
      <c r="N15" s="31" t="s">
        <v>143</v>
      </c>
      <c r="O15" s="32"/>
      <c r="P15" s="114" t="s">
        <v>143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133</v>
      </c>
      <c r="AB15" s="32"/>
      <c r="AC15" s="32"/>
      <c r="AD15" s="32"/>
      <c r="AE15" s="32"/>
      <c r="AF15" s="32"/>
      <c r="AG15" s="31" t="s">
        <v>133</v>
      </c>
      <c r="AH15" s="31" t="s">
        <v>133</v>
      </c>
      <c r="AI15" s="3"/>
      <c r="AJ15" s="31" t="s">
        <v>143</v>
      </c>
      <c r="AK15" s="31" t="s">
        <v>143</v>
      </c>
      <c r="AL15" s="31" t="s">
        <v>143</v>
      </c>
      <c r="AM15" s="31" t="s">
        <v>143</v>
      </c>
      <c r="AN15" s="31" t="s">
        <v>143</v>
      </c>
      <c r="AO15" s="31" t="s">
        <v>143</v>
      </c>
      <c r="AP15" s="31" t="s">
        <v>143</v>
      </c>
      <c r="AQ15" s="31" t="s">
        <v>143</v>
      </c>
      <c r="AR15" s="31" t="s">
        <v>143</v>
      </c>
      <c r="AS15" s="31" t="s">
        <v>143</v>
      </c>
      <c r="AT15" s="31" t="s">
        <v>143</v>
      </c>
      <c r="AU15" s="31" t="s">
        <v>143</v>
      </c>
      <c r="AV15" s="31" t="s">
        <v>143</v>
      </c>
      <c r="AW15" s="31" t="s">
        <v>143</v>
      </c>
      <c r="AX15" s="31" t="s">
        <v>143</v>
      </c>
      <c r="AY15" s="31" t="s">
        <v>194</v>
      </c>
      <c r="AZ15" s="31" t="s">
        <v>194</v>
      </c>
    </row>
    <row x14ac:dyDescent="0.25" r="16" customHeight="1" ht="18.75">
      <c r="A16" s="30" t="s">
        <v>128</v>
      </c>
      <c r="B16" s="31">
        <v>0.5</v>
      </c>
      <c r="C16" s="31">
        <v>-0.5</v>
      </c>
      <c r="D16" s="31">
        <v>-0.5</v>
      </c>
      <c r="E16" s="31">
        <v>-0.5</v>
      </c>
      <c r="F16" s="31">
        <v>-0.5</v>
      </c>
      <c r="G16" s="31">
        <v>-3</v>
      </c>
      <c r="H16" s="31">
        <v>-6</v>
      </c>
      <c r="I16" s="31">
        <v>-6</v>
      </c>
      <c r="J16" s="31">
        <v>-0.5</v>
      </c>
      <c r="K16" s="31">
        <v>-0.25</v>
      </c>
      <c r="L16" s="31">
        <v>-0.25</v>
      </c>
      <c r="M16" s="31">
        <v>-0.25</v>
      </c>
      <c r="N16" s="31">
        <v>0.5</v>
      </c>
      <c r="O16" s="31"/>
      <c r="P16" s="114">
        <f>4/3</f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>
        <v>-0.5</v>
      </c>
      <c r="AB16" s="31"/>
      <c r="AC16" s="31"/>
      <c r="AD16" s="31"/>
      <c r="AE16" s="31"/>
      <c r="AF16" s="31"/>
      <c r="AG16" s="31">
        <v>-0.5</v>
      </c>
      <c r="AH16" s="31">
        <v>-0.5</v>
      </c>
      <c r="AI16" s="3"/>
      <c r="AJ16" s="31">
        <f>AVERAGE(1,1,1,0.5)</f>
      </c>
      <c r="AK16" s="31">
        <v>1</v>
      </c>
      <c r="AL16" s="31">
        <f>AVERAGE(0.5,0.5,0.5,1)</f>
      </c>
      <c r="AM16" s="31">
        <v>0.5</v>
      </c>
      <c r="AN16" s="31">
        <v>0.5</v>
      </c>
      <c r="AO16" s="31">
        <f>5/3</f>
      </c>
      <c r="AP16" s="31">
        <v>1</v>
      </c>
      <c r="AQ16" s="31">
        <v>0.5</v>
      </c>
      <c r="AR16" s="31">
        <v>0.5</v>
      </c>
      <c r="AS16" s="31">
        <v>0.5</v>
      </c>
      <c r="AT16" s="31">
        <v>0.5</v>
      </c>
      <c r="AU16" s="31">
        <v>0.5</v>
      </c>
      <c r="AV16" s="31">
        <f>4/3</f>
      </c>
      <c r="AW16" s="31">
        <f>4/3</f>
      </c>
      <c r="AX16" s="31">
        <v>1</v>
      </c>
      <c r="AY16" s="31">
        <f>AVERAGE(-0.5,4/3)</f>
      </c>
      <c r="AZ16" s="31">
        <f>AVERAGE(-0.5,4/3)</f>
      </c>
    </row>
    <row x14ac:dyDescent="0.25" r="17" customHeight="1" ht="18.75">
      <c r="A17" s="30" t="s">
        <v>129</v>
      </c>
      <c r="B17" s="31" t="s">
        <v>213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2"/>
      <c r="P17" s="31" t="s">
        <v>169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213</v>
      </c>
      <c r="AB17" s="32"/>
      <c r="AC17" s="32"/>
      <c r="AD17" s="32"/>
      <c r="AE17" s="32"/>
      <c r="AF17" s="32"/>
      <c r="AG17" s="31" t="s">
        <v>169</v>
      </c>
      <c r="AH17" s="31" t="s">
        <v>169</v>
      </c>
      <c r="AI17" s="3"/>
      <c r="AJ17" s="31" t="s">
        <v>169</v>
      </c>
      <c r="AK17" s="31" t="s">
        <v>169</v>
      </c>
      <c r="AL17" s="31" t="s">
        <v>169</v>
      </c>
      <c r="AM17" s="31" t="s">
        <v>169</v>
      </c>
      <c r="AN17" s="31" t="s">
        <v>169</v>
      </c>
      <c r="AO17" s="31" t="s">
        <v>169</v>
      </c>
      <c r="AP17" s="31" t="s">
        <v>169</v>
      </c>
      <c r="AQ17" s="31" t="s">
        <v>169</v>
      </c>
      <c r="AR17" s="31" t="s">
        <v>169</v>
      </c>
      <c r="AS17" s="31" t="s">
        <v>169</v>
      </c>
      <c r="AT17" s="31" t="s">
        <v>169</v>
      </c>
      <c r="AU17" s="31" t="s">
        <v>169</v>
      </c>
      <c r="AV17" s="31" t="s">
        <v>169</v>
      </c>
      <c r="AW17" s="31" t="s">
        <v>169</v>
      </c>
      <c r="AX17" s="31" t="s">
        <v>213</v>
      </c>
      <c r="AY17" s="31" t="s">
        <v>169</v>
      </c>
      <c r="AZ17" s="31" t="s">
        <v>169</v>
      </c>
    </row>
    <row x14ac:dyDescent="0.25" r="18" customHeight="1" ht="18.75">
      <c r="A18" s="30" t="s">
        <v>130</v>
      </c>
      <c r="B18" s="31">
        <v>2.5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/>
      <c r="P18" s="31">
        <v>2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>
        <v>2.5</v>
      </c>
      <c r="AB18" s="31"/>
      <c r="AC18" s="31"/>
      <c r="AD18" s="31"/>
      <c r="AE18" s="31"/>
      <c r="AF18" s="31"/>
      <c r="AG18" s="31">
        <v>2</v>
      </c>
      <c r="AH18" s="31">
        <v>2</v>
      </c>
      <c r="AI18" s="3"/>
      <c r="AJ18" s="31">
        <v>2</v>
      </c>
      <c r="AK18" s="31">
        <v>2</v>
      </c>
      <c r="AL18" s="31">
        <v>2</v>
      </c>
      <c r="AM18" s="31">
        <v>2</v>
      </c>
      <c r="AN18" s="31">
        <v>2</v>
      </c>
      <c r="AO18" s="31">
        <v>2</v>
      </c>
      <c r="AP18" s="31">
        <v>2</v>
      </c>
      <c r="AQ18" s="31">
        <v>2</v>
      </c>
      <c r="AR18" s="31">
        <v>2</v>
      </c>
      <c r="AS18" s="31">
        <v>2</v>
      </c>
      <c r="AT18" s="31">
        <v>2</v>
      </c>
      <c r="AU18" s="31">
        <v>2</v>
      </c>
      <c r="AV18" s="31">
        <v>2</v>
      </c>
      <c r="AW18" s="31">
        <v>2</v>
      </c>
      <c r="AX18" s="31">
        <v>2.5</v>
      </c>
      <c r="AY18" s="31">
        <v>2</v>
      </c>
      <c r="AZ18" s="31">
        <v>2</v>
      </c>
    </row>
    <row x14ac:dyDescent="0.25" r="19" customHeight="1" ht="18.75">
      <c r="A19" s="46"/>
      <c r="B19" s="58"/>
      <c r="C19" s="138" t="s">
        <v>236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2"/>
      <c r="Q19" s="3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  <c r="AI19" s="3"/>
      <c r="AJ19" s="138" t="s">
        <v>237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3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2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x14ac:dyDescent="0.25" r="21" customHeight="1" ht="18.75">
      <c r="A21" s="30" t="s">
        <v>238</v>
      </c>
      <c r="B21" s="40" t="s">
        <v>239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x14ac:dyDescent="0.25" r="22" customHeight="1" ht="18.75">
      <c r="A22" s="30" t="s">
        <v>240</v>
      </c>
      <c r="B22" s="40" t="s">
        <v>215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3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2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</row>
    <row x14ac:dyDescent="0.25" r="3" customHeight="1" ht="18.75">
      <c r="A3" s="1" t="s">
        <v>2</v>
      </c>
      <c r="B3" s="5">
        <v>102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</row>
    <row x14ac:dyDescent="0.25" r="4" customHeight="1" ht="18.75">
      <c r="A4" s="1" t="s">
        <v>4</v>
      </c>
      <c r="B4" s="7" t="s">
        <v>202</v>
      </c>
      <c r="C4" s="7"/>
      <c r="D4" s="7"/>
      <c r="E4" s="2"/>
      <c r="F4" s="124" t="s">
        <v>203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</row>
    <row x14ac:dyDescent="0.25" r="5" customHeight="1" ht="18.75">
      <c r="A5" s="1" t="s">
        <v>7</v>
      </c>
      <c r="B5" s="7" t="s">
        <v>204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7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78" t="s">
        <v>32</v>
      </c>
      <c r="Y7" s="78" t="s">
        <v>33</v>
      </c>
      <c r="Z7" s="105" t="s">
        <v>34</v>
      </c>
      <c r="AA7" s="106" t="s">
        <v>35</v>
      </c>
      <c r="AB7" s="108" t="s">
        <v>36</v>
      </c>
      <c r="AC7" s="108" t="s">
        <v>37</v>
      </c>
      <c r="AD7" s="108" t="s">
        <v>38</v>
      </c>
      <c r="AE7" s="134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205</v>
      </c>
      <c r="C8" s="31" t="s">
        <v>206</v>
      </c>
      <c r="D8" s="31" t="s">
        <v>206</v>
      </c>
      <c r="E8" s="33" t="s">
        <v>207</v>
      </c>
      <c r="F8" s="33" t="s">
        <v>207</v>
      </c>
      <c r="G8" s="33" t="s">
        <v>207</v>
      </c>
      <c r="H8" s="33" t="s">
        <v>207</v>
      </c>
      <c r="I8" s="33" t="s">
        <v>207</v>
      </c>
      <c r="J8" s="31" t="s">
        <v>207</v>
      </c>
      <c r="K8" s="31" t="s">
        <v>206</v>
      </c>
      <c r="L8" s="31" t="s">
        <v>206</v>
      </c>
      <c r="M8" s="31" t="s">
        <v>206</v>
      </c>
      <c r="N8" s="31" t="s">
        <v>206</v>
      </c>
      <c r="O8" s="31" t="s">
        <v>206</v>
      </c>
      <c r="P8" s="114" t="s">
        <v>206</v>
      </c>
      <c r="Q8" s="114" t="s">
        <v>206</v>
      </c>
      <c r="R8" s="32"/>
      <c r="S8" s="32"/>
      <c r="T8" s="32"/>
      <c r="U8" s="32"/>
      <c r="V8" s="32"/>
      <c r="W8" s="32"/>
      <c r="X8" s="32"/>
      <c r="Y8" s="32"/>
      <c r="Z8" s="32"/>
      <c r="AA8" s="31" t="s">
        <v>206</v>
      </c>
      <c r="AB8" s="32"/>
      <c r="AC8" s="32"/>
      <c r="AD8" s="32"/>
      <c r="AE8" s="32" t="s">
        <v>206</v>
      </c>
      <c r="AF8" s="32" t="s">
        <v>207</v>
      </c>
      <c r="AG8" s="31" t="s">
        <v>207</v>
      </c>
      <c r="AH8" s="31" t="s">
        <v>207</v>
      </c>
    </row>
    <row x14ac:dyDescent="0.25" r="9" customHeight="1" ht="18.75">
      <c r="A9" s="30" t="s">
        <v>45</v>
      </c>
      <c r="B9" s="31" t="s">
        <v>208</v>
      </c>
      <c r="C9" s="31" t="s">
        <v>209</v>
      </c>
      <c r="D9" s="33" t="s">
        <v>207</v>
      </c>
      <c r="E9" s="31" t="s">
        <v>210</v>
      </c>
      <c r="F9" s="31" t="s">
        <v>210</v>
      </c>
      <c r="G9" s="31" t="s">
        <v>210</v>
      </c>
      <c r="H9" s="33" t="s">
        <v>211</v>
      </c>
      <c r="I9" s="33" t="s">
        <v>207</v>
      </c>
      <c r="J9" s="31" t="s">
        <v>210</v>
      </c>
      <c r="K9" s="31" t="s">
        <v>210</v>
      </c>
      <c r="L9" s="31" t="s">
        <v>210</v>
      </c>
      <c r="M9" s="31" t="s">
        <v>210</v>
      </c>
      <c r="N9" s="31" t="s">
        <v>210</v>
      </c>
      <c r="O9" s="31" t="s">
        <v>210</v>
      </c>
      <c r="P9" s="116" t="s">
        <v>212</v>
      </c>
      <c r="Q9" s="116" t="s">
        <v>212</v>
      </c>
      <c r="R9" s="34"/>
      <c r="S9" s="34"/>
      <c r="T9" s="34"/>
      <c r="U9" s="34"/>
      <c r="V9" s="34"/>
      <c r="W9" s="34"/>
      <c r="X9" s="34"/>
      <c r="Y9" s="34"/>
      <c r="Z9" s="34"/>
      <c r="AA9" s="31" t="s">
        <v>206</v>
      </c>
      <c r="AB9" s="34"/>
      <c r="AC9" s="34"/>
      <c r="AD9" s="34"/>
      <c r="AE9" s="34"/>
      <c r="AF9" s="34"/>
      <c r="AG9" s="31" t="s">
        <v>212</v>
      </c>
      <c r="AH9" s="31" t="s">
        <v>212</v>
      </c>
    </row>
    <row x14ac:dyDescent="0.25" r="10" customHeight="1" ht="18.75">
      <c r="A10" s="35" t="s">
        <v>47</v>
      </c>
      <c r="B10" s="117">
        <v>218</v>
      </c>
      <c r="C10" s="117">
        <v>118</v>
      </c>
      <c r="D10" s="117">
        <v>50</v>
      </c>
      <c r="E10" s="117">
        <v>122</v>
      </c>
      <c r="F10" s="117">
        <v>52</v>
      </c>
      <c r="G10" s="117">
        <v>52</v>
      </c>
      <c r="H10" s="117">
        <v>46</v>
      </c>
      <c r="I10" s="117">
        <v>50</v>
      </c>
      <c r="J10" s="117">
        <v>52</v>
      </c>
      <c r="K10" s="117">
        <v>52</v>
      </c>
      <c r="L10" s="117">
        <v>52</v>
      </c>
      <c r="M10" s="117">
        <v>52</v>
      </c>
      <c r="N10" s="117">
        <v>52</v>
      </c>
      <c r="O10" s="117">
        <v>52</v>
      </c>
      <c r="P10" s="117">
        <v>48</v>
      </c>
      <c r="Q10" s="117">
        <v>48</v>
      </c>
      <c r="R10" s="37"/>
      <c r="S10" s="37"/>
      <c r="T10" s="37"/>
      <c r="U10" s="37"/>
      <c r="V10" s="37"/>
      <c r="W10" s="37"/>
      <c r="X10" s="37"/>
      <c r="Y10" s="37"/>
      <c r="Z10" s="37"/>
      <c r="AA10" s="117">
        <v>216</v>
      </c>
      <c r="AB10" s="37"/>
      <c r="AC10" s="37"/>
      <c r="AD10" s="37"/>
      <c r="AE10" s="37"/>
      <c r="AF10" s="37"/>
      <c r="AG10" s="117">
        <v>48</v>
      </c>
      <c r="AH10" s="117">
        <v>48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3" t="s">
        <v>52</v>
      </c>
      <c r="E11" s="31" t="s">
        <v>52</v>
      </c>
      <c r="F11" s="31" t="s">
        <v>52</v>
      </c>
      <c r="G11" s="33" t="s">
        <v>52</v>
      </c>
      <c r="H11" s="33" t="s">
        <v>52</v>
      </c>
      <c r="I11" s="33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114" t="s">
        <v>52</v>
      </c>
      <c r="Q11" s="114" t="s">
        <v>52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52</v>
      </c>
      <c r="AB11" s="32"/>
      <c r="AC11" s="34"/>
      <c r="AD11" s="32"/>
      <c r="AE11" s="34"/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1" t="s">
        <v>49</v>
      </c>
      <c r="K12" s="31" t="s">
        <v>49</v>
      </c>
      <c r="L12" s="31" t="s">
        <v>49</v>
      </c>
      <c r="M12" s="31" t="s">
        <v>49</v>
      </c>
      <c r="N12" s="31" t="s">
        <v>49</v>
      </c>
      <c r="O12" s="31" t="s">
        <v>49</v>
      </c>
      <c r="P12" s="116" t="s">
        <v>49</v>
      </c>
      <c r="Q12" s="116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1" t="s">
        <v>49</v>
      </c>
      <c r="AH12" s="31" t="s">
        <v>49</v>
      </c>
    </row>
    <row x14ac:dyDescent="0.25" r="13" customHeight="1" ht="18.75">
      <c r="A13" s="30" t="s">
        <v>125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1" t="s">
        <v>52</v>
      </c>
      <c r="K13" s="31" t="s">
        <v>52</v>
      </c>
      <c r="L13" s="31" t="s">
        <v>52</v>
      </c>
      <c r="M13" s="31" t="s">
        <v>52</v>
      </c>
      <c r="N13" s="31" t="s">
        <v>52</v>
      </c>
      <c r="O13" s="31" t="s">
        <v>52</v>
      </c>
      <c r="P13" s="114" t="s">
        <v>52</v>
      </c>
      <c r="Q13" s="114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1" t="s">
        <v>52</v>
      </c>
      <c r="AH13" s="31" t="s">
        <v>52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114" t="s">
        <v>49</v>
      </c>
      <c r="Q14" s="114" t="s">
        <v>49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49</v>
      </c>
      <c r="AB14" s="32"/>
      <c r="AC14" s="32"/>
      <c r="AD14" s="32"/>
      <c r="AE14" s="32"/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143</v>
      </c>
      <c r="D15" s="31" t="s">
        <v>143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143</v>
      </c>
      <c r="L15" s="31" t="s">
        <v>143</v>
      </c>
      <c r="M15" s="31" t="s">
        <v>143</v>
      </c>
      <c r="N15" s="31" t="s">
        <v>143</v>
      </c>
      <c r="O15" s="31" t="s">
        <v>143</v>
      </c>
      <c r="P15" s="114" t="s">
        <v>143</v>
      </c>
      <c r="Q15" s="114" t="s">
        <v>143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143</v>
      </c>
      <c r="AB15" s="32"/>
      <c r="AC15" s="32"/>
      <c r="AD15" s="32"/>
      <c r="AE15" s="32"/>
      <c r="AF15" s="32"/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0.5</v>
      </c>
      <c r="C16" s="31">
        <v>0.875</v>
      </c>
      <c r="D16" s="31">
        <v>1</v>
      </c>
      <c r="E16" s="31">
        <f>AVERAGE(0.5,0.5,0.5,1)</f>
      </c>
      <c r="F16" s="31">
        <v>0.5</v>
      </c>
      <c r="G16" s="31">
        <v>0.5</v>
      </c>
      <c r="H16" s="31">
        <f>5/3</f>
      </c>
      <c r="I16" s="31">
        <v>1</v>
      </c>
      <c r="J16" s="31">
        <v>0.5</v>
      </c>
      <c r="K16" s="31">
        <v>0.5</v>
      </c>
      <c r="L16" s="31">
        <v>0.5</v>
      </c>
      <c r="M16" s="31">
        <v>0.5</v>
      </c>
      <c r="N16" s="31">
        <v>0.5</v>
      </c>
      <c r="O16" s="31">
        <v>0.5</v>
      </c>
      <c r="P16" s="114">
        <f>4/3</f>
      </c>
      <c r="Q16" s="114">
        <f>4/3</f>
      </c>
      <c r="R16" s="31"/>
      <c r="S16" s="31"/>
      <c r="T16" s="31"/>
      <c r="U16" s="31"/>
      <c r="V16" s="31"/>
      <c r="W16" s="31"/>
      <c r="X16" s="31"/>
      <c r="Y16" s="31"/>
      <c r="Z16" s="31"/>
      <c r="AA16" s="31">
        <v>1</v>
      </c>
      <c r="AB16" s="31"/>
      <c r="AC16" s="31"/>
      <c r="AD16" s="31"/>
      <c r="AE16" s="31"/>
      <c r="AF16" s="31"/>
      <c r="AG16" s="31">
        <f>4/3</f>
      </c>
      <c r="AH16" s="31">
        <f>4/3</f>
      </c>
    </row>
    <row x14ac:dyDescent="0.25" r="17" customHeight="1" ht="18.75">
      <c r="A17" s="30" t="s">
        <v>129</v>
      </c>
      <c r="B17" s="31" t="s">
        <v>213</v>
      </c>
      <c r="C17" s="31" t="s">
        <v>169</v>
      </c>
      <c r="D17" s="31" t="s">
        <v>169</v>
      </c>
      <c r="E17" s="31" t="s">
        <v>169</v>
      </c>
      <c r="F17" s="31" t="s">
        <v>169</v>
      </c>
      <c r="G17" s="31" t="s">
        <v>169</v>
      </c>
      <c r="H17" s="31" t="s">
        <v>169</v>
      </c>
      <c r="I17" s="31" t="s">
        <v>169</v>
      </c>
      <c r="J17" s="31" t="s">
        <v>169</v>
      </c>
      <c r="K17" s="31" t="s">
        <v>169</v>
      </c>
      <c r="L17" s="31" t="s">
        <v>169</v>
      </c>
      <c r="M17" s="31" t="s">
        <v>169</v>
      </c>
      <c r="N17" s="31" t="s">
        <v>169</v>
      </c>
      <c r="O17" s="31" t="s">
        <v>169</v>
      </c>
      <c r="P17" s="31" t="s">
        <v>169</v>
      </c>
      <c r="Q17" s="31" t="s">
        <v>169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213</v>
      </c>
      <c r="AB17" s="32"/>
      <c r="AC17" s="32"/>
      <c r="AD17" s="32"/>
      <c r="AE17" s="32"/>
      <c r="AF17" s="32"/>
      <c r="AG17" s="31" t="s">
        <v>169</v>
      </c>
      <c r="AH17" s="31" t="s">
        <v>169</v>
      </c>
    </row>
    <row x14ac:dyDescent="0.25" r="18" customHeight="1" ht="18.75">
      <c r="A18" s="30" t="s">
        <v>130</v>
      </c>
      <c r="B18" s="31">
        <v>2.5</v>
      </c>
      <c r="C18" s="31">
        <v>2</v>
      </c>
      <c r="D18" s="31">
        <v>2</v>
      </c>
      <c r="E18" s="31">
        <v>2</v>
      </c>
      <c r="F18" s="31"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2.5</v>
      </c>
      <c r="AB18" s="31"/>
      <c r="AC18" s="31"/>
      <c r="AD18" s="31"/>
      <c r="AE18" s="31"/>
      <c r="AF18" s="31"/>
      <c r="AG18" s="31">
        <v>2</v>
      </c>
      <c r="AH18" s="31">
        <v>2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  <c r="AA19" s="2"/>
      <c r="AB19" s="3"/>
      <c r="AC19" s="3"/>
      <c r="AD19" s="3"/>
      <c r="AE19" s="3"/>
      <c r="AF19" s="3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  <c r="AA20" s="2"/>
      <c r="AB20" s="3"/>
      <c r="AC20" s="3"/>
      <c r="AD20" s="3"/>
      <c r="AE20" s="3"/>
      <c r="AF20" s="3"/>
      <c r="AG20" s="2"/>
      <c r="AH20" s="2"/>
    </row>
    <row x14ac:dyDescent="0.25" r="21" customHeight="1" ht="18.75">
      <c r="A21" s="30" t="s">
        <v>214</v>
      </c>
      <c r="B21" s="40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</row>
    <row x14ac:dyDescent="0.25" r="22" customHeight="1" ht="18.75">
      <c r="A22" s="10" t="s">
        <v>216</v>
      </c>
      <c r="B22" s="135" t="s">
        <v>217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2"/>
      <c r="AH22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1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3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3" width="13.576428571428572" customWidth="1" bestFit="1"/>
    <col min="15" max="15" style="43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3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3" width="13.576428571428572" customWidth="1" bestFit="1"/>
    <col min="30" max="30" style="44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70</v>
      </c>
      <c r="B1" s="58"/>
      <c r="C1" s="2"/>
      <c r="D1" s="45" t="s">
        <v>71</v>
      </c>
      <c r="E1" s="2"/>
      <c r="F1" s="2"/>
      <c r="G1" s="2"/>
      <c r="H1" s="2"/>
      <c r="I1" s="45" t="s">
        <v>145</v>
      </c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  <c r="X1" s="2"/>
      <c r="Y1" s="2"/>
      <c r="Z1" s="3"/>
      <c r="AA1" s="2"/>
      <c r="AB1" s="3"/>
      <c r="AC1" s="2"/>
      <c r="AD1" s="3"/>
      <c r="AE1" s="2"/>
      <c r="AF1" s="3"/>
      <c r="AG1" s="2"/>
      <c r="AH1" s="2"/>
    </row>
    <row x14ac:dyDescent="0.25" r="2" customHeight="1" ht="18.75">
      <c r="A2" s="46"/>
      <c r="B2" s="5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3"/>
      <c r="V2" s="3"/>
      <c r="W2" s="3"/>
      <c r="X2" s="2"/>
      <c r="Y2" s="2"/>
      <c r="Z2" s="3"/>
      <c r="AA2" s="2"/>
      <c r="AB2" s="3"/>
      <c r="AC2" s="2"/>
      <c r="AD2" s="3"/>
      <c r="AE2" s="2"/>
      <c r="AF2" s="3"/>
      <c r="AG2" s="2"/>
      <c r="AH2" s="2"/>
    </row>
    <row x14ac:dyDescent="0.25" r="3" customHeight="1" ht="18.75">
      <c r="A3" s="1" t="s">
        <v>2</v>
      </c>
      <c r="B3" s="5">
        <v>103</v>
      </c>
      <c r="C3" s="7"/>
      <c r="D3" s="7"/>
      <c r="E3" s="45"/>
      <c r="F3" s="90" t="s">
        <v>3</v>
      </c>
      <c r="G3" s="90"/>
      <c r="H3" s="90"/>
      <c r="I3" s="90"/>
      <c r="J3" s="90"/>
      <c r="K3" s="90"/>
      <c r="L3" s="90"/>
      <c r="M3" s="90"/>
      <c r="N3" s="90"/>
      <c r="O3" s="90"/>
      <c r="P3" s="2"/>
      <c r="Q3" s="2"/>
      <c r="R3" s="2"/>
      <c r="S3" s="2"/>
      <c r="T3" s="3"/>
      <c r="U3" s="3"/>
      <c r="V3" s="3"/>
      <c r="W3" s="3"/>
      <c r="X3" s="2"/>
      <c r="Y3" s="2"/>
      <c r="Z3" s="3"/>
      <c r="AA3" s="2"/>
      <c r="AB3" s="3"/>
      <c r="AC3" s="2"/>
      <c r="AD3" s="3"/>
      <c r="AE3" s="2"/>
      <c r="AF3" s="3"/>
      <c r="AG3" s="2"/>
      <c r="AH3" s="2"/>
    </row>
    <row x14ac:dyDescent="0.25" r="4" customHeight="1" ht="18.75">
      <c r="A4" s="1" t="s">
        <v>4</v>
      </c>
      <c r="B4" s="7" t="s">
        <v>176</v>
      </c>
      <c r="C4" s="7"/>
      <c r="D4" s="7"/>
      <c r="E4" s="2"/>
      <c r="F4" s="124" t="s">
        <v>177</v>
      </c>
      <c r="G4" s="92"/>
      <c r="H4" s="92"/>
      <c r="I4" s="92"/>
      <c r="J4" s="92"/>
      <c r="K4" s="92"/>
      <c r="L4" s="92"/>
      <c r="M4" s="92"/>
      <c r="N4" s="92"/>
      <c r="O4" s="125"/>
      <c r="P4" s="2"/>
      <c r="Q4" s="2"/>
      <c r="R4" s="2"/>
      <c r="S4" s="2"/>
      <c r="T4" s="3"/>
      <c r="U4" s="3"/>
      <c r="V4" s="3"/>
      <c r="W4" s="3"/>
      <c r="X4" s="2"/>
      <c r="Y4" s="2"/>
      <c r="Z4" s="3"/>
      <c r="AA4" s="2"/>
      <c r="AB4" s="3"/>
      <c r="AC4" s="2"/>
      <c r="AD4" s="3"/>
      <c r="AE4" s="2"/>
      <c r="AF4" s="3"/>
      <c r="AG4" s="2"/>
      <c r="AH4" s="2"/>
    </row>
    <row x14ac:dyDescent="0.25" r="5" customHeight="1" ht="18.75">
      <c r="A5" s="1" t="s">
        <v>7</v>
      </c>
      <c r="B5" s="7" t="s">
        <v>75</v>
      </c>
      <c r="C5" s="7"/>
      <c r="D5" s="7"/>
      <c r="E5" s="2"/>
      <c r="F5" s="126"/>
      <c r="G5" s="96"/>
      <c r="H5" s="96"/>
      <c r="I5" s="96"/>
      <c r="J5" s="96"/>
      <c r="K5" s="96"/>
      <c r="L5" s="96"/>
      <c r="M5" s="96"/>
      <c r="N5" s="96"/>
      <c r="O5" s="127"/>
      <c r="P5" s="2"/>
      <c r="Q5" s="2"/>
      <c r="R5" s="2"/>
      <c r="S5" s="2"/>
      <c r="T5" s="3"/>
      <c r="U5" s="3"/>
      <c r="V5" s="3"/>
      <c r="W5" s="3"/>
      <c r="X5" s="2"/>
      <c r="Y5" s="2"/>
      <c r="Z5" s="3"/>
      <c r="AA5" s="2"/>
      <c r="AB5" s="3"/>
      <c r="AC5" s="2"/>
      <c r="AD5" s="3"/>
      <c r="AE5" s="2"/>
      <c r="AF5" s="3"/>
      <c r="AG5" s="2"/>
      <c r="AH5" s="2"/>
    </row>
    <row x14ac:dyDescent="0.25" r="6" customHeight="1" ht="18.75">
      <c r="A6" s="46"/>
      <c r="B6" s="5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3"/>
      <c r="V6" s="3"/>
      <c r="W6" s="3"/>
      <c r="X6" s="2"/>
      <c r="Y6" s="2"/>
      <c r="Z6" s="3"/>
      <c r="AA6" s="2"/>
      <c r="AB6" s="3"/>
      <c r="AC6" s="2"/>
      <c r="AD6" s="3"/>
      <c r="AE6" s="2"/>
      <c r="AF6" s="3"/>
      <c r="AG6" s="2"/>
      <c r="AH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128" t="s">
        <v>13</v>
      </c>
      <c r="F7" s="129" t="s">
        <v>14</v>
      </c>
      <c r="G7" s="100" t="s">
        <v>15</v>
      </c>
      <c r="H7" s="100" t="s">
        <v>16</v>
      </c>
      <c r="I7" s="100" t="s">
        <v>17</v>
      </c>
      <c r="J7" s="130" t="s">
        <v>18</v>
      </c>
      <c r="K7" s="101" t="s">
        <v>19</v>
      </c>
      <c r="L7" s="101" t="s">
        <v>20</v>
      </c>
      <c r="M7" s="101" t="s">
        <v>21</v>
      </c>
      <c r="N7" s="131" t="s">
        <v>22</v>
      </c>
      <c r="O7" s="131" t="s">
        <v>23</v>
      </c>
      <c r="P7" s="102" t="s">
        <v>24</v>
      </c>
      <c r="Q7" s="102" t="s">
        <v>25</v>
      </c>
      <c r="R7" s="103" t="s">
        <v>26</v>
      </c>
      <c r="S7" s="132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8" t="s">
        <v>36</v>
      </c>
      <c r="AC7" s="107" t="s">
        <v>37</v>
      </c>
      <c r="AD7" s="108" t="s">
        <v>38</v>
      </c>
      <c r="AE7" s="109" t="s">
        <v>39</v>
      </c>
      <c r="AF7" s="110" t="s">
        <v>40</v>
      </c>
      <c r="AG7" s="112" t="s">
        <v>41</v>
      </c>
      <c r="AH7" s="112" t="s">
        <v>42</v>
      </c>
    </row>
    <row x14ac:dyDescent="0.25" r="8" customHeight="1" ht="18.75">
      <c r="A8" s="30" t="s">
        <v>43</v>
      </c>
      <c r="B8" s="31" t="s">
        <v>178</v>
      </c>
      <c r="C8" s="33" t="s">
        <v>179</v>
      </c>
      <c r="D8" s="33" t="s">
        <v>179</v>
      </c>
      <c r="E8" s="33" t="s">
        <v>179</v>
      </c>
      <c r="F8" s="33" t="s">
        <v>179</v>
      </c>
      <c r="G8" s="33" t="s">
        <v>179</v>
      </c>
      <c r="H8" s="33" t="s">
        <v>179</v>
      </c>
      <c r="I8" s="33" t="s">
        <v>179</v>
      </c>
      <c r="J8" s="33" t="s">
        <v>179</v>
      </c>
      <c r="K8" s="33" t="s">
        <v>179</v>
      </c>
      <c r="L8" s="33" t="s">
        <v>179</v>
      </c>
      <c r="M8" s="33" t="s">
        <v>179</v>
      </c>
      <c r="N8" s="33" t="s">
        <v>179</v>
      </c>
      <c r="O8" s="33" t="s">
        <v>179</v>
      </c>
      <c r="P8" s="31" t="s">
        <v>179</v>
      </c>
      <c r="Q8" s="31" t="s">
        <v>179</v>
      </c>
      <c r="R8" s="31" t="s">
        <v>180</v>
      </c>
      <c r="S8" s="33" t="s">
        <v>179</v>
      </c>
      <c r="T8" s="32"/>
      <c r="U8" s="34" t="s">
        <v>179</v>
      </c>
      <c r="V8" s="32"/>
      <c r="W8" s="32"/>
      <c r="X8" s="33" t="s">
        <v>179</v>
      </c>
      <c r="Y8" s="33" t="s">
        <v>179</v>
      </c>
      <c r="Z8" s="32"/>
      <c r="AA8" s="33" t="s">
        <v>179</v>
      </c>
      <c r="AB8" s="32"/>
      <c r="AC8" s="33" t="s">
        <v>179</v>
      </c>
      <c r="AD8" s="32"/>
      <c r="AE8" s="33" t="s">
        <v>179</v>
      </c>
      <c r="AF8" s="32"/>
      <c r="AG8" s="31" t="s">
        <v>180</v>
      </c>
      <c r="AH8" s="31" t="s">
        <v>180</v>
      </c>
    </row>
    <row x14ac:dyDescent="0.25" r="9" customHeight="1" ht="18.75">
      <c r="A9" s="30" t="s">
        <v>45</v>
      </c>
      <c r="B9" s="31" t="s">
        <v>181</v>
      </c>
      <c r="C9" s="31" t="s">
        <v>182</v>
      </c>
      <c r="D9" s="31" t="s">
        <v>183</v>
      </c>
      <c r="E9" s="31" t="s">
        <v>181</v>
      </c>
      <c r="F9" s="31" t="s">
        <v>181</v>
      </c>
      <c r="G9" s="31" t="s">
        <v>181</v>
      </c>
      <c r="H9" s="31" t="s">
        <v>181</v>
      </c>
      <c r="I9" s="31" t="s">
        <v>181</v>
      </c>
      <c r="J9" s="31" t="s">
        <v>181</v>
      </c>
      <c r="K9" s="31" t="s">
        <v>184</v>
      </c>
      <c r="L9" s="31" t="s">
        <v>184</v>
      </c>
      <c r="M9" s="31" t="s">
        <v>184</v>
      </c>
      <c r="N9" s="31" t="s">
        <v>185</v>
      </c>
      <c r="O9" s="31" t="s">
        <v>181</v>
      </c>
      <c r="P9" s="31" t="s">
        <v>186</v>
      </c>
      <c r="Q9" s="31" t="s">
        <v>186</v>
      </c>
      <c r="R9" s="33" t="s">
        <v>187</v>
      </c>
      <c r="S9" s="31" t="s">
        <v>185</v>
      </c>
      <c r="T9" s="34"/>
      <c r="U9" s="32"/>
      <c r="V9" s="34"/>
      <c r="W9" s="34"/>
      <c r="X9" s="31" t="s">
        <v>181</v>
      </c>
      <c r="Y9" s="31" t="s">
        <v>181</v>
      </c>
      <c r="Z9" s="34"/>
      <c r="AA9" s="31" t="s">
        <v>181</v>
      </c>
      <c r="AB9" s="34"/>
      <c r="AC9" s="31" t="s">
        <v>181</v>
      </c>
      <c r="AD9" s="34"/>
      <c r="AE9" s="119" t="s">
        <v>188</v>
      </c>
      <c r="AF9" s="34"/>
      <c r="AG9" s="31" t="s">
        <v>189</v>
      </c>
      <c r="AH9" s="31" t="s">
        <v>189</v>
      </c>
    </row>
    <row x14ac:dyDescent="0.25" r="10" customHeight="1" ht="18.75">
      <c r="A10" s="35" t="s">
        <v>47</v>
      </c>
      <c r="B10" s="117">
        <v>125</v>
      </c>
      <c r="C10" s="117">
        <v>123</v>
      </c>
      <c r="D10" s="117">
        <v>124</v>
      </c>
      <c r="E10" s="117">
        <v>125</v>
      </c>
      <c r="F10" s="117">
        <v>125</v>
      </c>
      <c r="G10" s="117">
        <v>125</v>
      </c>
      <c r="H10" s="117">
        <v>125</v>
      </c>
      <c r="I10" s="117">
        <v>125</v>
      </c>
      <c r="J10" s="117">
        <v>125</v>
      </c>
      <c r="K10" s="117">
        <v>126</v>
      </c>
      <c r="L10" s="117">
        <v>126</v>
      </c>
      <c r="M10" s="117">
        <v>126</v>
      </c>
      <c r="N10" s="117">
        <v>127</v>
      </c>
      <c r="O10" s="117">
        <v>125</v>
      </c>
      <c r="P10" s="117">
        <v>128</v>
      </c>
      <c r="Q10" s="117">
        <v>128</v>
      </c>
      <c r="R10" s="117">
        <v>81</v>
      </c>
      <c r="S10" s="117">
        <v>127</v>
      </c>
      <c r="T10" s="37"/>
      <c r="U10" s="37"/>
      <c r="V10" s="37"/>
      <c r="W10" s="37"/>
      <c r="X10" s="117">
        <v>125</v>
      </c>
      <c r="Y10" s="117">
        <v>125</v>
      </c>
      <c r="Z10" s="37"/>
      <c r="AA10" s="117">
        <v>125</v>
      </c>
      <c r="AB10" s="37"/>
      <c r="AC10" s="117">
        <v>125</v>
      </c>
      <c r="AD10" s="37"/>
      <c r="AE10" s="117">
        <v>128</v>
      </c>
      <c r="AF10" s="37"/>
      <c r="AG10" s="117">
        <v>82</v>
      </c>
      <c r="AH10" s="117">
        <v>82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1" t="s">
        <v>52</v>
      </c>
      <c r="F11" s="31" t="s">
        <v>52</v>
      </c>
      <c r="G11" s="31" t="s">
        <v>52</v>
      </c>
      <c r="H11" s="31" t="s">
        <v>52</v>
      </c>
      <c r="I11" s="31" t="s">
        <v>52</v>
      </c>
      <c r="J11" s="31" t="s">
        <v>52</v>
      </c>
      <c r="K11" s="31" t="s">
        <v>52</v>
      </c>
      <c r="L11" s="31" t="s">
        <v>52</v>
      </c>
      <c r="M11" s="31" t="s">
        <v>52</v>
      </c>
      <c r="N11" s="31" t="s">
        <v>52</v>
      </c>
      <c r="O11" s="31" t="s">
        <v>52</v>
      </c>
      <c r="P11" s="31" t="s">
        <v>52</v>
      </c>
      <c r="Q11" s="31" t="s">
        <v>52</v>
      </c>
      <c r="R11" s="31" t="s">
        <v>52</v>
      </c>
      <c r="S11" s="31" t="s">
        <v>52</v>
      </c>
      <c r="T11" s="32"/>
      <c r="U11" s="32"/>
      <c r="V11" s="32"/>
      <c r="W11" s="32"/>
      <c r="X11" s="31" t="s">
        <v>52</v>
      </c>
      <c r="Y11" s="31" t="s">
        <v>52</v>
      </c>
      <c r="Z11" s="32"/>
      <c r="AA11" s="31" t="s">
        <v>52</v>
      </c>
      <c r="AB11" s="32"/>
      <c r="AC11" s="31" t="s">
        <v>52</v>
      </c>
      <c r="AD11" s="32"/>
      <c r="AE11" s="31" t="s">
        <v>52</v>
      </c>
      <c r="AF11" s="32"/>
      <c r="AG11" s="31" t="s">
        <v>52</v>
      </c>
      <c r="AH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1" t="s">
        <v>52</v>
      </c>
      <c r="F12" s="31" t="s">
        <v>52</v>
      </c>
      <c r="G12" s="31" t="s">
        <v>52</v>
      </c>
      <c r="H12" s="31" t="s">
        <v>52</v>
      </c>
      <c r="I12" s="31" t="s">
        <v>52</v>
      </c>
      <c r="J12" s="31" t="s">
        <v>52</v>
      </c>
      <c r="K12" s="31" t="s">
        <v>52</v>
      </c>
      <c r="L12" s="31" t="s">
        <v>52</v>
      </c>
      <c r="M12" s="31" t="s">
        <v>52</v>
      </c>
      <c r="N12" s="31" t="s">
        <v>52</v>
      </c>
      <c r="O12" s="31" t="s">
        <v>52</v>
      </c>
      <c r="P12" s="31" t="s">
        <v>52</v>
      </c>
      <c r="Q12" s="31" t="s">
        <v>52</v>
      </c>
      <c r="R12" s="31" t="s">
        <v>52</v>
      </c>
      <c r="S12" s="31" t="s">
        <v>52</v>
      </c>
      <c r="T12" s="32"/>
      <c r="U12" s="32"/>
      <c r="V12" s="32"/>
      <c r="W12" s="32"/>
      <c r="X12" s="31" t="s">
        <v>52</v>
      </c>
      <c r="Y12" s="31" t="s">
        <v>52</v>
      </c>
      <c r="Z12" s="32"/>
      <c r="AA12" s="31" t="s">
        <v>52</v>
      </c>
      <c r="AB12" s="32"/>
      <c r="AC12" s="31" t="s">
        <v>52</v>
      </c>
      <c r="AD12" s="32"/>
      <c r="AE12" s="31" t="s">
        <v>52</v>
      </c>
      <c r="AF12" s="32"/>
      <c r="AG12" s="31" t="s">
        <v>52</v>
      </c>
      <c r="AH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1" t="s">
        <v>49</v>
      </c>
      <c r="F13" s="31" t="s">
        <v>49</v>
      </c>
      <c r="G13" s="31" t="s">
        <v>49</v>
      </c>
      <c r="H13" s="31" t="s">
        <v>49</v>
      </c>
      <c r="I13" s="31" t="s">
        <v>49</v>
      </c>
      <c r="J13" s="31" t="s">
        <v>49</v>
      </c>
      <c r="K13" s="31" t="s">
        <v>49</v>
      </c>
      <c r="L13" s="31" t="s">
        <v>49</v>
      </c>
      <c r="M13" s="31" t="s">
        <v>49</v>
      </c>
      <c r="N13" s="31" t="s">
        <v>49</v>
      </c>
      <c r="O13" s="31" t="s">
        <v>49</v>
      </c>
      <c r="P13" s="31" t="s">
        <v>49</v>
      </c>
      <c r="Q13" s="31" t="s">
        <v>49</v>
      </c>
      <c r="R13" s="31" t="s">
        <v>49</v>
      </c>
      <c r="S13" s="31" t="s">
        <v>49</v>
      </c>
      <c r="T13" s="32"/>
      <c r="U13" s="32"/>
      <c r="V13" s="32"/>
      <c r="W13" s="32"/>
      <c r="X13" s="31" t="s">
        <v>49</v>
      </c>
      <c r="Y13" s="31" t="s">
        <v>49</v>
      </c>
      <c r="Z13" s="32"/>
      <c r="AA13" s="31" t="s">
        <v>49</v>
      </c>
      <c r="AB13" s="32"/>
      <c r="AC13" s="31" t="s">
        <v>49</v>
      </c>
      <c r="AD13" s="32"/>
      <c r="AE13" s="31" t="s">
        <v>162</v>
      </c>
      <c r="AF13" s="32"/>
      <c r="AG13" s="31" t="s">
        <v>49</v>
      </c>
      <c r="AH13" s="31" t="s">
        <v>49</v>
      </c>
    </row>
    <row x14ac:dyDescent="0.25" r="14" customHeight="1" ht="18.75">
      <c r="A14" s="30" t="s">
        <v>126</v>
      </c>
      <c r="B14" s="31" t="s">
        <v>49</v>
      </c>
      <c r="C14" s="31" t="s">
        <v>49</v>
      </c>
      <c r="D14" s="31" t="s">
        <v>49</v>
      </c>
      <c r="E14" s="31" t="s">
        <v>49</v>
      </c>
      <c r="F14" s="31" t="s">
        <v>49</v>
      </c>
      <c r="G14" s="31" t="s">
        <v>49</v>
      </c>
      <c r="H14" s="31" t="s">
        <v>49</v>
      </c>
      <c r="I14" s="31" t="s">
        <v>49</v>
      </c>
      <c r="J14" s="31" t="s">
        <v>49</v>
      </c>
      <c r="K14" s="31" t="s">
        <v>49</v>
      </c>
      <c r="L14" s="31" t="s">
        <v>49</v>
      </c>
      <c r="M14" s="31" t="s">
        <v>49</v>
      </c>
      <c r="N14" s="31" t="s">
        <v>49</v>
      </c>
      <c r="O14" s="31" t="s">
        <v>49</v>
      </c>
      <c r="P14" s="31" t="s">
        <v>49</v>
      </c>
      <c r="Q14" s="31" t="s">
        <v>49</v>
      </c>
      <c r="R14" s="31" t="s">
        <v>49</v>
      </c>
      <c r="S14" s="31" t="s">
        <v>49</v>
      </c>
      <c r="T14" s="32"/>
      <c r="U14" s="32"/>
      <c r="V14" s="32"/>
      <c r="W14" s="32"/>
      <c r="X14" s="31" t="s">
        <v>49</v>
      </c>
      <c r="Y14" s="31" t="s">
        <v>49</v>
      </c>
      <c r="Z14" s="32"/>
      <c r="AA14" s="31" t="s">
        <v>49</v>
      </c>
      <c r="AB14" s="32"/>
      <c r="AC14" s="31" t="s">
        <v>49</v>
      </c>
      <c r="AD14" s="32"/>
      <c r="AE14" s="31" t="s">
        <v>49</v>
      </c>
      <c r="AF14" s="32"/>
      <c r="AG14" s="31" t="s">
        <v>49</v>
      </c>
      <c r="AH14" s="31" t="s">
        <v>49</v>
      </c>
    </row>
    <row x14ac:dyDescent="0.25" r="15" customHeight="1" ht="18.75">
      <c r="A15" s="30" t="s">
        <v>127</v>
      </c>
      <c r="B15" s="31" t="s">
        <v>143</v>
      </c>
      <c r="C15" s="31" t="s">
        <v>190</v>
      </c>
      <c r="D15" s="31" t="s">
        <v>191</v>
      </c>
      <c r="E15" s="31" t="s">
        <v>143</v>
      </c>
      <c r="F15" s="31" t="s">
        <v>143</v>
      </c>
      <c r="G15" s="31" t="s">
        <v>143</v>
      </c>
      <c r="H15" s="31" t="s">
        <v>143</v>
      </c>
      <c r="I15" s="31" t="s">
        <v>143</v>
      </c>
      <c r="J15" s="31" t="s">
        <v>143</v>
      </c>
      <c r="K15" s="31" t="s">
        <v>133</v>
      </c>
      <c r="L15" s="31" t="s">
        <v>133</v>
      </c>
      <c r="M15" s="31" t="s">
        <v>133</v>
      </c>
      <c r="N15" s="31" t="s">
        <v>192</v>
      </c>
      <c r="O15" s="31" t="s">
        <v>143</v>
      </c>
      <c r="P15" s="31" t="s">
        <v>193</v>
      </c>
      <c r="Q15" s="31" t="s">
        <v>193</v>
      </c>
      <c r="R15" s="31" t="s">
        <v>193</v>
      </c>
      <c r="S15" s="31" t="s">
        <v>192</v>
      </c>
      <c r="T15" s="32"/>
      <c r="U15" s="32"/>
      <c r="V15" s="32"/>
      <c r="W15" s="32"/>
      <c r="X15" s="31" t="s">
        <v>143</v>
      </c>
      <c r="Y15" s="31" t="s">
        <v>143</v>
      </c>
      <c r="Z15" s="32"/>
      <c r="AA15" s="31" t="s">
        <v>143</v>
      </c>
      <c r="AB15" s="32"/>
      <c r="AC15" s="31" t="s">
        <v>143</v>
      </c>
      <c r="AD15" s="32"/>
      <c r="AE15" s="31" t="s">
        <v>194</v>
      </c>
      <c r="AF15" s="32"/>
      <c r="AG15" s="31" t="s">
        <v>143</v>
      </c>
      <c r="AH15" s="31" t="s">
        <v>143</v>
      </c>
    </row>
    <row x14ac:dyDescent="0.25" r="16" customHeight="1" ht="18.75">
      <c r="A16" s="30" t="s">
        <v>128</v>
      </c>
      <c r="B16" s="31">
        <v>0.75</v>
      </c>
      <c r="C16" s="31">
        <f>AVERAGE(-4,-4,0.75)</f>
      </c>
      <c r="D16" s="31">
        <v>4.5</v>
      </c>
      <c r="E16" s="31">
        <v>0.75</v>
      </c>
      <c r="F16" s="31">
        <v>0.75</v>
      </c>
      <c r="G16" s="31">
        <v>0.75</v>
      </c>
      <c r="H16" s="31">
        <v>0.75</v>
      </c>
      <c r="I16" s="31">
        <v>0.75</v>
      </c>
      <c r="J16" s="31">
        <v>0.75</v>
      </c>
      <c r="K16" s="31">
        <v>-0.5</v>
      </c>
      <c r="L16" s="31">
        <v>-0.5</v>
      </c>
      <c r="M16" s="31">
        <v>-0.5</v>
      </c>
      <c r="N16" s="31">
        <f>AVERAGE(0.75,0.75,-4)</f>
      </c>
      <c r="O16" s="31">
        <v>0.75</v>
      </c>
      <c r="P16" s="31">
        <v>-4</v>
      </c>
      <c r="Q16" s="31">
        <v>-4</v>
      </c>
      <c r="R16" s="31">
        <v>-4</v>
      </c>
      <c r="S16" s="31">
        <f>AVERAGE(0.75,0.75,-4)</f>
      </c>
      <c r="T16" s="31"/>
      <c r="U16" s="31"/>
      <c r="V16" s="31"/>
      <c r="W16" s="31"/>
      <c r="X16" s="31">
        <v>0.75</v>
      </c>
      <c r="Y16" s="31">
        <v>0.75</v>
      </c>
      <c r="Z16" s="31"/>
      <c r="AA16" s="31">
        <v>0.75</v>
      </c>
      <c r="AB16" s="31"/>
      <c r="AC16" s="31">
        <v>0.75</v>
      </c>
      <c r="AD16" s="31"/>
      <c r="AE16" s="31">
        <f>AVERAGE(-1.25,0.75)</f>
      </c>
      <c r="AF16" s="31"/>
      <c r="AG16" s="31">
        <f>5/3</f>
      </c>
      <c r="AH16" s="31">
        <f>5/3</f>
      </c>
    </row>
    <row x14ac:dyDescent="0.25" r="17" customHeight="1" ht="18.75">
      <c r="A17" s="30" t="s">
        <v>129</v>
      </c>
      <c r="B17" s="31" t="s">
        <v>148</v>
      </c>
      <c r="C17" s="31" t="s">
        <v>195</v>
      </c>
      <c r="D17" s="31" t="s">
        <v>169</v>
      </c>
      <c r="E17" s="31" t="s">
        <v>148</v>
      </c>
      <c r="F17" s="31" t="s">
        <v>148</v>
      </c>
      <c r="G17" s="31" t="s">
        <v>148</v>
      </c>
      <c r="H17" s="31" t="s">
        <v>148</v>
      </c>
      <c r="I17" s="31" t="s">
        <v>148</v>
      </c>
      <c r="J17" s="31" t="s">
        <v>148</v>
      </c>
      <c r="K17" s="31" t="s">
        <v>148</v>
      </c>
      <c r="L17" s="31" t="s">
        <v>148</v>
      </c>
      <c r="M17" s="31" t="s">
        <v>148</v>
      </c>
      <c r="N17" s="31" t="s">
        <v>196</v>
      </c>
      <c r="O17" s="31" t="s">
        <v>148</v>
      </c>
      <c r="P17" s="31" t="s">
        <v>197</v>
      </c>
      <c r="Q17" s="31" t="s">
        <v>197</v>
      </c>
      <c r="R17" s="31" t="s">
        <v>198</v>
      </c>
      <c r="S17" s="31" t="s">
        <v>196</v>
      </c>
      <c r="T17" s="32"/>
      <c r="U17" s="32"/>
      <c r="V17" s="32"/>
      <c r="W17" s="32"/>
      <c r="X17" s="31" t="s">
        <v>148</v>
      </c>
      <c r="Y17" s="31" t="s">
        <v>148</v>
      </c>
      <c r="Z17" s="32"/>
      <c r="AA17" s="31" t="s">
        <v>148</v>
      </c>
      <c r="AB17" s="32"/>
      <c r="AC17" s="31" t="s">
        <v>148</v>
      </c>
      <c r="AD17" s="32"/>
      <c r="AE17" s="133" t="s">
        <v>199</v>
      </c>
      <c r="AF17" s="32"/>
      <c r="AG17" s="31" t="s">
        <v>198</v>
      </c>
      <c r="AH17" s="31" t="s">
        <v>198</v>
      </c>
    </row>
    <row x14ac:dyDescent="0.25" r="18" customHeight="1" ht="18.75">
      <c r="A18" s="30" t="s">
        <v>130</v>
      </c>
      <c r="B18" s="31">
        <f>1.25*1.25</f>
      </c>
      <c r="C18" s="31">
        <f>AVERAGE(2,2,1.25)</f>
      </c>
      <c r="D18" s="31">
        <v>2</v>
      </c>
      <c r="E18" s="31">
        <f>1.25*1.25</f>
      </c>
      <c r="F18" s="31">
        <f>1.25*1.25</f>
      </c>
      <c r="G18" s="31">
        <f>1.25*1.25</f>
      </c>
      <c r="H18" s="31">
        <f>1.25*1.25</f>
      </c>
      <c r="I18" s="31">
        <f>1.25*1.25</f>
      </c>
      <c r="J18" s="31">
        <f>1.25*1.25</f>
      </c>
      <c r="K18" s="31">
        <f>1.25*1.25</f>
      </c>
      <c r="L18" s="31">
        <f>1.25*1.25</f>
      </c>
      <c r="M18" s="31">
        <f>1.25*1.25</f>
      </c>
      <c r="N18" s="31">
        <f>AVERAGE(25/16,25/16,1.25)</f>
      </c>
      <c r="O18" s="31">
        <f>1.25*1.25</f>
      </c>
      <c r="P18" s="31">
        <v>1.75</v>
      </c>
      <c r="Q18" s="31">
        <v>1.75</v>
      </c>
      <c r="R18" s="31">
        <v>1.25</v>
      </c>
      <c r="S18" s="31">
        <f>AVERAGE(25/16,25/16,1.25)</f>
      </c>
      <c r="T18" s="31"/>
      <c r="U18" s="31"/>
      <c r="V18" s="31"/>
      <c r="W18" s="31"/>
      <c r="X18" s="31">
        <f>1.25*1.25</f>
      </c>
      <c r="Y18" s="31">
        <f>1.25*1.25</f>
      </c>
      <c r="Z18" s="31"/>
      <c r="AA18" s="31">
        <f>1.25*1.25</f>
      </c>
      <c r="AB18" s="31"/>
      <c r="AC18" s="31">
        <f>1.25*1.25</f>
      </c>
      <c r="AD18" s="31"/>
      <c r="AE18" s="31">
        <f>AVERAGE(2.5,25/16)</f>
      </c>
      <c r="AF18" s="31"/>
      <c r="AG18" s="31">
        <v>1</v>
      </c>
      <c r="AH18" s="31">
        <v>1</v>
      </c>
    </row>
    <row x14ac:dyDescent="0.25" r="19" customHeight="1" ht="18.75">
      <c r="A19" s="46"/>
      <c r="B19" s="5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/>
      <c r="U19" s="3"/>
      <c r="V19" s="3"/>
      <c r="W19" s="3"/>
      <c r="X19" s="2"/>
      <c r="Y19" s="2"/>
      <c r="Z19" s="3"/>
      <c r="AA19" s="2"/>
      <c r="AB19" s="3"/>
      <c r="AC19" s="2"/>
      <c r="AD19" s="3"/>
      <c r="AE19" s="2"/>
      <c r="AF19" s="3"/>
      <c r="AG19" s="2"/>
      <c r="AH19" s="2"/>
    </row>
    <row x14ac:dyDescent="0.25" r="20" customHeight="1" ht="18.75">
      <c r="A20" s="38" t="s">
        <v>64</v>
      </c>
      <c r="B20" s="5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2"/>
      <c r="Y20" s="2"/>
      <c r="Z20" s="3"/>
      <c r="AA20" s="2"/>
      <c r="AB20" s="3"/>
      <c r="AC20" s="2"/>
      <c r="AD20" s="3"/>
      <c r="AE20" s="2"/>
      <c r="AF20" s="3"/>
      <c r="AG20" s="2"/>
      <c r="AH20" s="2"/>
    </row>
    <row x14ac:dyDescent="0.25" r="21" customHeight="1" ht="18.75">
      <c r="A21" s="30" t="s">
        <v>200</v>
      </c>
      <c r="B21" s="40" t="s">
        <v>201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2"/>
      <c r="Y21" s="2"/>
      <c r="Z21" s="3"/>
      <c r="AA21" s="2"/>
      <c r="AB21" s="3"/>
      <c r="AC21" s="2"/>
      <c r="AD21" s="3"/>
      <c r="AE21" s="2"/>
      <c r="AF21" s="3"/>
      <c r="AG21" s="2"/>
      <c r="AH21" s="2"/>
    </row>
  </sheetData>
  <mergeCells count="5">
    <mergeCell ref="B3:D3"/>
    <mergeCell ref="F3:O3"/>
    <mergeCell ref="B4:D4"/>
    <mergeCell ref="F4:O5"/>
    <mergeCell ref="B5:D5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22"/>
  <sheetViews>
    <sheetView workbookViewId="0"/>
  </sheetViews>
  <sheetFormatPr defaultRowHeight="15" x14ac:dyDescent="0.25"/>
  <cols>
    <col min="1" max="1" style="44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4" width="13.576428571428572" customWidth="1" bestFit="1"/>
    <col min="6" max="6" style="44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3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3" width="13.576428571428572" customWidth="1" bestFit="1"/>
    <col min="25" max="25" style="43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3" width="13.576428571428572" customWidth="1" bestFit="1"/>
    <col min="29" max="29" style="44" width="13.576428571428572" customWidth="1" bestFit="1"/>
    <col min="30" max="30" style="43" width="13.576428571428572" customWidth="1" bestFit="1"/>
    <col min="31" max="31" style="43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3" width="13.576428571428572" customWidth="1" bestFit="1"/>
    <col min="35" max="35" style="44" width="13.576428571428572" customWidth="1" bestFit="1"/>
    <col min="36" max="36" style="44" width="13.576428571428572" customWidth="1" bestFit="1"/>
    <col min="37" max="37" style="43" width="13.576428571428572" customWidth="1" bestFit="1"/>
  </cols>
  <sheetData>
    <row x14ac:dyDescent="0.25" r="1" customHeight="1" ht="18.75">
      <c r="A1" s="1" t="s">
        <v>70</v>
      </c>
      <c r="B1" s="2"/>
      <c r="C1" s="2"/>
      <c r="D1" s="45" t="s">
        <v>71</v>
      </c>
      <c r="E1" s="3"/>
      <c r="F1" s="3"/>
      <c r="G1" s="2"/>
      <c r="H1" s="2"/>
      <c r="I1" s="45" t="s">
        <v>145</v>
      </c>
      <c r="J1" s="3"/>
      <c r="K1" s="2"/>
      <c r="L1" s="2"/>
      <c r="M1" s="2"/>
      <c r="N1" s="3"/>
      <c r="O1" s="3"/>
      <c r="P1" s="2"/>
      <c r="Q1" s="2"/>
      <c r="R1" s="2"/>
      <c r="S1" s="3"/>
      <c r="T1" s="3"/>
      <c r="U1" s="3"/>
      <c r="V1" s="3"/>
      <c r="W1" s="3"/>
      <c r="X1" s="2"/>
      <c r="Y1" s="2"/>
      <c r="Z1" s="3"/>
      <c r="AA1" s="2"/>
      <c r="AB1" s="2"/>
      <c r="AC1" s="3"/>
      <c r="AD1" s="2"/>
      <c r="AE1" s="2"/>
      <c r="AF1" s="3"/>
      <c r="AG1" s="3"/>
      <c r="AH1" s="2"/>
      <c r="AI1" s="3"/>
      <c r="AJ1" s="3"/>
      <c r="AK1" s="2"/>
    </row>
    <row x14ac:dyDescent="0.25" r="2" customHeight="1" ht="18.75">
      <c r="A2" s="3"/>
      <c r="B2" s="2"/>
      <c r="C2" s="2"/>
      <c r="D2" s="2"/>
      <c r="E2" s="3"/>
      <c r="F2" s="3"/>
      <c r="G2" s="2"/>
      <c r="H2" s="2"/>
      <c r="I2" s="2"/>
      <c r="J2" s="3"/>
      <c r="K2" s="2"/>
      <c r="L2" s="2"/>
      <c r="M2" s="2"/>
      <c r="N2" s="3"/>
      <c r="O2" s="3"/>
      <c r="P2" s="2"/>
      <c r="Q2" s="2"/>
      <c r="R2" s="2"/>
      <c r="S2" s="3"/>
      <c r="T2" s="3"/>
      <c r="U2" s="3"/>
      <c r="V2" s="3"/>
      <c r="W2" s="3"/>
      <c r="X2" s="2"/>
      <c r="Y2" s="2"/>
      <c r="Z2" s="3"/>
      <c r="AA2" s="2"/>
      <c r="AB2" s="2"/>
      <c r="AC2" s="3"/>
      <c r="AD2" s="2"/>
      <c r="AE2" s="2"/>
      <c r="AF2" s="3"/>
      <c r="AG2" s="3"/>
      <c r="AH2" s="2"/>
      <c r="AI2" s="3"/>
      <c r="AJ2" s="3"/>
      <c r="AK2" s="2"/>
    </row>
    <row x14ac:dyDescent="0.25" r="3" customHeight="1" ht="18.75">
      <c r="A3" s="1" t="s">
        <v>2</v>
      </c>
      <c r="B3" s="5">
        <v>104</v>
      </c>
      <c r="C3" s="7"/>
      <c r="D3" s="7"/>
      <c r="E3" s="1"/>
      <c r="F3" s="89" t="s">
        <v>3</v>
      </c>
      <c r="G3" s="90"/>
      <c r="H3" s="90"/>
      <c r="I3" s="90"/>
      <c r="J3" s="89"/>
      <c r="K3" s="90"/>
      <c r="L3" s="90"/>
      <c r="M3" s="90"/>
      <c r="N3" s="89"/>
      <c r="O3" s="89"/>
      <c r="P3" s="2"/>
      <c r="Q3" s="2"/>
      <c r="R3" s="2"/>
      <c r="S3" s="3"/>
      <c r="T3" s="3"/>
      <c r="U3" s="3"/>
      <c r="V3" s="3"/>
      <c r="W3" s="3"/>
      <c r="X3" s="2"/>
      <c r="Y3" s="2"/>
      <c r="Z3" s="3"/>
      <c r="AA3" s="2"/>
      <c r="AB3" s="2"/>
      <c r="AC3" s="3"/>
      <c r="AD3" s="2"/>
      <c r="AE3" s="2"/>
      <c r="AF3" s="3"/>
      <c r="AG3" s="3"/>
      <c r="AH3" s="2"/>
      <c r="AI3" s="3"/>
      <c r="AJ3" s="3"/>
      <c r="AK3" s="2"/>
    </row>
    <row x14ac:dyDescent="0.25" r="4" customHeight="1" ht="18.75">
      <c r="A4" s="1" t="s">
        <v>4</v>
      </c>
      <c r="B4" s="7" t="s">
        <v>146</v>
      </c>
      <c r="C4" s="7"/>
      <c r="D4" s="7"/>
      <c r="E4" s="3"/>
      <c r="F4" s="91" t="s">
        <v>147</v>
      </c>
      <c r="G4" s="92"/>
      <c r="H4" s="92"/>
      <c r="I4" s="92"/>
      <c r="J4" s="93"/>
      <c r="K4" s="92"/>
      <c r="L4" s="92"/>
      <c r="M4" s="92"/>
      <c r="N4" s="93"/>
      <c r="O4" s="94"/>
      <c r="P4" s="2"/>
      <c r="Q4" s="2"/>
      <c r="R4" s="2"/>
      <c r="S4" s="3"/>
      <c r="T4" s="3"/>
      <c r="U4" s="3"/>
      <c r="V4" s="3"/>
      <c r="W4" s="3"/>
      <c r="X4" s="2"/>
      <c r="Y4" s="2"/>
      <c r="Z4" s="3"/>
      <c r="AA4" s="2"/>
      <c r="AB4" s="2"/>
      <c r="AC4" s="3"/>
      <c r="AD4" s="2"/>
      <c r="AE4" s="2"/>
      <c r="AF4" s="3"/>
      <c r="AG4" s="3"/>
      <c r="AH4" s="2"/>
      <c r="AI4" s="3"/>
      <c r="AJ4" s="3"/>
      <c r="AK4" s="2"/>
    </row>
    <row x14ac:dyDescent="0.25" r="5" customHeight="1" ht="18.75">
      <c r="A5" s="1" t="s">
        <v>7</v>
      </c>
      <c r="B5" s="7" t="s">
        <v>75</v>
      </c>
      <c r="C5" s="7"/>
      <c r="D5" s="7"/>
      <c r="E5" s="3"/>
      <c r="F5" s="95"/>
      <c r="G5" s="96"/>
      <c r="H5" s="96"/>
      <c r="I5" s="96"/>
      <c r="J5" s="97"/>
      <c r="K5" s="96"/>
      <c r="L5" s="96"/>
      <c r="M5" s="96"/>
      <c r="N5" s="97"/>
      <c r="O5" s="98"/>
      <c r="P5" s="2"/>
      <c r="Q5" s="2"/>
      <c r="R5" s="2"/>
      <c r="S5" s="3"/>
      <c r="T5" s="3"/>
      <c r="U5" s="3"/>
      <c r="V5" s="3"/>
      <c r="W5" s="3"/>
      <c r="X5" s="2"/>
      <c r="Y5" s="2"/>
      <c r="Z5" s="3"/>
      <c r="AA5" s="2"/>
      <c r="AB5" s="2"/>
      <c r="AC5" s="3"/>
      <c r="AD5" s="2"/>
      <c r="AE5" s="2"/>
      <c r="AF5" s="3"/>
      <c r="AG5" s="3"/>
      <c r="AH5" s="2"/>
      <c r="AI5" s="3"/>
      <c r="AJ5" s="3"/>
      <c r="AK5" s="2"/>
    </row>
    <row x14ac:dyDescent="0.25" r="6" customHeight="1" ht="18.75">
      <c r="A6" s="3"/>
      <c r="B6" s="2"/>
      <c r="C6" s="2"/>
      <c r="D6" s="2"/>
      <c r="E6" s="3"/>
      <c r="F6" s="3"/>
      <c r="G6" s="2"/>
      <c r="H6" s="2"/>
      <c r="I6" s="2"/>
      <c r="J6" s="3"/>
      <c r="K6" s="2"/>
      <c r="L6" s="2"/>
      <c r="M6" s="2"/>
      <c r="N6" s="3"/>
      <c r="O6" s="3"/>
      <c r="P6" s="2"/>
      <c r="Q6" s="2"/>
      <c r="R6" s="2"/>
      <c r="S6" s="3"/>
      <c r="T6" s="3"/>
      <c r="U6" s="3"/>
      <c r="V6" s="3"/>
      <c r="W6" s="3"/>
      <c r="X6" s="2"/>
      <c r="Y6" s="2"/>
      <c r="Z6" s="3"/>
      <c r="AA6" s="2"/>
      <c r="AB6" s="2"/>
      <c r="AC6" s="3"/>
      <c r="AD6" s="2"/>
      <c r="AE6" s="2"/>
      <c r="AF6" s="3"/>
      <c r="AG6" s="3"/>
      <c r="AH6" s="2"/>
      <c r="AI6" s="3"/>
      <c r="AJ6" s="3"/>
      <c r="AK6" s="2"/>
    </row>
    <row x14ac:dyDescent="0.25" r="7" customHeight="1" ht="18.75">
      <c r="A7" s="10" t="s">
        <v>9</v>
      </c>
      <c r="B7" s="64" t="s">
        <v>10</v>
      </c>
      <c r="C7" s="99" t="s">
        <v>11</v>
      </c>
      <c r="D7" s="99" t="s">
        <v>12</v>
      </c>
      <c r="E7" s="66" t="s">
        <v>13</v>
      </c>
      <c r="F7" s="67" t="s">
        <v>14</v>
      </c>
      <c r="G7" s="100" t="s">
        <v>15</v>
      </c>
      <c r="H7" s="100" t="s">
        <v>16</v>
      </c>
      <c r="I7" s="100" t="s">
        <v>17</v>
      </c>
      <c r="J7" s="70" t="s">
        <v>18</v>
      </c>
      <c r="K7" s="101" t="s">
        <v>19</v>
      </c>
      <c r="L7" s="101" t="s">
        <v>20</v>
      </c>
      <c r="M7" s="101" t="s">
        <v>21</v>
      </c>
      <c r="N7" s="72" t="s">
        <v>22</v>
      </c>
      <c r="O7" s="72" t="s">
        <v>23</v>
      </c>
      <c r="P7" s="102" t="s">
        <v>24</v>
      </c>
      <c r="Q7" s="102" t="s">
        <v>25</v>
      </c>
      <c r="R7" s="103" t="s">
        <v>26</v>
      </c>
      <c r="S7" s="75" t="s">
        <v>27</v>
      </c>
      <c r="T7" s="76" t="s">
        <v>28</v>
      </c>
      <c r="U7" s="76" t="s">
        <v>29</v>
      </c>
      <c r="V7" s="77" t="s">
        <v>30</v>
      </c>
      <c r="W7" s="77" t="s">
        <v>31</v>
      </c>
      <c r="X7" s="104" t="s">
        <v>32</v>
      </c>
      <c r="Y7" s="104" t="s">
        <v>33</v>
      </c>
      <c r="Z7" s="105" t="s">
        <v>34</v>
      </c>
      <c r="AA7" s="106" t="s">
        <v>35</v>
      </c>
      <c r="AB7" s="107" t="s">
        <v>36</v>
      </c>
      <c r="AC7" s="108" t="s">
        <v>37</v>
      </c>
      <c r="AD7" s="107" t="s">
        <v>38</v>
      </c>
      <c r="AE7" s="109" t="s">
        <v>39</v>
      </c>
      <c r="AF7" s="110" t="s">
        <v>40</v>
      </c>
      <c r="AG7" s="111" t="s">
        <v>41</v>
      </c>
      <c r="AH7" s="112" t="s">
        <v>42</v>
      </c>
      <c r="AI7" s="3"/>
      <c r="AJ7" s="111" t="s">
        <v>41</v>
      </c>
      <c r="AK7" s="112" t="s">
        <v>42</v>
      </c>
    </row>
    <row x14ac:dyDescent="0.25" r="8" customHeight="1" ht="18.75">
      <c r="A8" s="30" t="s">
        <v>43</v>
      </c>
      <c r="B8" s="31" t="s">
        <v>148</v>
      </c>
      <c r="C8" s="31" t="s">
        <v>149</v>
      </c>
      <c r="D8" s="31" t="s">
        <v>149</v>
      </c>
      <c r="E8" s="34"/>
      <c r="F8" s="34"/>
      <c r="G8" s="31" t="s">
        <v>150</v>
      </c>
      <c r="H8" s="31" t="s">
        <v>150</v>
      </c>
      <c r="I8" s="31" t="s">
        <v>150</v>
      </c>
      <c r="J8" s="32"/>
      <c r="K8" s="33" t="s">
        <v>150</v>
      </c>
      <c r="L8" s="33" t="s">
        <v>150</v>
      </c>
      <c r="M8" s="33" t="s">
        <v>150</v>
      </c>
      <c r="N8" s="32"/>
      <c r="O8" s="32"/>
      <c r="P8" s="33" t="s">
        <v>151</v>
      </c>
      <c r="Q8" s="33" t="s">
        <v>151</v>
      </c>
      <c r="R8" s="113" t="s">
        <v>149</v>
      </c>
      <c r="S8" s="32"/>
      <c r="T8" s="32"/>
      <c r="U8" s="32"/>
      <c r="V8" s="32"/>
      <c r="W8" s="32"/>
      <c r="X8" s="31" t="s">
        <v>152</v>
      </c>
      <c r="Y8" s="31" t="s">
        <v>152</v>
      </c>
      <c r="Z8" s="32"/>
      <c r="AA8" s="114" t="s">
        <v>150</v>
      </c>
      <c r="AB8" s="31" t="s">
        <v>153</v>
      </c>
      <c r="AC8" s="115" t="s">
        <v>150</v>
      </c>
      <c r="AD8" s="31" t="s">
        <v>152</v>
      </c>
      <c r="AE8" s="31" t="s">
        <v>154</v>
      </c>
      <c r="AF8" s="32"/>
      <c r="AG8" s="32"/>
      <c r="AH8" s="31" t="s">
        <v>149</v>
      </c>
      <c r="AI8" s="3"/>
      <c r="AJ8" s="32"/>
      <c r="AK8" s="31" t="s">
        <v>68</v>
      </c>
    </row>
    <row x14ac:dyDescent="0.25" r="9" customHeight="1" ht="18.75">
      <c r="A9" s="30" t="s">
        <v>45</v>
      </c>
      <c r="B9" s="31" t="s">
        <v>155</v>
      </c>
      <c r="C9" s="31" t="s">
        <v>156</v>
      </c>
      <c r="D9" s="31" t="s">
        <v>149</v>
      </c>
      <c r="E9" s="34"/>
      <c r="F9" s="34"/>
      <c r="G9" s="31" t="s">
        <v>157</v>
      </c>
      <c r="H9" s="31" t="s">
        <v>158</v>
      </c>
      <c r="I9" s="31" t="s">
        <v>158</v>
      </c>
      <c r="J9" s="34"/>
      <c r="K9" s="33" t="s">
        <v>159</v>
      </c>
      <c r="L9" s="33" t="s">
        <v>159</v>
      </c>
      <c r="M9" s="33" t="s">
        <v>159</v>
      </c>
      <c r="N9" s="34"/>
      <c r="O9" s="34"/>
      <c r="P9" s="31" t="s">
        <v>149</v>
      </c>
      <c r="Q9" s="31" t="s">
        <v>149</v>
      </c>
      <c r="R9" s="31" t="s">
        <v>149</v>
      </c>
      <c r="S9" s="34"/>
      <c r="T9" s="34"/>
      <c r="U9" s="34"/>
      <c r="V9" s="34"/>
      <c r="W9" s="34"/>
      <c r="X9" s="113" t="s">
        <v>160</v>
      </c>
      <c r="Y9" s="113" t="s">
        <v>160</v>
      </c>
      <c r="Z9" s="34"/>
      <c r="AA9" s="116" t="s">
        <v>150</v>
      </c>
      <c r="AB9" s="33" t="s">
        <v>161</v>
      </c>
      <c r="AC9" s="34"/>
      <c r="AD9" s="33" t="s">
        <v>160</v>
      </c>
      <c r="AE9" s="33" t="s">
        <v>160</v>
      </c>
      <c r="AF9" s="34"/>
      <c r="AG9" s="32"/>
      <c r="AH9" s="33" t="s">
        <v>149</v>
      </c>
      <c r="AI9" s="3"/>
      <c r="AJ9" s="32"/>
      <c r="AK9" s="31" t="s">
        <v>132</v>
      </c>
    </row>
    <row x14ac:dyDescent="0.25" r="10" customHeight="1" ht="18.75">
      <c r="A10" s="35" t="s">
        <v>47</v>
      </c>
      <c r="B10" s="117">
        <v>249</v>
      </c>
      <c r="C10" s="117">
        <v>87</v>
      </c>
      <c r="D10" s="117">
        <v>85</v>
      </c>
      <c r="E10" s="37"/>
      <c r="F10" s="37"/>
      <c r="G10" s="117">
        <v>252</v>
      </c>
      <c r="H10" s="117">
        <v>61</v>
      </c>
      <c r="I10" s="117">
        <v>61</v>
      </c>
      <c r="J10" s="37"/>
      <c r="K10" s="117">
        <v>86</v>
      </c>
      <c r="L10" s="117">
        <v>86</v>
      </c>
      <c r="M10" s="117">
        <v>86</v>
      </c>
      <c r="N10" s="37"/>
      <c r="O10" s="37"/>
      <c r="P10" s="117">
        <v>85</v>
      </c>
      <c r="Q10" s="117">
        <v>85</v>
      </c>
      <c r="R10" s="117">
        <v>85</v>
      </c>
      <c r="S10" s="37"/>
      <c r="T10" s="37"/>
      <c r="U10" s="37"/>
      <c r="V10" s="37"/>
      <c r="W10" s="37"/>
      <c r="X10" s="117">
        <v>201</v>
      </c>
      <c r="Y10" s="117">
        <v>201</v>
      </c>
      <c r="Z10" s="37"/>
      <c r="AA10" s="117">
        <v>243</v>
      </c>
      <c r="AB10" s="117">
        <v>241</v>
      </c>
      <c r="AC10" s="37"/>
      <c r="AD10" s="117">
        <v>201</v>
      </c>
      <c r="AE10" s="117">
        <v>201</v>
      </c>
      <c r="AF10" s="37"/>
      <c r="AG10" s="37"/>
      <c r="AH10" s="117">
        <v>85</v>
      </c>
      <c r="AI10" s="3"/>
      <c r="AJ10" s="37"/>
      <c r="AK10" s="117">
        <v>98</v>
      </c>
    </row>
    <row x14ac:dyDescent="0.25" r="11" customHeight="1" ht="18.75">
      <c r="A11" s="30" t="s">
        <v>123</v>
      </c>
      <c r="B11" s="31" t="s">
        <v>52</v>
      </c>
      <c r="C11" s="31" t="s">
        <v>52</v>
      </c>
      <c r="D11" s="31" t="s">
        <v>52</v>
      </c>
      <c r="E11" s="32"/>
      <c r="F11" s="32"/>
      <c r="G11" s="31" t="s">
        <v>52</v>
      </c>
      <c r="H11" s="31" t="s">
        <v>52</v>
      </c>
      <c r="I11" s="31" t="s">
        <v>52</v>
      </c>
      <c r="J11" s="32"/>
      <c r="K11" s="31" t="s">
        <v>52</v>
      </c>
      <c r="L11" s="31" t="s">
        <v>52</v>
      </c>
      <c r="M11" s="31" t="s">
        <v>52</v>
      </c>
      <c r="N11" s="32"/>
      <c r="O11" s="32"/>
      <c r="P11" s="31" t="s">
        <v>52</v>
      </c>
      <c r="Q11" s="31" t="s">
        <v>52</v>
      </c>
      <c r="R11" s="31" t="s">
        <v>52</v>
      </c>
      <c r="S11" s="32"/>
      <c r="T11" s="32"/>
      <c r="U11" s="32"/>
      <c r="V11" s="32"/>
      <c r="W11" s="32"/>
      <c r="X11" s="114" t="s">
        <v>52</v>
      </c>
      <c r="Y11" s="114" t="s">
        <v>52</v>
      </c>
      <c r="Z11" s="32"/>
      <c r="AA11" s="114" t="s">
        <v>52</v>
      </c>
      <c r="AB11" s="31" t="s">
        <v>52</v>
      </c>
      <c r="AC11" s="34"/>
      <c r="AD11" s="114" t="s">
        <v>52</v>
      </c>
      <c r="AE11" s="114" t="s">
        <v>52</v>
      </c>
      <c r="AF11" s="32"/>
      <c r="AG11" s="32"/>
      <c r="AH11" s="31" t="s">
        <v>52</v>
      </c>
      <c r="AI11" s="3"/>
      <c r="AJ11" s="32"/>
      <c r="AK11" s="31" t="s">
        <v>52</v>
      </c>
    </row>
    <row x14ac:dyDescent="0.25" r="12" customHeight="1" ht="18.75">
      <c r="A12" s="30" t="s">
        <v>124</v>
      </c>
      <c r="B12" s="31" t="s">
        <v>52</v>
      </c>
      <c r="C12" s="31" t="s">
        <v>52</v>
      </c>
      <c r="D12" s="31" t="s">
        <v>52</v>
      </c>
      <c r="E12" s="32"/>
      <c r="F12" s="32"/>
      <c r="G12" s="31" t="s">
        <v>52</v>
      </c>
      <c r="H12" s="31" t="s">
        <v>52</v>
      </c>
      <c r="I12" s="31" t="s">
        <v>52</v>
      </c>
      <c r="J12" s="32"/>
      <c r="K12" s="31" t="s">
        <v>52</v>
      </c>
      <c r="L12" s="31" t="s">
        <v>52</v>
      </c>
      <c r="M12" s="31" t="s">
        <v>52</v>
      </c>
      <c r="N12" s="32"/>
      <c r="O12" s="32"/>
      <c r="P12" s="31" t="s">
        <v>52</v>
      </c>
      <c r="Q12" s="31" t="s">
        <v>52</v>
      </c>
      <c r="R12" s="31" t="s">
        <v>52</v>
      </c>
      <c r="S12" s="32"/>
      <c r="T12" s="32"/>
      <c r="U12" s="32"/>
      <c r="V12" s="32"/>
      <c r="W12" s="32"/>
      <c r="X12" s="114" t="s">
        <v>52</v>
      </c>
      <c r="Y12" s="114" t="s">
        <v>52</v>
      </c>
      <c r="Z12" s="32"/>
      <c r="AA12" s="114" t="s">
        <v>52</v>
      </c>
      <c r="AB12" s="31" t="s">
        <v>52</v>
      </c>
      <c r="AC12" s="32"/>
      <c r="AD12" s="114" t="s">
        <v>52</v>
      </c>
      <c r="AE12" s="114" t="s">
        <v>52</v>
      </c>
      <c r="AF12" s="32"/>
      <c r="AG12" s="32"/>
      <c r="AH12" s="31" t="s">
        <v>52</v>
      </c>
      <c r="AI12" s="3"/>
      <c r="AJ12" s="32"/>
      <c r="AK12" s="31" t="s">
        <v>52</v>
      </c>
    </row>
    <row x14ac:dyDescent="0.25" r="13" customHeight="1" ht="18.75">
      <c r="A13" s="30" t="s">
        <v>125</v>
      </c>
      <c r="B13" s="31" t="s">
        <v>49</v>
      </c>
      <c r="C13" s="31" t="s">
        <v>49</v>
      </c>
      <c r="D13" s="31" t="s">
        <v>49</v>
      </c>
      <c r="E13" s="32"/>
      <c r="F13" s="32"/>
      <c r="G13" s="31" t="s">
        <v>49</v>
      </c>
      <c r="H13" s="31" t="s">
        <v>49</v>
      </c>
      <c r="I13" s="31" t="s">
        <v>49</v>
      </c>
      <c r="J13" s="32"/>
      <c r="K13" s="31" t="s">
        <v>49</v>
      </c>
      <c r="L13" s="31" t="s">
        <v>49</v>
      </c>
      <c r="M13" s="31" t="s">
        <v>49</v>
      </c>
      <c r="N13" s="32"/>
      <c r="O13" s="32"/>
      <c r="P13" s="31" t="s">
        <v>49</v>
      </c>
      <c r="Q13" s="31" t="s">
        <v>49</v>
      </c>
      <c r="R13" s="31" t="s">
        <v>49</v>
      </c>
      <c r="S13" s="32"/>
      <c r="T13" s="32"/>
      <c r="U13" s="32"/>
      <c r="V13" s="32"/>
      <c r="W13" s="32"/>
      <c r="X13" s="114" t="s">
        <v>49</v>
      </c>
      <c r="Y13" s="114" t="s">
        <v>49</v>
      </c>
      <c r="Z13" s="32"/>
      <c r="AA13" s="114" t="s">
        <v>49</v>
      </c>
      <c r="AB13" s="31" t="s">
        <v>49</v>
      </c>
      <c r="AC13" s="32"/>
      <c r="AD13" s="114" t="s">
        <v>49</v>
      </c>
      <c r="AE13" s="114" t="s">
        <v>49</v>
      </c>
      <c r="AF13" s="32"/>
      <c r="AG13" s="32"/>
      <c r="AH13" s="31" t="s">
        <v>49</v>
      </c>
      <c r="AI13" s="3"/>
      <c r="AJ13" s="32"/>
      <c r="AK13" s="31" t="s">
        <v>49</v>
      </c>
    </row>
    <row x14ac:dyDescent="0.25" r="14" customHeight="1" ht="18.75">
      <c r="A14" s="30" t="s">
        <v>126</v>
      </c>
      <c r="B14" s="31" t="s">
        <v>52</v>
      </c>
      <c r="C14" s="31" t="s">
        <v>52</v>
      </c>
      <c r="D14" s="31" t="s">
        <v>52</v>
      </c>
      <c r="E14" s="32"/>
      <c r="F14" s="32"/>
      <c r="G14" s="31" t="s">
        <v>162</v>
      </c>
      <c r="H14" s="31" t="s">
        <v>49</v>
      </c>
      <c r="I14" s="31" t="s">
        <v>49</v>
      </c>
      <c r="J14" s="32"/>
      <c r="K14" s="31" t="s">
        <v>52</v>
      </c>
      <c r="L14" s="31" t="s">
        <v>52</v>
      </c>
      <c r="M14" s="31" t="s">
        <v>52</v>
      </c>
      <c r="N14" s="32"/>
      <c r="O14" s="32"/>
      <c r="P14" s="31" t="s">
        <v>52</v>
      </c>
      <c r="Q14" s="31" t="s">
        <v>52</v>
      </c>
      <c r="R14" s="31" t="s">
        <v>52</v>
      </c>
      <c r="S14" s="32"/>
      <c r="T14" s="32"/>
      <c r="U14" s="32"/>
      <c r="V14" s="32"/>
      <c r="W14" s="32"/>
      <c r="X14" s="114" t="s">
        <v>49</v>
      </c>
      <c r="Y14" s="114" t="s">
        <v>49</v>
      </c>
      <c r="Z14" s="32"/>
      <c r="AA14" s="114" t="s">
        <v>52</v>
      </c>
      <c r="AB14" s="31" t="s">
        <v>52</v>
      </c>
      <c r="AC14" s="32"/>
      <c r="AD14" s="114" t="s">
        <v>49</v>
      </c>
      <c r="AE14" s="114" t="s">
        <v>49</v>
      </c>
      <c r="AF14" s="32"/>
      <c r="AG14" s="32"/>
      <c r="AH14" s="31" t="s">
        <v>52</v>
      </c>
      <c r="AI14" s="3"/>
      <c r="AJ14" s="32"/>
      <c r="AK14" s="31" t="s">
        <v>49</v>
      </c>
    </row>
    <row x14ac:dyDescent="0.25" r="15" customHeight="1" ht="18.75">
      <c r="A15" s="30" t="s">
        <v>127</v>
      </c>
      <c r="B15" s="31" t="s">
        <v>163</v>
      </c>
      <c r="C15" s="33" t="s">
        <v>164</v>
      </c>
      <c r="D15" s="33" t="s">
        <v>143</v>
      </c>
      <c r="E15" s="32"/>
      <c r="F15" s="32"/>
      <c r="G15" s="31" t="s">
        <v>133</v>
      </c>
      <c r="H15" s="31" t="s">
        <v>133</v>
      </c>
      <c r="I15" s="31" t="s">
        <v>133</v>
      </c>
      <c r="J15" s="32"/>
      <c r="K15" s="31" t="s">
        <v>133</v>
      </c>
      <c r="L15" s="31" t="s">
        <v>133</v>
      </c>
      <c r="M15" s="31" t="s">
        <v>133</v>
      </c>
      <c r="N15" s="32"/>
      <c r="O15" s="32"/>
      <c r="P15" s="31" t="s">
        <v>143</v>
      </c>
      <c r="Q15" s="31" t="s">
        <v>143</v>
      </c>
      <c r="R15" s="31" t="s">
        <v>143</v>
      </c>
      <c r="S15" s="32"/>
      <c r="T15" s="32"/>
      <c r="U15" s="32"/>
      <c r="V15" s="32"/>
      <c r="W15" s="32"/>
      <c r="X15" s="31" t="s">
        <v>133</v>
      </c>
      <c r="Y15" s="31" t="s">
        <v>133</v>
      </c>
      <c r="Z15" s="32"/>
      <c r="AA15" s="114" t="s">
        <v>143</v>
      </c>
      <c r="AB15" s="31" t="s">
        <v>165</v>
      </c>
      <c r="AC15" s="32"/>
      <c r="AD15" s="31" t="s">
        <v>133</v>
      </c>
      <c r="AE15" s="31" t="s">
        <v>133</v>
      </c>
      <c r="AF15" s="32"/>
      <c r="AG15" s="32"/>
      <c r="AH15" s="31" t="s">
        <v>143</v>
      </c>
      <c r="AI15" s="3"/>
      <c r="AJ15" s="32"/>
      <c r="AK15" s="31" t="s">
        <v>133</v>
      </c>
    </row>
    <row x14ac:dyDescent="0.25" r="16" customHeight="1" ht="18.75">
      <c r="A16" s="30" t="s">
        <v>128</v>
      </c>
      <c r="B16" s="31">
        <f>AVERAGE(0.75,-1.25)</f>
      </c>
      <c r="C16" s="31">
        <f>-7/6</f>
      </c>
      <c r="D16" s="31">
        <v>0.75</v>
      </c>
      <c r="E16" s="31"/>
      <c r="F16" s="31"/>
      <c r="G16" s="31">
        <v>-2</v>
      </c>
      <c r="H16" s="31">
        <v>-2</v>
      </c>
      <c r="I16" s="31">
        <v>-2</v>
      </c>
      <c r="J16" s="31"/>
      <c r="K16" s="31">
        <v>0</v>
      </c>
      <c r="L16" s="31">
        <v>0</v>
      </c>
      <c r="M16" s="31">
        <v>0</v>
      </c>
      <c r="N16" s="31"/>
      <c r="O16" s="31"/>
      <c r="P16" s="31">
        <v>0.75</v>
      </c>
      <c r="Q16" s="31">
        <v>0.75</v>
      </c>
      <c r="R16" s="31">
        <v>0.75</v>
      </c>
      <c r="S16" s="31"/>
      <c r="T16" s="31"/>
      <c r="U16" s="31"/>
      <c r="V16" s="31"/>
      <c r="W16" s="31"/>
      <c r="X16" s="31">
        <v>-1.25</v>
      </c>
      <c r="Y16" s="31">
        <v>-1.25</v>
      </c>
      <c r="Z16" s="31"/>
      <c r="AA16" s="114">
        <v>0.75</v>
      </c>
      <c r="AB16" s="31">
        <f>AVERAGE(0.75,0.75,0)</f>
      </c>
      <c r="AC16" s="31"/>
      <c r="AD16" s="31">
        <v>-1.25</v>
      </c>
      <c r="AE16" s="31">
        <v>-1.25</v>
      </c>
      <c r="AF16" s="31"/>
      <c r="AG16" s="31"/>
      <c r="AH16" s="31">
        <v>0.75</v>
      </c>
      <c r="AI16" s="3"/>
      <c r="AJ16" s="31"/>
      <c r="AK16" s="31">
        <v>-2</v>
      </c>
    </row>
    <row x14ac:dyDescent="0.25" r="17" customHeight="1" ht="18.75">
      <c r="A17" s="30" t="s">
        <v>129</v>
      </c>
      <c r="B17" s="118" t="s">
        <v>166</v>
      </c>
      <c r="C17" s="31" t="s">
        <v>167</v>
      </c>
      <c r="D17" s="31" t="s">
        <v>167</v>
      </c>
      <c r="E17" s="32"/>
      <c r="F17" s="32"/>
      <c r="G17" s="119" t="s">
        <v>168</v>
      </c>
      <c r="H17" s="31" t="s">
        <v>169</v>
      </c>
      <c r="I17" s="31" t="s">
        <v>169</v>
      </c>
      <c r="J17" s="32"/>
      <c r="K17" s="31" t="s">
        <v>167</v>
      </c>
      <c r="L17" s="31" t="s">
        <v>167</v>
      </c>
      <c r="M17" s="31" t="s">
        <v>167</v>
      </c>
      <c r="N17" s="32"/>
      <c r="O17" s="32"/>
      <c r="P17" s="31" t="s">
        <v>167</v>
      </c>
      <c r="Q17" s="31" t="s">
        <v>167</v>
      </c>
      <c r="R17" s="31" t="s">
        <v>167</v>
      </c>
      <c r="S17" s="32"/>
      <c r="T17" s="32"/>
      <c r="U17" s="32"/>
      <c r="V17" s="32"/>
      <c r="W17" s="32"/>
      <c r="X17" s="31" t="s">
        <v>170</v>
      </c>
      <c r="Y17" s="31" t="s">
        <v>170</v>
      </c>
      <c r="Z17" s="32"/>
      <c r="AA17" s="118" t="s">
        <v>166</v>
      </c>
      <c r="AB17" s="118" t="s">
        <v>166</v>
      </c>
      <c r="AC17" s="32"/>
      <c r="AD17" s="31" t="s">
        <v>170</v>
      </c>
      <c r="AE17" s="31" t="s">
        <v>170</v>
      </c>
      <c r="AF17" s="32"/>
      <c r="AG17" s="32"/>
      <c r="AH17" s="31" t="s">
        <v>167</v>
      </c>
      <c r="AI17" s="3"/>
      <c r="AJ17" s="32"/>
      <c r="AK17" s="31" t="s">
        <v>134</v>
      </c>
    </row>
    <row x14ac:dyDescent="0.25" r="18" customHeight="1" ht="18.75">
      <c r="A18" s="30" t="s">
        <v>130</v>
      </c>
      <c r="B18" s="31">
        <v>0.9375</v>
      </c>
      <c r="C18" s="31">
        <v>0.75</v>
      </c>
      <c r="D18" s="31">
        <v>0.75</v>
      </c>
      <c r="E18" s="31"/>
      <c r="F18" s="31"/>
      <c r="G18" s="31">
        <f>AVERAGE(0.75,2)</f>
      </c>
      <c r="H18" s="31">
        <v>2</v>
      </c>
      <c r="I18" s="31">
        <v>2</v>
      </c>
      <c r="J18" s="31"/>
      <c r="K18" s="31">
        <v>0.75</v>
      </c>
      <c r="L18" s="31">
        <v>0.75</v>
      </c>
      <c r="M18" s="31">
        <v>0.75</v>
      </c>
      <c r="N18" s="31"/>
      <c r="O18" s="31"/>
      <c r="P18" s="31">
        <v>0.75</v>
      </c>
      <c r="Q18" s="31">
        <v>0.75</v>
      </c>
      <c r="R18" s="31">
        <v>0.75</v>
      </c>
      <c r="S18" s="31"/>
      <c r="T18" s="31"/>
      <c r="U18" s="31"/>
      <c r="V18" s="31"/>
      <c r="W18" s="31"/>
      <c r="X18" s="31">
        <v>5</v>
      </c>
      <c r="Y18" s="31">
        <v>5</v>
      </c>
      <c r="Z18" s="31"/>
      <c r="AA18" s="31">
        <f>0.75*1.25</f>
      </c>
      <c r="AB18" s="31">
        <f>0.75*1.25</f>
      </c>
      <c r="AC18" s="31"/>
      <c r="AD18" s="31">
        <v>5</v>
      </c>
      <c r="AE18" s="31">
        <v>5</v>
      </c>
      <c r="AF18" s="31"/>
      <c r="AG18" s="31"/>
      <c r="AH18" s="31">
        <v>0.75</v>
      </c>
      <c r="AI18" s="3"/>
      <c r="AJ18" s="31"/>
      <c r="AK18" s="31">
        <f>1/3</f>
      </c>
    </row>
    <row x14ac:dyDescent="0.25" r="19" customHeight="1" ht="18.75">
      <c r="A19" s="3"/>
      <c r="B19" s="2"/>
      <c r="C19" s="2"/>
      <c r="D19" s="2"/>
      <c r="E19" s="3"/>
      <c r="F19" s="3"/>
      <c r="G19" s="2"/>
      <c r="H19" s="2"/>
      <c r="I19" s="2"/>
      <c r="J19" s="3"/>
      <c r="K19" s="2"/>
      <c r="L19" s="2"/>
      <c r="M19" s="2"/>
      <c r="N19" s="3"/>
      <c r="O19" s="3"/>
      <c r="P19" s="2"/>
      <c r="Q19" s="2"/>
      <c r="R19" s="2"/>
      <c r="S19" s="3"/>
      <c r="T19" s="3"/>
      <c r="U19" s="3"/>
      <c r="V19" s="3"/>
      <c r="W19" s="3"/>
      <c r="X19" s="2"/>
      <c r="Y19" s="2"/>
      <c r="Z19" s="3"/>
      <c r="AA19" s="2"/>
      <c r="AB19" s="2"/>
      <c r="AC19" s="3"/>
      <c r="AD19" s="2"/>
      <c r="AE19" s="2"/>
      <c r="AF19" s="3"/>
      <c r="AG19" s="120" t="s">
        <v>171</v>
      </c>
      <c r="AH19" s="121"/>
      <c r="AI19" s="3"/>
      <c r="AJ19" s="120" t="s">
        <v>172</v>
      </c>
      <c r="AK19" s="121"/>
    </row>
    <row x14ac:dyDescent="0.25" r="20" customHeight="1" ht="18.75">
      <c r="A20" s="38" t="s">
        <v>64</v>
      </c>
      <c r="B20" s="2"/>
      <c r="C20" s="2"/>
      <c r="D20" s="2"/>
      <c r="E20" s="3"/>
      <c r="F20" s="3"/>
      <c r="G20" s="2"/>
      <c r="H20" s="2"/>
      <c r="I20" s="2"/>
      <c r="J20" s="3"/>
      <c r="K20" s="2"/>
      <c r="L20" s="2"/>
      <c r="M20" s="2"/>
      <c r="N20" s="3"/>
      <c r="O20" s="3"/>
      <c r="P20" s="2"/>
      <c r="Q20" s="2"/>
      <c r="R20" s="2"/>
      <c r="S20" s="3"/>
      <c r="T20" s="3"/>
      <c r="U20" s="3"/>
      <c r="V20" s="3"/>
      <c r="W20" s="3"/>
      <c r="X20" s="2"/>
      <c r="Y20" s="2"/>
      <c r="Z20" s="3"/>
      <c r="AA20" s="2"/>
      <c r="AB20" s="2"/>
      <c r="AC20" s="3"/>
      <c r="AD20" s="2"/>
      <c r="AE20" s="2"/>
      <c r="AF20" s="3"/>
      <c r="AG20" s="3"/>
      <c r="AH20" s="2"/>
      <c r="AI20" s="3"/>
      <c r="AJ20" s="3"/>
      <c r="AK20" s="2"/>
    </row>
    <row x14ac:dyDescent="0.25" r="21" customHeight="1" ht="18.75">
      <c r="A21" s="122" t="s">
        <v>173</v>
      </c>
      <c r="B21" s="40"/>
      <c r="C21" s="2"/>
      <c r="D21" s="2"/>
      <c r="E21" s="3"/>
      <c r="F21" s="3"/>
      <c r="G21" s="2"/>
      <c r="H21" s="2"/>
      <c r="I21" s="2"/>
      <c r="J21" s="3"/>
      <c r="K21" s="2"/>
      <c r="L21" s="2"/>
      <c r="M21" s="2"/>
      <c r="N21" s="3"/>
      <c r="O21" s="3"/>
      <c r="P21" s="2"/>
      <c r="Q21" s="2"/>
      <c r="R21" s="2"/>
      <c r="S21" s="3"/>
      <c r="T21" s="3"/>
      <c r="U21" s="3"/>
      <c r="V21" s="3"/>
      <c r="W21" s="3"/>
      <c r="X21" s="2"/>
      <c r="Y21" s="2"/>
      <c r="Z21" s="3"/>
      <c r="AA21" s="2"/>
      <c r="AB21" s="2"/>
      <c r="AC21" s="3"/>
      <c r="AD21" s="2"/>
      <c r="AE21" s="2"/>
      <c r="AF21" s="3"/>
      <c r="AG21" s="3"/>
      <c r="AH21" s="2"/>
      <c r="AI21" s="3"/>
      <c r="AJ21" s="3"/>
      <c r="AK21" s="2"/>
    </row>
    <row x14ac:dyDescent="0.25" r="22" customHeight="1" ht="18.75">
      <c r="A22" s="123" t="s">
        <v>174</v>
      </c>
      <c r="B22" s="40" t="s">
        <v>175</v>
      </c>
      <c r="C22" s="2"/>
      <c r="D22" s="2"/>
      <c r="E22" s="3"/>
      <c r="F22" s="3"/>
      <c r="G22" s="2"/>
      <c r="H22" s="2"/>
      <c r="I22" s="2"/>
      <c r="J22" s="3"/>
      <c r="K22" s="2"/>
      <c r="L22" s="2"/>
      <c r="M22" s="2"/>
      <c r="N22" s="3"/>
      <c r="O22" s="3"/>
      <c r="P22" s="2"/>
      <c r="Q22" s="2"/>
      <c r="R22" s="2"/>
      <c r="S22" s="3"/>
      <c r="T22" s="3"/>
      <c r="U22" s="3"/>
      <c r="V22" s="3"/>
      <c r="W22" s="3"/>
      <c r="X22" s="2"/>
      <c r="Y22" s="2"/>
      <c r="Z22" s="3"/>
      <c r="AA22" s="2"/>
      <c r="AB22" s="2"/>
      <c r="AC22" s="3"/>
      <c r="AD22" s="2"/>
      <c r="AE22" s="2"/>
      <c r="AF22" s="3"/>
      <c r="AG22" s="3"/>
      <c r="AH22" s="2"/>
      <c r="AI22" s="3"/>
      <c r="AJ22" s="3"/>
      <c r="AK22" s="2"/>
    </row>
  </sheetData>
  <mergeCells count="7">
    <mergeCell ref="B3:D3"/>
    <mergeCell ref="F3:O3"/>
    <mergeCell ref="B4:D4"/>
    <mergeCell ref="F4:O5"/>
    <mergeCell ref="B5:D5"/>
    <mergeCell ref="AG19:AH19"/>
    <mergeCell ref="AJ19:AK19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35"/>
  <sheetViews>
    <sheetView workbookViewId="0"/>
  </sheetViews>
  <sheetFormatPr defaultRowHeight="15" x14ac:dyDescent="0.25"/>
  <cols>
    <col min="1" max="1" style="44" width="23.290714285714284" customWidth="1" bestFit="1"/>
    <col min="2" max="2" style="87" width="5.719285714285714" customWidth="1" bestFit="1"/>
    <col min="3" max="3" style="44" width="5.719285714285714" customWidth="1" bestFit="1"/>
    <col min="4" max="4" style="44" width="5.719285714285714" customWidth="1" bestFit="1"/>
    <col min="5" max="5" style="44" width="5.719285714285714" customWidth="1" bestFit="1"/>
    <col min="6" max="6" style="44" width="5.719285714285714" customWidth="1" bestFit="1"/>
    <col min="7" max="7" style="44" width="5.719285714285714" customWidth="1" bestFit="1"/>
    <col min="8" max="8" style="44" width="5.719285714285714" customWidth="1" bestFit="1"/>
    <col min="9" max="9" style="44" width="5.719285714285714" customWidth="1" bestFit="1"/>
    <col min="10" max="10" style="44" width="5.719285714285714" customWidth="1" bestFit="1"/>
    <col min="11" max="11" style="44" width="5.719285714285714" customWidth="1" bestFit="1"/>
    <col min="12" max="12" style="44" width="5.719285714285714" customWidth="1" bestFit="1"/>
    <col min="13" max="13" style="44" width="5.719285714285714" customWidth="1" bestFit="1"/>
    <col min="14" max="14" style="44" width="5.719285714285714" customWidth="1" bestFit="1"/>
    <col min="15" max="15" style="44" width="5.719285714285714" customWidth="1" bestFit="1"/>
    <col min="16" max="16" style="44" width="5.719285714285714" customWidth="1" bestFit="1"/>
    <col min="17" max="17" style="44" width="13.576428571428572" customWidth="1" bestFit="1" hidden="1"/>
    <col min="18" max="18" style="44" width="13.576428571428572" customWidth="1" bestFit="1" hidden="1"/>
    <col min="19" max="19" style="44" width="13.576428571428572" customWidth="1" bestFit="1" hidden="1"/>
    <col min="20" max="20" style="44" width="13.576428571428572" customWidth="1" bestFit="1" hidden="1"/>
    <col min="21" max="21" style="44" width="13.576428571428572" customWidth="1" bestFit="1" hidden="1"/>
    <col min="22" max="22" style="44" width="5.719285714285714" customWidth="1" bestFit="1"/>
    <col min="23" max="23" style="44" width="5.719285714285714" customWidth="1" bestFit="1"/>
    <col min="24" max="24" style="44" width="13.576428571428572" customWidth="1" bestFit="1" hidden="1"/>
    <col min="25" max="25" style="44" width="13.576428571428572" customWidth="1" bestFit="1" hidden="1"/>
    <col min="26" max="26" style="44" width="13.576428571428572" customWidth="1" bestFit="1" hidden="1"/>
    <col min="27" max="27" style="44" width="13.576428571428572" customWidth="1" bestFit="1" hidden="1"/>
    <col min="28" max="28" style="44" width="13.576428571428572" customWidth="1" bestFit="1" hidden="1"/>
    <col min="29" max="29" style="44" width="13.576428571428572" customWidth="1" bestFit="1" hidden="1"/>
    <col min="30" max="30" style="44" width="13.576428571428572" customWidth="1" bestFit="1" hidden="1"/>
    <col min="31" max="31" style="44" width="13.576428571428572" customWidth="1" bestFit="1" hidden="1"/>
    <col min="32" max="32" style="44" width="13.576428571428572" customWidth="1" bestFit="1" hidden="1"/>
    <col min="33" max="33" style="44" width="13.576428571428572" customWidth="1" bestFit="1" hidden="1"/>
    <col min="34" max="34" style="44" width="13.576428571428572" customWidth="1" bestFit="1" hidden="1"/>
    <col min="35" max="35" style="88" width="13.576428571428572" customWidth="1" bestFit="1" hidden="1"/>
    <col min="36" max="36" style="88" width="5.719285714285714" customWidth="1" bestFit="1"/>
    <col min="37" max="37" style="88" width="13.576428571428572" customWidth="1" bestFit="1" hidden="1"/>
    <col min="38" max="38" style="88" width="13.576428571428572" customWidth="1" bestFit="1" hidden="1"/>
    <col min="39" max="39" style="88" width="13.576428571428572" customWidth="1" bestFit="1" hidden="1"/>
    <col min="40" max="40" style="88" width="13.576428571428572" customWidth="1" bestFit="1" hidden="1"/>
    <col min="41" max="41" style="88" width="13.576428571428572" customWidth="1" bestFit="1" hidden="1"/>
    <col min="42" max="42" style="88" width="13.576428571428572" customWidth="1" bestFit="1" hidden="1"/>
    <col min="43" max="43" style="88" width="13.576428571428572" customWidth="1" bestFit="1" hidden="1"/>
    <col min="44" max="44" style="88" width="13.576428571428572" customWidth="1" bestFit="1" hidden="1"/>
    <col min="45" max="45" style="88" width="13.576428571428572" customWidth="1" bestFit="1" hidden="1"/>
    <col min="46" max="46" style="88" width="13.576428571428572" customWidth="1" bestFit="1" hidden="1"/>
    <col min="47" max="47" style="88" width="5.719285714285714" customWidth="1" bestFit="1"/>
    <col min="48" max="48" style="88" width="5.719285714285714" customWidth="1" bestFit="1"/>
  </cols>
  <sheetData>
    <row x14ac:dyDescent="0.25" r="1" customHeight="1" ht="18.75">
      <c r="A1" s="1" t="s">
        <v>70</v>
      </c>
      <c r="B1" s="58"/>
      <c r="C1" s="3"/>
      <c r="D1" s="1" t="s">
        <v>71</v>
      </c>
      <c r="E1" s="3"/>
      <c r="F1" s="3"/>
      <c r="G1" s="3"/>
      <c r="H1" s="3"/>
      <c r="I1" s="1" t="s">
        <v>136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</row>
    <row x14ac:dyDescent="0.25" r="2" customHeight="1" ht="18.75">
      <c r="A2" s="3"/>
      <c r="B2" s="58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</row>
    <row x14ac:dyDescent="0.25" r="3" customHeight="1" ht="18.75">
      <c r="A3" s="1" t="s">
        <v>2</v>
      </c>
      <c r="B3" s="5">
        <v>105</v>
      </c>
      <c r="C3" s="6"/>
      <c r="D3" s="6"/>
      <c r="E3" s="1"/>
      <c r="F3" s="1" t="s">
        <v>3</v>
      </c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</row>
    <row x14ac:dyDescent="0.25" r="4" customHeight="1" ht="18.75">
      <c r="A4" s="1" t="s">
        <v>4</v>
      </c>
      <c r="B4" s="7" t="s">
        <v>137</v>
      </c>
      <c r="C4" s="6"/>
      <c r="D4" s="6"/>
      <c r="E4" s="3"/>
      <c r="F4" s="8"/>
      <c r="G4" s="9"/>
      <c r="H4" s="9"/>
      <c r="I4" s="9"/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x14ac:dyDescent="0.25" r="5" customHeight="1" ht="18.75">
      <c r="A5" s="1" t="s">
        <v>7</v>
      </c>
      <c r="B5" s="7" t="s">
        <v>75</v>
      </c>
      <c r="C5" s="6"/>
      <c r="D5" s="6"/>
      <c r="E5" s="3"/>
      <c r="F5" s="9"/>
      <c r="G5" s="9"/>
      <c r="H5" s="9"/>
      <c r="I5" s="9"/>
      <c r="J5" s="9"/>
      <c r="K5" s="9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x14ac:dyDescent="0.25" r="6" customHeight="1" ht="18.75">
      <c r="A6" s="3"/>
      <c r="B6" s="5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x14ac:dyDescent="0.25" r="7" customHeight="1" ht="18.75">
      <c r="A7" s="3"/>
      <c r="B7" s="60">
        <v>0</v>
      </c>
      <c r="C7" s="61" t="s">
        <v>76</v>
      </c>
      <c r="D7" s="62" t="s">
        <v>77</v>
      </c>
      <c r="E7" s="61" t="s">
        <v>78</v>
      </c>
      <c r="F7" s="61" t="s">
        <v>79</v>
      </c>
      <c r="G7" s="61" t="s">
        <v>80</v>
      </c>
      <c r="H7" s="62" t="s">
        <v>81</v>
      </c>
      <c r="I7" s="62" t="s">
        <v>82</v>
      </c>
      <c r="J7" s="62" t="s">
        <v>83</v>
      </c>
      <c r="K7" s="61" t="s">
        <v>84</v>
      </c>
      <c r="L7" s="61" t="s">
        <v>85</v>
      </c>
      <c r="M7" s="62" t="s">
        <v>86</v>
      </c>
      <c r="N7" s="62" t="s">
        <v>87</v>
      </c>
      <c r="O7" s="61" t="s">
        <v>88</v>
      </c>
      <c r="P7" s="62" t="s">
        <v>89</v>
      </c>
      <c r="Q7" s="62" t="s">
        <v>90</v>
      </c>
      <c r="R7" s="62" t="s">
        <v>91</v>
      </c>
      <c r="S7" s="61" t="s">
        <v>92</v>
      </c>
      <c r="T7" s="62" t="s">
        <v>93</v>
      </c>
      <c r="U7" s="62" t="s">
        <v>94</v>
      </c>
      <c r="V7" s="61" t="s">
        <v>95</v>
      </c>
      <c r="W7" s="62" t="s">
        <v>96</v>
      </c>
      <c r="X7" s="62" t="s">
        <v>97</v>
      </c>
      <c r="Y7" s="62" t="s">
        <v>98</v>
      </c>
      <c r="Z7" s="62" t="s">
        <v>99</v>
      </c>
      <c r="AA7" s="62" t="s">
        <v>100</v>
      </c>
      <c r="AB7" s="62" t="s">
        <v>101</v>
      </c>
      <c r="AC7" s="61" t="s">
        <v>102</v>
      </c>
      <c r="AD7" s="61" t="s">
        <v>103</v>
      </c>
      <c r="AE7" s="62" t="s">
        <v>104</v>
      </c>
      <c r="AF7" s="61" t="s">
        <v>105</v>
      </c>
      <c r="AG7" s="61" t="s">
        <v>106</v>
      </c>
      <c r="AH7" s="61" t="s">
        <v>107</v>
      </c>
      <c r="AI7" s="60">
        <v>23</v>
      </c>
      <c r="AJ7" s="63">
        <v>24</v>
      </c>
      <c r="AK7" s="60">
        <v>25</v>
      </c>
      <c r="AL7" s="60">
        <v>26</v>
      </c>
      <c r="AM7" s="63">
        <v>27</v>
      </c>
      <c r="AN7" s="60">
        <v>28</v>
      </c>
      <c r="AO7" s="60">
        <v>29</v>
      </c>
      <c r="AP7" s="60">
        <v>30</v>
      </c>
      <c r="AQ7" s="63">
        <v>31</v>
      </c>
      <c r="AR7" s="60">
        <v>32</v>
      </c>
      <c r="AS7" s="63">
        <v>33</v>
      </c>
      <c r="AT7" s="60">
        <v>34</v>
      </c>
      <c r="AU7" s="63">
        <v>35</v>
      </c>
      <c r="AV7" s="63">
        <v>36</v>
      </c>
    </row>
    <row x14ac:dyDescent="0.25" r="8" customHeight="1" ht="18.75">
      <c r="A8" s="10" t="s">
        <v>9</v>
      </c>
      <c r="B8" s="64" t="s">
        <v>10</v>
      </c>
      <c r="C8" s="65" t="s">
        <v>11</v>
      </c>
      <c r="D8" s="65" t="s">
        <v>12</v>
      </c>
      <c r="E8" s="66" t="s">
        <v>13</v>
      </c>
      <c r="F8" s="67" t="s">
        <v>14</v>
      </c>
      <c r="G8" s="68" t="s">
        <v>15</v>
      </c>
      <c r="H8" s="68" t="s">
        <v>16</v>
      </c>
      <c r="I8" s="68" t="s">
        <v>17</v>
      </c>
      <c r="J8" s="69" t="s">
        <v>108</v>
      </c>
      <c r="K8" s="70" t="s">
        <v>18</v>
      </c>
      <c r="L8" s="71" t="s">
        <v>19</v>
      </c>
      <c r="M8" s="71" t="s">
        <v>20</v>
      </c>
      <c r="N8" s="71" t="s">
        <v>21</v>
      </c>
      <c r="O8" s="72" t="s">
        <v>22</v>
      </c>
      <c r="P8" s="72" t="s">
        <v>23</v>
      </c>
      <c r="Q8" s="73" t="s">
        <v>109</v>
      </c>
      <c r="R8" s="73" t="s">
        <v>110</v>
      </c>
      <c r="S8" s="73" t="s">
        <v>111</v>
      </c>
      <c r="T8" s="73" t="s">
        <v>112</v>
      </c>
      <c r="U8" s="73" t="s">
        <v>26</v>
      </c>
      <c r="V8" s="74" t="s">
        <v>24</v>
      </c>
      <c r="W8" s="74" t="s">
        <v>25</v>
      </c>
      <c r="X8" s="75" t="s">
        <v>27</v>
      </c>
      <c r="Y8" s="76" t="s">
        <v>113</v>
      </c>
      <c r="Z8" s="76" t="s">
        <v>28</v>
      </c>
      <c r="AA8" s="76" t="s">
        <v>114</v>
      </c>
      <c r="AB8" s="76" t="s">
        <v>115</v>
      </c>
      <c r="AC8" s="76" t="s">
        <v>29</v>
      </c>
      <c r="AD8" s="77" t="s">
        <v>30</v>
      </c>
      <c r="AE8" s="77" t="s">
        <v>116</v>
      </c>
      <c r="AF8" s="77" t="s">
        <v>31</v>
      </c>
      <c r="AG8" s="78" t="s">
        <v>32</v>
      </c>
      <c r="AH8" s="78" t="s">
        <v>33</v>
      </c>
      <c r="AI8" s="79" t="s">
        <v>34</v>
      </c>
      <c r="AJ8" s="79" t="s">
        <v>35</v>
      </c>
      <c r="AK8" s="79" t="s">
        <v>117</v>
      </c>
      <c r="AL8" s="80" t="s">
        <v>36</v>
      </c>
      <c r="AM8" s="80" t="s">
        <v>118</v>
      </c>
      <c r="AN8" s="80" t="s">
        <v>38</v>
      </c>
      <c r="AO8" s="80" t="s">
        <v>119</v>
      </c>
      <c r="AP8" s="81" t="s">
        <v>120</v>
      </c>
      <c r="AQ8" s="81" t="s">
        <v>39</v>
      </c>
      <c r="AR8" s="81" t="s">
        <v>121</v>
      </c>
      <c r="AS8" s="82" t="s">
        <v>40</v>
      </c>
      <c r="AT8" s="83" t="s">
        <v>122</v>
      </c>
      <c r="AU8" s="84" t="s">
        <v>41</v>
      </c>
      <c r="AV8" s="84" t="s">
        <v>42</v>
      </c>
    </row>
    <row x14ac:dyDescent="0.25" r="9" customHeight="1" ht="18.75">
      <c r="A9" s="30" t="s">
        <v>43</v>
      </c>
      <c r="B9" s="31" t="s">
        <v>138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</row>
    <row x14ac:dyDescent="0.25" r="10" customHeight="1" ht="18.75">
      <c r="A10" s="30" t="s">
        <v>45</v>
      </c>
      <c r="B10" s="31" t="s">
        <v>139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</row>
    <row x14ac:dyDescent="0.25" r="11" customHeight="1" ht="18.75">
      <c r="A11" s="35" t="s">
        <v>47</v>
      </c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</row>
    <row x14ac:dyDescent="0.25" r="12" customHeight="1" ht="18.75">
      <c r="A12" s="30" t="s">
        <v>123</v>
      </c>
      <c r="B12" s="31" t="s">
        <v>52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</row>
    <row x14ac:dyDescent="0.25" r="13" customHeight="1" ht="18.75">
      <c r="A13" s="30" t="s">
        <v>124</v>
      </c>
      <c r="B13" s="31" t="s">
        <v>49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</row>
    <row x14ac:dyDescent="0.25" r="14" customHeight="1" ht="18.75">
      <c r="A14" s="30" t="s">
        <v>125</v>
      </c>
      <c r="B14" s="33" t="s">
        <v>49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</row>
    <row x14ac:dyDescent="0.25" r="15" customHeight="1" ht="18.75">
      <c r="A15" s="30" t="s">
        <v>126</v>
      </c>
      <c r="B15" s="31" t="s">
        <v>49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</row>
    <row x14ac:dyDescent="0.25" r="16" customHeight="1" ht="18.75">
      <c r="A16" s="30" t="s">
        <v>127</v>
      </c>
      <c r="B16" s="31" t="s">
        <v>140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</row>
    <row x14ac:dyDescent="0.25" r="17" customHeight="1" ht="18.75">
      <c r="A17" s="30" t="s">
        <v>128</v>
      </c>
      <c r="B17" s="31">
        <v>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</row>
    <row x14ac:dyDescent="0.25" r="18" customHeight="1" ht="18.75">
      <c r="A18" s="30" t="s">
        <v>129</v>
      </c>
      <c r="B18" s="31" t="s">
        <v>138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</row>
    <row x14ac:dyDescent="0.25" r="19" customHeight="1" ht="18.75">
      <c r="A19" s="30" t="s">
        <v>130</v>
      </c>
      <c r="B19" s="31">
        <v>4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</row>
    <row x14ac:dyDescent="0.25" r="20" customHeight="1" ht="18.75">
      <c r="A20" s="38"/>
      <c r="B20" s="5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x14ac:dyDescent="0.25" r="21" customHeight="1" ht="18.75">
      <c r="A21" s="30" t="s">
        <v>43</v>
      </c>
      <c r="B21" s="31" t="s">
        <v>141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</row>
    <row x14ac:dyDescent="0.25" r="22" customHeight="1" ht="18.75">
      <c r="A22" s="30" t="s">
        <v>45</v>
      </c>
      <c r="B22" s="33" t="s">
        <v>142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</row>
    <row x14ac:dyDescent="0.25" r="23" customHeight="1" ht="18.75">
      <c r="A23" s="35" t="s">
        <v>47</v>
      </c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x14ac:dyDescent="0.25" r="24" customHeight="1" ht="18.75">
      <c r="A24" s="30" t="s">
        <v>123</v>
      </c>
      <c r="B24" s="31" t="s">
        <v>52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</row>
    <row x14ac:dyDescent="0.25" r="25" customHeight="1" ht="18.75">
      <c r="A25" s="30" t="s">
        <v>124</v>
      </c>
      <c r="B25" s="31" t="s">
        <v>49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</row>
    <row x14ac:dyDescent="0.25" r="26" customHeight="1" ht="18.75">
      <c r="A26" s="30" t="s">
        <v>125</v>
      </c>
      <c r="B26" s="31" t="s">
        <v>49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</row>
    <row x14ac:dyDescent="0.25" r="27" customHeight="1" ht="18.75">
      <c r="A27" s="30" t="s">
        <v>126</v>
      </c>
      <c r="B27" s="31" t="s">
        <v>49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</row>
    <row x14ac:dyDescent="0.25" r="28" customHeight="1" ht="18.75">
      <c r="A28" s="30" t="s">
        <v>127</v>
      </c>
      <c r="B28" s="31" t="s">
        <v>143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</row>
    <row x14ac:dyDescent="0.25" r="29" customHeight="1" ht="18.75">
      <c r="A29" s="30" t="s">
        <v>128</v>
      </c>
      <c r="B29" s="31">
        <f>5/3</f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x14ac:dyDescent="0.25" r="30" customHeight="1" ht="18.75">
      <c r="A30" s="30" t="s">
        <v>129</v>
      </c>
      <c r="B30" s="31" t="s">
        <v>138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</row>
    <row x14ac:dyDescent="0.25" r="31" customHeight="1" ht="18.75">
      <c r="A31" s="30" t="s">
        <v>130</v>
      </c>
      <c r="B31" s="31">
        <v>4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x14ac:dyDescent="0.25" r="32" customHeight="1" ht="18.75">
      <c r="A32" s="3"/>
      <c r="B32" s="5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</row>
    <row x14ac:dyDescent="0.25" r="33" customHeight="1" ht="18.75">
      <c r="A33" s="38" t="s">
        <v>64</v>
      </c>
      <c r="B33" s="5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</row>
    <row x14ac:dyDescent="0.25" r="34" customHeight="1" ht="18.75">
      <c r="A34" s="30" t="s">
        <v>144</v>
      </c>
      <c r="B34" s="4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</row>
    <row x14ac:dyDescent="0.25" r="35" customHeight="1" ht="18.75">
      <c r="A35" s="3"/>
      <c r="B35" s="4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46"/>
  <sheetViews>
    <sheetView workbookViewId="0"/>
  </sheetViews>
  <sheetFormatPr defaultRowHeight="15" x14ac:dyDescent="0.25"/>
  <cols>
    <col min="1" max="1" style="57" width="23.290714285714284" customWidth="1" bestFit="1"/>
    <col min="2" max="2" style="87" width="5.719285714285714" customWidth="1" bestFit="1"/>
    <col min="3" max="3" style="44" width="5.719285714285714" customWidth="1" bestFit="1"/>
    <col min="4" max="4" style="44" width="5.719285714285714" customWidth="1" bestFit="1"/>
    <col min="5" max="5" style="44" width="5.719285714285714" customWidth="1" bestFit="1"/>
    <col min="6" max="6" style="44" width="5.719285714285714" customWidth="1" bestFit="1"/>
    <col min="7" max="7" style="44" width="5.719285714285714" customWidth="1" bestFit="1"/>
    <col min="8" max="8" style="44" width="5.719285714285714" customWidth="1" bestFit="1"/>
    <col min="9" max="9" style="44" width="5.719285714285714" customWidth="1" bestFit="1"/>
    <col min="10" max="10" style="44" width="5.719285714285714" customWidth="1" bestFit="1"/>
    <col min="11" max="11" style="44" width="5.719285714285714" customWidth="1" bestFit="1"/>
    <col min="12" max="12" style="44" width="5.719285714285714" customWidth="1" bestFit="1"/>
    <col min="13" max="13" style="44" width="5.719285714285714" customWidth="1" bestFit="1"/>
    <col min="14" max="14" style="44" width="5.719285714285714" customWidth="1" bestFit="1"/>
    <col min="15" max="15" style="44" width="5.719285714285714" customWidth="1" bestFit="1"/>
    <col min="16" max="16" style="44" width="5.719285714285714" customWidth="1" bestFit="1"/>
    <col min="17" max="17" style="44" width="13.576428571428572" customWidth="1" bestFit="1" hidden="1"/>
    <col min="18" max="18" style="44" width="13.576428571428572" customWidth="1" bestFit="1" hidden="1"/>
    <col min="19" max="19" style="44" width="13.576428571428572" customWidth="1" bestFit="1" hidden="1"/>
    <col min="20" max="20" style="44" width="13.576428571428572" customWidth="1" bestFit="1" hidden="1"/>
    <col min="21" max="21" style="44" width="13.576428571428572" customWidth="1" bestFit="1" hidden="1"/>
    <col min="22" max="22" style="44" width="5.719285714285714" customWidth="1" bestFit="1"/>
    <col min="23" max="23" style="44" width="5.719285714285714" customWidth="1" bestFit="1"/>
    <col min="24" max="24" style="44" width="13.576428571428572" customWidth="1" bestFit="1" hidden="1"/>
    <col min="25" max="25" style="44" width="13.576428571428572" customWidth="1" bestFit="1" hidden="1"/>
    <col min="26" max="26" style="44" width="13.576428571428572" customWidth="1" bestFit="1" hidden="1"/>
    <col min="27" max="27" style="44" width="13.576428571428572" customWidth="1" bestFit="1" hidden="1"/>
    <col min="28" max="28" style="44" width="13.576428571428572" customWidth="1" bestFit="1" hidden="1"/>
    <col min="29" max="29" style="44" width="13.576428571428572" customWidth="1" bestFit="1" hidden="1"/>
    <col min="30" max="30" style="44" width="13.576428571428572" customWidth="1" bestFit="1" hidden="1"/>
    <col min="31" max="31" style="44" width="13.576428571428572" customWidth="1" bestFit="1" hidden="1"/>
    <col min="32" max="32" style="44" width="13.576428571428572" customWidth="1" bestFit="1" hidden="1"/>
    <col min="33" max="33" style="44" width="13.576428571428572" customWidth="1" bestFit="1" hidden="1"/>
    <col min="34" max="34" style="44" width="13.576428571428572" customWidth="1" bestFit="1" hidden="1"/>
    <col min="35" max="35" style="88" width="13.576428571428572" customWidth="1" bestFit="1" hidden="1"/>
    <col min="36" max="36" style="88" width="5.719285714285714" customWidth="1" bestFit="1"/>
    <col min="37" max="37" style="88" width="13.576428571428572" customWidth="1" bestFit="1" hidden="1"/>
    <col min="38" max="38" style="88" width="13.576428571428572" customWidth="1" bestFit="1" hidden="1"/>
    <col min="39" max="39" style="88" width="13.576428571428572" customWidth="1" bestFit="1" hidden="1"/>
    <col min="40" max="40" style="88" width="13.576428571428572" customWidth="1" bestFit="1" hidden="1"/>
    <col min="41" max="41" style="88" width="13.576428571428572" customWidth="1" bestFit="1" hidden="1"/>
    <col min="42" max="42" style="88" width="13.576428571428572" customWidth="1" bestFit="1" hidden="1"/>
    <col min="43" max="43" style="88" width="13.576428571428572" customWidth="1" bestFit="1" hidden="1"/>
    <col min="44" max="44" style="88" width="13.576428571428572" customWidth="1" bestFit="1" hidden="1"/>
    <col min="45" max="45" style="88" width="13.576428571428572" customWidth="1" bestFit="1" hidden="1"/>
    <col min="46" max="46" style="88" width="13.576428571428572" customWidth="1" bestFit="1" hidden="1"/>
    <col min="47" max="47" style="88" width="5.719285714285714" customWidth="1" bestFit="1"/>
    <col min="48" max="48" style="88" width="5.719285714285714" customWidth="1" bestFit="1"/>
  </cols>
  <sheetData>
    <row x14ac:dyDescent="0.25" r="1" customHeight="1" ht="18.75">
      <c r="A1" s="1" t="s">
        <v>70</v>
      </c>
      <c r="B1" s="58"/>
      <c r="C1" s="3"/>
      <c r="D1" s="1" t="s">
        <v>71</v>
      </c>
      <c r="E1" s="3"/>
      <c r="F1" s="3"/>
      <c r="G1" s="3"/>
      <c r="H1" s="3"/>
      <c r="I1" s="3"/>
      <c r="J1" s="1" t="s">
        <v>72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</row>
    <row x14ac:dyDescent="0.25" r="2" customHeight="1" ht="18.75">
      <c r="A2" s="46"/>
      <c r="B2" s="58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</row>
    <row x14ac:dyDescent="0.25" r="3" customHeight="1" ht="18.75">
      <c r="A3" s="1" t="s">
        <v>2</v>
      </c>
      <c r="B3" s="5">
        <v>172</v>
      </c>
      <c r="C3" s="6"/>
      <c r="D3" s="6"/>
      <c r="E3" s="1"/>
      <c r="F3" s="1" t="s">
        <v>3</v>
      </c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</row>
    <row x14ac:dyDescent="0.25" r="4" customHeight="1" ht="18.75">
      <c r="A4" s="1" t="s">
        <v>4</v>
      </c>
      <c r="B4" s="7" t="s">
        <v>73</v>
      </c>
      <c r="C4" s="6"/>
      <c r="D4" s="6"/>
      <c r="E4" s="3"/>
      <c r="F4" s="8" t="s">
        <v>74</v>
      </c>
      <c r="G4" s="9"/>
      <c r="H4" s="9"/>
      <c r="I4" s="9"/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</row>
    <row x14ac:dyDescent="0.25" r="5" customHeight="1" ht="18.75">
      <c r="A5" s="1" t="s">
        <v>7</v>
      </c>
      <c r="B5" s="7" t="s">
        <v>75</v>
      </c>
      <c r="C5" s="6"/>
      <c r="D5" s="6"/>
      <c r="E5" s="3"/>
      <c r="F5" s="9"/>
      <c r="G5" s="9"/>
      <c r="H5" s="9"/>
      <c r="I5" s="9"/>
      <c r="J5" s="9"/>
      <c r="K5" s="9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x14ac:dyDescent="0.25" r="6" customHeight="1" ht="18.75">
      <c r="A6" s="46"/>
      <c r="B6" s="5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x14ac:dyDescent="0.25" r="7" customHeight="1" ht="18.75">
      <c r="A7" s="46"/>
      <c r="B7" s="60">
        <v>0</v>
      </c>
      <c r="C7" s="61" t="s">
        <v>76</v>
      </c>
      <c r="D7" s="62" t="s">
        <v>77</v>
      </c>
      <c r="E7" s="61" t="s">
        <v>78</v>
      </c>
      <c r="F7" s="61" t="s">
        <v>79</v>
      </c>
      <c r="G7" s="61" t="s">
        <v>80</v>
      </c>
      <c r="H7" s="62" t="s">
        <v>81</v>
      </c>
      <c r="I7" s="62" t="s">
        <v>82</v>
      </c>
      <c r="J7" s="62" t="s">
        <v>83</v>
      </c>
      <c r="K7" s="61" t="s">
        <v>84</v>
      </c>
      <c r="L7" s="61" t="s">
        <v>85</v>
      </c>
      <c r="M7" s="62" t="s">
        <v>86</v>
      </c>
      <c r="N7" s="62" t="s">
        <v>87</v>
      </c>
      <c r="O7" s="61" t="s">
        <v>88</v>
      </c>
      <c r="P7" s="62" t="s">
        <v>89</v>
      </c>
      <c r="Q7" s="62" t="s">
        <v>90</v>
      </c>
      <c r="R7" s="62" t="s">
        <v>91</v>
      </c>
      <c r="S7" s="61" t="s">
        <v>92</v>
      </c>
      <c r="T7" s="62" t="s">
        <v>93</v>
      </c>
      <c r="U7" s="62" t="s">
        <v>94</v>
      </c>
      <c r="V7" s="61" t="s">
        <v>95</v>
      </c>
      <c r="W7" s="62" t="s">
        <v>96</v>
      </c>
      <c r="X7" s="62" t="s">
        <v>97</v>
      </c>
      <c r="Y7" s="62" t="s">
        <v>98</v>
      </c>
      <c r="Z7" s="62" t="s">
        <v>99</v>
      </c>
      <c r="AA7" s="62" t="s">
        <v>100</v>
      </c>
      <c r="AB7" s="62" t="s">
        <v>101</v>
      </c>
      <c r="AC7" s="61" t="s">
        <v>102</v>
      </c>
      <c r="AD7" s="61" t="s">
        <v>103</v>
      </c>
      <c r="AE7" s="62" t="s">
        <v>104</v>
      </c>
      <c r="AF7" s="61" t="s">
        <v>105</v>
      </c>
      <c r="AG7" s="61" t="s">
        <v>106</v>
      </c>
      <c r="AH7" s="61" t="s">
        <v>107</v>
      </c>
      <c r="AI7" s="60">
        <v>23</v>
      </c>
      <c r="AJ7" s="63">
        <v>24</v>
      </c>
      <c r="AK7" s="60">
        <v>25</v>
      </c>
      <c r="AL7" s="60">
        <v>26</v>
      </c>
      <c r="AM7" s="63">
        <v>27</v>
      </c>
      <c r="AN7" s="60">
        <v>28</v>
      </c>
      <c r="AO7" s="60">
        <v>29</v>
      </c>
      <c r="AP7" s="60">
        <v>30</v>
      </c>
      <c r="AQ7" s="63">
        <v>31</v>
      </c>
      <c r="AR7" s="60">
        <v>32</v>
      </c>
      <c r="AS7" s="63">
        <v>33</v>
      </c>
      <c r="AT7" s="60">
        <v>34</v>
      </c>
      <c r="AU7" s="63">
        <v>35</v>
      </c>
      <c r="AV7" s="63">
        <v>36</v>
      </c>
    </row>
    <row x14ac:dyDescent="0.25" r="8" customHeight="1" ht="18.75">
      <c r="A8" s="10" t="s">
        <v>9</v>
      </c>
      <c r="B8" s="64" t="s">
        <v>10</v>
      </c>
      <c r="C8" s="65" t="s">
        <v>11</v>
      </c>
      <c r="D8" s="65" t="s">
        <v>12</v>
      </c>
      <c r="E8" s="66" t="s">
        <v>13</v>
      </c>
      <c r="F8" s="67" t="s">
        <v>14</v>
      </c>
      <c r="G8" s="68" t="s">
        <v>15</v>
      </c>
      <c r="H8" s="68" t="s">
        <v>16</v>
      </c>
      <c r="I8" s="68" t="s">
        <v>17</v>
      </c>
      <c r="J8" s="69" t="s">
        <v>108</v>
      </c>
      <c r="K8" s="70" t="s">
        <v>18</v>
      </c>
      <c r="L8" s="71" t="s">
        <v>19</v>
      </c>
      <c r="M8" s="71" t="s">
        <v>20</v>
      </c>
      <c r="N8" s="71" t="s">
        <v>21</v>
      </c>
      <c r="O8" s="72" t="s">
        <v>22</v>
      </c>
      <c r="P8" s="72" t="s">
        <v>23</v>
      </c>
      <c r="Q8" s="73" t="s">
        <v>109</v>
      </c>
      <c r="R8" s="73" t="s">
        <v>110</v>
      </c>
      <c r="S8" s="73" t="s">
        <v>111</v>
      </c>
      <c r="T8" s="73" t="s">
        <v>112</v>
      </c>
      <c r="U8" s="73" t="s">
        <v>26</v>
      </c>
      <c r="V8" s="74" t="s">
        <v>24</v>
      </c>
      <c r="W8" s="74" t="s">
        <v>25</v>
      </c>
      <c r="X8" s="75" t="s">
        <v>27</v>
      </c>
      <c r="Y8" s="76" t="s">
        <v>113</v>
      </c>
      <c r="Z8" s="76" t="s">
        <v>28</v>
      </c>
      <c r="AA8" s="76" t="s">
        <v>114</v>
      </c>
      <c r="AB8" s="76" t="s">
        <v>115</v>
      </c>
      <c r="AC8" s="76" t="s">
        <v>29</v>
      </c>
      <c r="AD8" s="77" t="s">
        <v>30</v>
      </c>
      <c r="AE8" s="77" t="s">
        <v>116</v>
      </c>
      <c r="AF8" s="77" t="s">
        <v>31</v>
      </c>
      <c r="AG8" s="78" t="s">
        <v>32</v>
      </c>
      <c r="AH8" s="78" t="s">
        <v>33</v>
      </c>
      <c r="AI8" s="79" t="s">
        <v>34</v>
      </c>
      <c r="AJ8" s="79" t="s">
        <v>35</v>
      </c>
      <c r="AK8" s="79" t="s">
        <v>117</v>
      </c>
      <c r="AL8" s="80" t="s">
        <v>36</v>
      </c>
      <c r="AM8" s="80" t="s">
        <v>118</v>
      </c>
      <c r="AN8" s="80" t="s">
        <v>38</v>
      </c>
      <c r="AO8" s="80" t="s">
        <v>119</v>
      </c>
      <c r="AP8" s="81" t="s">
        <v>120</v>
      </c>
      <c r="AQ8" s="81" t="s">
        <v>39</v>
      </c>
      <c r="AR8" s="81" t="s">
        <v>121</v>
      </c>
      <c r="AS8" s="82" t="s">
        <v>40</v>
      </c>
      <c r="AT8" s="83" t="s">
        <v>122</v>
      </c>
      <c r="AU8" s="84" t="s">
        <v>41</v>
      </c>
      <c r="AV8" s="84" t="s">
        <v>42</v>
      </c>
    </row>
    <row x14ac:dyDescent="0.25" r="9" customHeight="1" ht="18.75">
      <c r="A9" s="30" t="s">
        <v>43</v>
      </c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</row>
    <row x14ac:dyDescent="0.25" r="10" customHeight="1" ht="18.75">
      <c r="A10" s="30" t="s">
        <v>45</v>
      </c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</row>
    <row x14ac:dyDescent="0.25" r="11" customHeight="1" ht="18.75">
      <c r="A11" s="35" t="s">
        <v>47</v>
      </c>
      <c r="B11" s="36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</row>
    <row x14ac:dyDescent="0.25" r="12" customHeight="1" ht="18.75">
      <c r="A12" s="30" t="s">
        <v>123</v>
      </c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</row>
    <row x14ac:dyDescent="0.25" r="13" customHeight="1" ht="18.75">
      <c r="A13" s="30" t="s">
        <v>124</v>
      </c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</row>
    <row x14ac:dyDescent="0.25" r="14" customHeight="1" ht="18.75">
      <c r="A14" s="30" t="s">
        <v>125</v>
      </c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</row>
    <row x14ac:dyDescent="0.25" r="15" customHeight="1" ht="18.75">
      <c r="A15" s="30" t="s">
        <v>126</v>
      </c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</row>
    <row x14ac:dyDescent="0.25" r="16" customHeight="1" ht="18.75">
      <c r="A16" s="30" t="s">
        <v>127</v>
      </c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</row>
    <row x14ac:dyDescent="0.25" r="17" customHeight="1" ht="18.75">
      <c r="A17" s="30" t="s">
        <v>128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</row>
    <row x14ac:dyDescent="0.25" r="18" customHeight="1" ht="18.75">
      <c r="A18" s="30" t="s">
        <v>129</v>
      </c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</row>
    <row x14ac:dyDescent="0.25" r="19" customHeight="1" ht="18.75">
      <c r="A19" s="30" t="s">
        <v>130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</row>
    <row x14ac:dyDescent="0.25" r="20" customHeight="1" ht="18.75">
      <c r="A20" s="38"/>
      <c r="B20" s="5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x14ac:dyDescent="0.25" r="21" customHeight="1" ht="18.75">
      <c r="A21" s="30" t="s">
        <v>43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</row>
    <row x14ac:dyDescent="0.25" r="22" customHeight="1" ht="18.75">
      <c r="A22" s="30" t="s">
        <v>45</v>
      </c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</row>
    <row x14ac:dyDescent="0.25" r="23" customHeight="1" ht="18.75">
      <c r="A23" s="35" t="s">
        <v>47</v>
      </c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x14ac:dyDescent="0.25" r="24" customHeight="1" ht="18.75">
      <c r="A24" s="30" t="s">
        <v>123</v>
      </c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</row>
    <row x14ac:dyDescent="0.25" r="25" customHeight="1" ht="18.75">
      <c r="A25" s="30" t="s">
        <v>124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</row>
    <row x14ac:dyDescent="0.25" r="26" customHeight="1" ht="18.75">
      <c r="A26" s="30" t="s">
        <v>125</v>
      </c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</row>
    <row x14ac:dyDescent="0.25" r="27" customHeight="1" ht="18.75">
      <c r="A27" s="30" t="s">
        <v>126</v>
      </c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</row>
    <row x14ac:dyDescent="0.25" r="28" customHeight="1" ht="18.75">
      <c r="A28" s="30" t="s">
        <v>127</v>
      </c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</row>
    <row x14ac:dyDescent="0.25" r="29" customHeight="1" ht="18.75">
      <c r="A29" s="30" t="s">
        <v>128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x14ac:dyDescent="0.25" r="30" customHeight="1" ht="18.75">
      <c r="A30" s="30" t="s">
        <v>129</v>
      </c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</row>
    <row x14ac:dyDescent="0.25" r="31" customHeight="1" ht="18.75">
      <c r="A31" s="30" t="s">
        <v>130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x14ac:dyDescent="0.25" r="32" customHeight="1" ht="18.75">
      <c r="A32" s="46"/>
      <c r="B32" s="4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</row>
    <row x14ac:dyDescent="0.25" r="33" customHeight="1" ht="18.75">
      <c r="A33" s="30" t="s">
        <v>43</v>
      </c>
      <c r="B33" s="31" t="s">
        <v>131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</row>
    <row x14ac:dyDescent="0.25" r="34" customHeight="1" ht="18.75">
      <c r="A34" s="30" t="s">
        <v>45</v>
      </c>
      <c r="B34" s="31" t="s">
        <v>132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</row>
    <row x14ac:dyDescent="0.25" r="35" customHeight="1" ht="18.75">
      <c r="A35" s="35" t="s">
        <v>47</v>
      </c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</row>
    <row x14ac:dyDescent="0.25" r="36" customHeight="1" ht="18.75">
      <c r="A36" s="30" t="s">
        <v>123</v>
      </c>
      <c r="B36" s="31" t="s">
        <v>52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</row>
    <row x14ac:dyDescent="0.25" r="37" customHeight="1" ht="18.75">
      <c r="A37" s="30" t="s">
        <v>124</v>
      </c>
      <c r="B37" s="31" t="s">
        <v>52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</row>
    <row x14ac:dyDescent="0.25" r="38" customHeight="1" ht="18.75">
      <c r="A38" s="30" t="s">
        <v>125</v>
      </c>
      <c r="B38" s="31" t="s">
        <v>49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</row>
    <row x14ac:dyDescent="0.25" r="39" customHeight="1" ht="18.75">
      <c r="A39" s="30" t="s">
        <v>126</v>
      </c>
      <c r="B39" s="31" t="s">
        <v>49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</row>
    <row x14ac:dyDescent="0.25" r="40" customHeight="1" ht="18.75">
      <c r="A40" s="30" t="s">
        <v>127</v>
      </c>
      <c r="B40" s="31" t="s">
        <v>133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</row>
    <row x14ac:dyDescent="0.25" r="41" customHeight="1" ht="18.75">
      <c r="A41" s="30" t="s">
        <v>128</v>
      </c>
      <c r="B41" s="31">
        <v>-2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</row>
    <row x14ac:dyDescent="0.25" r="42" customHeight="1" ht="18.75">
      <c r="A42" s="30" t="s">
        <v>129</v>
      </c>
      <c r="B42" s="31" t="s">
        <v>134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</row>
    <row x14ac:dyDescent="0.25" r="43" customHeight="1" ht="18.75">
      <c r="A43" s="30" t="s">
        <v>130</v>
      </c>
      <c r="B43" s="31">
        <v>0.5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</row>
    <row x14ac:dyDescent="0.25" r="44" customHeight="1" ht="18.75">
      <c r="A44" s="46"/>
      <c r="B44" s="5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</row>
    <row x14ac:dyDescent="0.25" r="45" customHeight="1" ht="18.75">
      <c r="A45" s="38" t="s">
        <v>64</v>
      </c>
      <c r="B45" s="5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</row>
    <row x14ac:dyDescent="0.25" r="46" customHeight="1" ht="18.75">
      <c r="A46" s="30" t="s">
        <v>135</v>
      </c>
      <c r="B46" s="4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3"/>
  <sheetViews>
    <sheetView workbookViewId="0"/>
  </sheetViews>
  <sheetFormatPr defaultRowHeight="15" x14ac:dyDescent="0.25"/>
  <cols>
    <col min="1" max="1" style="57" width="23.290714285714284" customWidth="1" bestFit="1"/>
    <col min="2" max="2" style="43" width="13.576428571428572" customWidth="1" bestFit="1"/>
    <col min="3" max="3" style="43" width="13.576428571428572" customWidth="1" bestFit="1"/>
    <col min="4" max="4" style="43" width="13.576428571428572" customWidth="1" bestFit="1"/>
    <col min="5" max="5" style="43" width="13.576428571428572" customWidth="1" bestFit="1"/>
    <col min="6" max="6" style="43" width="13.576428571428572" customWidth="1" bestFit="1"/>
    <col min="7" max="7" style="43" width="13.576428571428572" customWidth="1" bestFit="1"/>
    <col min="8" max="8" style="43" width="13.576428571428572" customWidth="1" bestFit="1"/>
    <col min="9" max="9" style="43" width="13.576428571428572" customWidth="1" bestFit="1"/>
    <col min="10" max="10" style="44" width="13.576428571428572" customWidth="1" bestFit="1"/>
    <col min="11" max="11" style="43" width="13.576428571428572" customWidth="1" bestFit="1"/>
    <col min="12" max="12" style="43" width="13.576428571428572" customWidth="1" bestFit="1"/>
    <col min="13" max="13" style="43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3" width="13.576428571428572" customWidth="1" bestFit="1"/>
    <col min="17" max="17" style="43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3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3" width="13.576428571428572" customWidth="1" bestFit="1"/>
    <col min="34" max="34" style="43" width="13.576428571428572" customWidth="1" bestFit="1"/>
  </cols>
  <sheetData>
    <row x14ac:dyDescent="0.25" r="1" customHeight="1" ht="18.75">
      <c r="A1" s="1" t="s">
        <v>0</v>
      </c>
      <c r="B1" s="2"/>
      <c r="C1" s="2"/>
      <c r="D1" s="45" t="s">
        <v>1</v>
      </c>
      <c r="E1" s="2"/>
      <c r="F1" s="2"/>
      <c r="G1" s="2"/>
      <c r="H1" s="2"/>
      <c r="I1" s="45"/>
      <c r="J1" s="3"/>
      <c r="K1" s="2"/>
      <c r="L1" s="2"/>
      <c r="M1" s="2"/>
      <c r="N1" s="3"/>
      <c r="O1" s="3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2"/>
      <c r="AB1" s="3"/>
      <c r="AC1" s="3"/>
      <c r="AD1" s="3"/>
      <c r="AE1" s="3"/>
      <c r="AF1" s="3"/>
      <c r="AG1" s="2"/>
      <c r="AH1" s="2"/>
    </row>
    <row x14ac:dyDescent="0.25" r="2" customHeight="1" ht="18.75">
      <c r="A2" s="46"/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3"/>
      <c r="O2" s="3"/>
      <c r="P2" s="2"/>
      <c r="Q2" s="2"/>
      <c r="R2" s="3"/>
      <c r="S2" s="3"/>
      <c r="T2" s="3"/>
      <c r="U2" s="3"/>
      <c r="V2" s="3"/>
      <c r="W2" s="3"/>
      <c r="X2" s="3"/>
      <c r="Y2" s="3"/>
      <c r="Z2" s="3"/>
      <c r="AA2" s="2"/>
      <c r="AB2" s="3"/>
      <c r="AC2" s="3"/>
      <c r="AD2" s="3"/>
      <c r="AE2" s="3"/>
      <c r="AF2" s="3"/>
      <c r="AG2" s="2"/>
      <c r="AH2" s="2"/>
    </row>
    <row x14ac:dyDescent="0.25" r="3" customHeight="1" ht="18.75">
      <c r="A3" s="1" t="s">
        <v>2</v>
      </c>
      <c r="B3" s="5">
        <v>205</v>
      </c>
      <c r="C3" s="7"/>
      <c r="D3" s="7"/>
      <c r="E3" s="45"/>
      <c r="F3" s="45" t="s">
        <v>3</v>
      </c>
      <c r="G3" s="45"/>
      <c r="H3" s="45"/>
      <c r="I3" s="45"/>
      <c r="J3" s="1"/>
      <c r="K3" s="45"/>
      <c r="L3" s="45"/>
      <c r="M3" s="45"/>
      <c r="N3" s="3"/>
      <c r="O3" s="3"/>
      <c r="P3" s="2"/>
      <c r="Q3" s="2"/>
      <c r="R3" s="3"/>
      <c r="S3" s="3"/>
      <c r="T3" s="3"/>
      <c r="U3" s="3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2"/>
      <c r="AH3" s="2"/>
    </row>
    <row x14ac:dyDescent="0.25" r="4" customHeight="1" ht="18.75">
      <c r="A4" s="1" t="s">
        <v>4</v>
      </c>
      <c r="B4" s="7" t="s">
        <v>5</v>
      </c>
      <c r="C4" s="7"/>
      <c r="D4" s="7"/>
      <c r="E4" s="2"/>
      <c r="F4" s="47" t="s">
        <v>6</v>
      </c>
      <c r="G4" s="48"/>
      <c r="H4" s="48"/>
      <c r="I4" s="48"/>
      <c r="J4" s="9"/>
      <c r="K4" s="48"/>
      <c r="L4" s="48"/>
      <c r="M4" s="48"/>
      <c r="N4" s="3"/>
      <c r="O4" s="3"/>
      <c r="P4" s="2"/>
      <c r="Q4" s="2"/>
      <c r="R4" s="3"/>
      <c r="S4" s="3"/>
      <c r="T4" s="3"/>
      <c r="U4" s="3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2"/>
      <c r="AH4" s="2"/>
    </row>
    <row x14ac:dyDescent="0.25" r="5" customHeight="1" ht="18.75">
      <c r="A5" s="1" t="s">
        <v>7</v>
      </c>
      <c r="B5" s="7" t="s">
        <v>8</v>
      </c>
      <c r="C5" s="7"/>
      <c r="D5" s="7"/>
      <c r="E5" s="2"/>
      <c r="F5" s="48"/>
      <c r="G5" s="48"/>
      <c r="H5" s="48"/>
      <c r="I5" s="48"/>
      <c r="J5" s="9"/>
      <c r="K5" s="48"/>
      <c r="L5" s="48"/>
      <c r="M5" s="48"/>
      <c r="N5" s="3"/>
      <c r="O5" s="3"/>
      <c r="P5" s="2"/>
      <c r="Q5" s="2"/>
      <c r="R5" s="3"/>
      <c r="S5" s="3"/>
      <c r="T5" s="3"/>
      <c r="U5" s="3"/>
      <c r="V5" s="3"/>
      <c r="W5" s="3"/>
      <c r="X5" s="3"/>
      <c r="Y5" s="3"/>
      <c r="Z5" s="3"/>
      <c r="AA5" s="2"/>
      <c r="AB5" s="3"/>
      <c r="AC5" s="3"/>
      <c r="AD5" s="3"/>
      <c r="AE5" s="3"/>
      <c r="AF5" s="3"/>
      <c r="AG5" s="2"/>
      <c r="AH5" s="2"/>
    </row>
    <row x14ac:dyDescent="0.25" r="6" customHeight="1" ht="18.75">
      <c r="A6" s="46"/>
      <c r="B6" s="2"/>
      <c r="C6" s="2"/>
      <c r="D6" s="2"/>
      <c r="E6" s="2"/>
      <c r="F6" s="2"/>
      <c r="G6" s="2"/>
      <c r="H6" s="2"/>
      <c r="I6" s="2"/>
      <c r="J6" s="3"/>
      <c r="K6" s="2"/>
      <c r="L6" s="2"/>
      <c r="M6" s="2"/>
      <c r="N6" s="3"/>
      <c r="O6" s="3"/>
      <c r="P6" s="2"/>
      <c r="Q6" s="2"/>
      <c r="R6" s="3"/>
      <c r="S6" s="3"/>
      <c r="T6" s="3"/>
      <c r="U6" s="3"/>
      <c r="V6" s="3"/>
      <c r="W6" s="3"/>
      <c r="X6" s="3"/>
      <c r="Y6" s="3"/>
      <c r="Z6" s="3"/>
      <c r="AA6" s="2"/>
      <c r="AB6" s="3"/>
      <c r="AC6" s="3"/>
      <c r="AD6" s="3"/>
      <c r="AE6" s="3"/>
      <c r="AF6" s="3"/>
      <c r="AG6" s="2"/>
      <c r="AH6" s="2"/>
    </row>
    <row x14ac:dyDescent="0.25" r="7" customHeight="1" ht="18.75">
      <c r="A7" s="10" t="s">
        <v>9</v>
      </c>
      <c r="B7" s="11" t="s">
        <v>10</v>
      </c>
      <c r="C7" s="49" t="s">
        <v>11</v>
      </c>
      <c r="D7" s="49" t="s">
        <v>12</v>
      </c>
      <c r="E7" s="50" t="s">
        <v>13</v>
      </c>
      <c r="F7" s="51" t="s">
        <v>14</v>
      </c>
      <c r="G7" s="52" t="s">
        <v>15</v>
      </c>
      <c r="H7" s="52" t="s">
        <v>16</v>
      </c>
      <c r="I7" s="52" t="s">
        <v>17</v>
      </c>
      <c r="J7" s="16" t="s">
        <v>18</v>
      </c>
      <c r="K7" s="53" t="s">
        <v>19</v>
      </c>
      <c r="L7" s="53" t="s">
        <v>20</v>
      </c>
      <c r="M7" s="53" t="s">
        <v>21</v>
      </c>
      <c r="N7" s="18" t="s">
        <v>22</v>
      </c>
      <c r="O7" s="18" t="s">
        <v>23</v>
      </c>
      <c r="P7" s="54" t="s">
        <v>24</v>
      </c>
      <c r="Q7" s="54" t="s">
        <v>25</v>
      </c>
      <c r="R7" s="20" t="s">
        <v>26</v>
      </c>
      <c r="S7" s="21" t="s">
        <v>27</v>
      </c>
      <c r="T7" s="22" t="s">
        <v>28</v>
      </c>
      <c r="U7" s="22" t="s">
        <v>29</v>
      </c>
      <c r="V7" s="23" t="s">
        <v>30</v>
      </c>
      <c r="W7" s="23" t="s">
        <v>31</v>
      </c>
      <c r="X7" s="24" t="s">
        <v>32</v>
      </c>
      <c r="Y7" s="24" t="s">
        <v>33</v>
      </c>
      <c r="Z7" s="25" t="s">
        <v>34</v>
      </c>
      <c r="AA7" s="55" t="s">
        <v>35</v>
      </c>
      <c r="AB7" s="26" t="s">
        <v>36</v>
      </c>
      <c r="AC7" s="26" t="s">
        <v>37</v>
      </c>
      <c r="AD7" s="26" t="s">
        <v>38</v>
      </c>
      <c r="AE7" s="27" t="s">
        <v>39</v>
      </c>
      <c r="AF7" s="28" t="s">
        <v>40</v>
      </c>
      <c r="AG7" s="56" t="s">
        <v>41</v>
      </c>
      <c r="AH7" s="56" t="s">
        <v>42</v>
      </c>
    </row>
    <row x14ac:dyDescent="0.25" r="8" customHeight="1" ht="18.75">
      <c r="A8" s="30" t="s">
        <v>43</v>
      </c>
      <c r="B8" s="31" t="s">
        <v>44</v>
      </c>
      <c r="C8" s="31" t="s">
        <v>68</v>
      </c>
      <c r="D8" s="31" t="s">
        <v>68</v>
      </c>
      <c r="E8" s="31" t="s">
        <v>68</v>
      </c>
      <c r="F8" s="31" t="s">
        <v>68</v>
      </c>
      <c r="G8" s="31" t="s">
        <v>68</v>
      </c>
      <c r="H8" s="31" t="s">
        <v>68</v>
      </c>
      <c r="I8" s="31" t="s">
        <v>68</v>
      </c>
      <c r="J8" s="32" t="s">
        <v>68</v>
      </c>
      <c r="K8" s="31" t="s">
        <v>68</v>
      </c>
      <c r="L8" s="31" t="s">
        <v>68</v>
      </c>
      <c r="M8" s="31" t="s">
        <v>68</v>
      </c>
      <c r="N8" s="32" t="s">
        <v>68</v>
      </c>
      <c r="O8" s="32" t="s">
        <v>68</v>
      </c>
      <c r="P8" s="31" t="s">
        <v>68</v>
      </c>
      <c r="Q8" s="31" t="s">
        <v>68</v>
      </c>
      <c r="R8" s="32" t="s">
        <v>68</v>
      </c>
      <c r="S8" s="32" t="s">
        <v>68</v>
      </c>
      <c r="T8" s="32" t="s">
        <v>68</v>
      </c>
      <c r="U8" s="32" t="s">
        <v>68</v>
      </c>
      <c r="V8" s="32"/>
      <c r="W8" s="32" t="s">
        <v>68</v>
      </c>
      <c r="X8" s="32" t="s">
        <v>68</v>
      </c>
      <c r="Y8" s="32" t="s">
        <v>68</v>
      </c>
      <c r="Z8" s="32" t="s">
        <v>68</v>
      </c>
      <c r="AA8" s="31" t="s">
        <v>68</v>
      </c>
      <c r="AB8" s="32" t="s">
        <v>68</v>
      </c>
      <c r="AC8" s="32" t="s">
        <v>68</v>
      </c>
      <c r="AD8" s="32" t="s">
        <v>68</v>
      </c>
      <c r="AE8" s="32" t="s">
        <v>68</v>
      </c>
      <c r="AF8" s="32" t="s">
        <v>68</v>
      </c>
      <c r="AG8" s="31" t="s">
        <v>68</v>
      </c>
      <c r="AH8" s="31" t="s">
        <v>68</v>
      </c>
    </row>
    <row x14ac:dyDescent="0.25" r="9" customHeight="1" ht="18.75">
      <c r="A9" s="30" t="s">
        <v>45</v>
      </c>
      <c r="B9" s="33" t="s">
        <v>46</v>
      </c>
      <c r="C9" s="33" t="s">
        <v>68</v>
      </c>
      <c r="D9" s="33" t="s">
        <v>68</v>
      </c>
      <c r="E9" s="33" t="s">
        <v>68</v>
      </c>
      <c r="F9" s="33" t="s">
        <v>68</v>
      </c>
      <c r="G9" s="33" t="s">
        <v>68</v>
      </c>
      <c r="H9" s="33" t="s">
        <v>68</v>
      </c>
      <c r="I9" s="33" t="s">
        <v>68</v>
      </c>
      <c r="J9" s="34"/>
      <c r="K9" s="33" t="s">
        <v>68</v>
      </c>
      <c r="L9" s="33" t="s">
        <v>68</v>
      </c>
      <c r="M9" s="33" t="s">
        <v>68</v>
      </c>
      <c r="N9" s="34"/>
      <c r="O9" s="34"/>
      <c r="P9" s="33" t="s">
        <v>68</v>
      </c>
      <c r="Q9" s="33" t="s">
        <v>68</v>
      </c>
      <c r="R9" s="34"/>
      <c r="S9" s="34"/>
      <c r="T9" s="34"/>
      <c r="U9" s="34"/>
      <c r="V9" s="34"/>
      <c r="W9" s="34"/>
      <c r="X9" s="34"/>
      <c r="Y9" s="34"/>
      <c r="Z9" s="34"/>
      <c r="AA9" s="33" t="s">
        <v>46</v>
      </c>
      <c r="AB9" s="34"/>
      <c r="AC9" s="34"/>
      <c r="AD9" s="34"/>
      <c r="AE9" s="34"/>
      <c r="AF9" s="34"/>
      <c r="AG9" s="33" t="s">
        <v>68</v>
      </c>
      <c r="AH9" s="33" t="s">
        <v>68</v>
      </c>
    </row>
    <row x14ac:dyDescent="0.25" r="10" customHeight="1" ht="18.75">
      <c r="A10" s="35" t="s">
        <v>47</v>
      </c>
      <c r="B10" s="36"/>
      <c r="C10" s="36"/>
      <c r="D10" s="36"/>
      <c r="E10" s="36"/>
      <c r="F10" s="36"/>
      <c r="G10" s="36"/>
      <c r="H10" s="36"/>
      <c r="I10" s="36"/>
      <c r="J10" s="37"/>
      <c r="K10" s="36"/>
      <c r="L10" s="36"/>
      <c r="M10" s="36"/>
      <c r="N10" s="37"/>
      <c r="O10" s="37"/>
      <c r="P10" s="36"/>
      <c r="Q10" s="36"/>
      <c r="R10" s="37"/>
      <c r="S10" s="37"/>
      <c r="T10" s="37"/>
      <c r="U10" s="37"/>
      <c r="V10" s="37"/>
      <c r="W10" s="37"/>
      <c r="X10" s="37"/>
      <c r="Y10" s="37"/>
      <c r="Z10" s="37"/>
      <c r="AA10" s="36"/>
      <c r="AB10" s="37"/>
      <c r="AC10" s="37"/>
      <c r="AD10" s="37"/>
      <c r="AE10" s="37"/>
      <c r="AF10" s="37"/>
      <c r="AG10" s="36"/>
      <c r="AH10" s="36"/>
    </row>
    <row x14ac:dyDescent="0.25" r="11" customHeight="1" ht="18.75">
      <c r="A11" s="30" t="s">
        <v>48</v>
      </c>
      <c r="B11" s="31" t="s">
        <v>49</v>
      </c>
      <c r="C11" s="31" t="s">
        <v>49</v>
      </c>
      <c r="D11" s="31" t="s">
        <v>49</v>
      </c>
      <c r="E11" s="31" t="s">
        <v>49</v>
      </c>
      <c r="F11" s="31" t="s">
        <v>49</v>
      </c>
      <c r="G11" s="31" t="s">
        <v>49</v>
      </c>
      <c r="H11" s="31" t="s">
        <v>49</v>
      </c>
      <c r="I11" s="31" t="s">
        <v>49</v>
      </c>
      <c r="J11" s="32"/>
      <c r="K11" s="31" t="s">
        <v>49</v>
      </c>
      <c r="L11" s="31" t="s">
        <v>49</v>
      </c>
      <c r="M11" s="31" t="s">
        <v>49</v>
      </c>
      <c r="N11" s="32"/>
      <c r="O11" s="32"/>
      <c r="P11" s="31" t="s">
        <v>49</v>
      </c>
      <c r="Q11" s="31" t="s">
        <v>49</v>
      </c>
      <c r="R11" s="32"/>
      <c r="S11" s="32"/>
      <c r="T11" s="32"/>
      <c r="U11" s="32"/>
      <c r="V11" s="32"/>
      <c r="W11" s="32"/>
      <c r="X11" s="32"/>
      <c r="Y11" s="32"/>
      <c r="Z11" s="32"/>
      <c r="AA11" s="31" t="s">
        <v>49</v>
      </c>
      <c r="AB11" s="32"/>
      <c r="AC11" s="32"/>
      <c r="AD11" s="32"/>
      <c r="AE11" s="32"/>
      <c r="AF11" s="32"/>
      <c r="AG11" s="31" t="s">
        <v>49</v>
      </c>
      <c r="AH11" s="31" t="s">
        <v>49</v>
      </c>
    </row>
    <row x14ac:dyDescent="0.25" r="12" customHeight="1" ht="18.75">
      <c r="A12" s="30" t="s">
        <v>50</v>
      </c>
      <c r="B12" s="31" t="s">
        <v>49</v>
      </c>
      <c r="C12" s="31" t="s">
        <v>49</v>
      </c>
      <c r="D12" s="31" t="s">
        <v>49</v>
      </c>
      <c r="E12" s="31" t="s">
        <v>49</v>
      </c>
      <c r="F12" s="31" t="s">
        <v>49</v>
      </c>
      <c r="G12" s="31" t="s">
        <v>49</v>
      </c>
      <c r="H12" s="31" t="s">
        <v>49</v>
      </c>
      <c r="I12" s="31" t="s">
        <v>49</v>
      </c>
      <c r="J12" s="32"/>
      <c r="K12" s="31" t="s">
        <v>49</v>
      </c>
      <c r="L12" s="31" t="s">
        <v>49</v>
      </c>
      <c r="M12" s="31" t="s">
        <v>49</v>
      </c>
      <c r="N12" s="32"/>
      <c r="O12" s="32"/>
      <c r="P12" s="31" t="s">
        <v>49</v>
      </c>
      <c r="Q12" s="31" t="s">
        <v>49</v>
      </c>
      <c r="R12" s="32"/>
      <c r="S12" s="32"/>
      <c r="T12" s="32"/>
      <c r="U12" s="32"/>
      <c r="V12" s="32"/>
      <c r="W12" s="32"/>
      <c r="X12" s="32"/>
      <c r="Y12" s="32"/>
      <c r="Z12" s="32"/>
      <c r="AA12" s="31" t="s">
        <v>49</v>
      </c>
      <c r="AB12" s="32"/>
      <c r="AC12" s="32"/>
      <c r="AD12" s="32"/>
      <c r="AE12" s="32"/>
      <c r="AF12" s="32"/>
      <c r="AG12" s="31" t="s">
        <v>49</v>
      </c>
      <c r="AH12" s="31" t="s">
        <v>49</v>
      </c>
    </row>
    <row x14ac:dyDescent="0.25" r="13" customHeight="1" ht="18.75">
      <c r="A13" s="30" t="s">
        <v>51</v>
      </c>
      <c r="B13" s="31" t="s">
        <v>52</v>
      </c>
      <c r="C13" s="31" t="s">
        <v>52</v>
      </c>
      <c r="D13" s="31" t="s">
        <v>52</v>
      </c>
      <c r="E13" s="31" t="s">
        <v>52</v>
      </c>
      <c r="F13" s="31" t="s">
        <v>52</v>
      </c>
      <c r="G13" s="31" t="s">
        <v>52</v>
      </c>
      <c r="H13" s="31" t="s">
        <v>52</v>
      </c>
      <c r="I13" s="31" t="s">
        <v>52</v>
      </c>
      <c r="J13" s="32"/>
      <c r="K13" s="31" t="s">
        <v>52</v>
      </c>
      <c r="L13" s="31" t="s">
        <v>52</v>
      </c>
      <c r="M13" s="31" t="s">
        <v>52</v>
      </c>
      <c r="N13" s="32"/>
      <c r="O13" s="32"/>
      <c r="P13" s="31" t="s">
        <v>52</v>
      </c>
      <c r="Q13" s="31" t="s">
        <v>52</v>
      </c>
      <c r="R13" s="32"/>
      <c r="S13" s="32"/>
      <c r="T13" s="32"/>
      <c r="U13" s="32"/>
      <c r="V13" s="32"/>
      <c r="W13" s="32"/>
      <c r="X13" s="32"/>
      <c r="Y13" s="32"/>
      <c r="Z13" s="32"/>
      <c r="AA13" s="31" t="s">
        <v>52</v>
      </c>
      <c r="AB13" s="32"/>
      <c r="AC13" s="32"/>
      <c r="AD13" s="32"/>
      <c r="AE13" s="32"/>
      <c r="AF13" s="32"/>
      <c r="AG13" s="31" t="s">
        <v>52</v>
      </c>
      <c r="AH13" s="31" t="s">
        <v>52</v>
      </c>
    </row>
    <row x14ac:dyDescent="0.25" r="14" customHeight="1" ht="18.75">
      <c r="A14" s="30" t="s">
        <v>53</v>
      </c>
      <c r="B14" s="31" t="s">
        <v>52</v>
      </c>
      <c r="C14" s="31" t="s">
        <v>52</v>
      </c>
      <c r="D14" s="31" t="s">
        <v>52</v>
      </c>
      <c r="E14" s="31" t="s">
        <v>52</v>
      </c>
      <c r="F14" s="31" t="s">
        <v>52</v>
      </c>
      <c r="G14" s="31" t="s">
        <v>52</v>
      </c>
      <c r="H14" s="31" t="s">
        <v>52</v>
      </c>
      <c r="I14" s="31" t="s">
        <v>52</v>
      </c>
      <c r="J14" s="32"/>
      <c r="K14" s="31" t="s">
        <v>52</v>
      </c>
      <c r="L14" s="31" t="s">
        <v>52</v>
      </c>
      <c r="M14" s="31" t="s">
        <v>52</v>
      </c>
      <c r="N14" s="32"/>
      <c r="O14" s="32"/>
      <c r="P14" s="31" t="s">
        <v>52</v>
      </c>
      <c r="Q14" s="31" t="s">
        <v>52</v>
      </c>
      <c r="R14" s="32"/>
      <c r="S14" s="32"/>
      <c r="T14" s="32"/>
      <c r="U14" s="32"/>
      <c r="V14" s="32"/>
      <c r="W14" s="32"/>
      <c r="X14" s="32"/>
      <c r="Y14" s="32"/>
      <c r="Z14" s="32"/>
      <c r="AA14" s="31" t="s">
        <v>52</v>
      </c>
      <c r="AB14" s="32"/>
      <c r="AC14" s="32"/>
      <c r="AD14" s="32"/>
      <c r="AE14" s="32"/>
      <c r="AF14" s="32"/>
      <c r="AG14" s="31" t="s">
        <v>52</v>
      </c>
      <c r="AH14" s="31" t="s">
        <v>52</v>
      </c>
    </row>
    <row x14ac:dyDescent="0.25" r="15" customHeight="1" ht="18.75">
      <c r="A15" s="30" t="s">
        <v>54</v>
      </c>
      <c r="B15" s="31" t="s">
        <v>49</v>
      </c>
      <c r="C15" s="31" t="s">
        <v>49</v>
      </c>
      <c r="D15" s="31" t="s">
        <v>49</v>
      </c>
      <c r="E15" s="31" t="s">
        <v>49</v>
      </c>
      <c r="F15" s="31" t="s">
        <v>49</v>
      </c>
      <c r="G15" s="31" t="s">
        <v>49</v>
      </c>
      <c r="H15" s="31" t="s">
        <v>49</v>
      </c>
      <c r="I15" s="31" t="s">
        <v>49</v>
      </c>
      <c r="J15" s="32"/>
      <c r="K15" s="31" t="s">
        <v>49</v>
      </c>
      <c r="L15" s="31" t="s">
        <v>49</v>
      </c>
      <c r="M15" s="31" t="s">
        <v>49</v>
      </c>
      <c r="N15" s="32"/>
      <c r="O15" s="32"/>
      <c r="P15" s="31" t="s">
        <v>49</v>
      </c>
      <c r="Q15" s="31" t="s">
        <v>49</v>
      </c>
      <c r="R15" s="32"/>
      <c r="S15" s="32"/>
      <c r="T15" s="32"/>
      <c r="U15" s="32"/>
      <c r="V15" s="32"/>
      <c r="W15" s="32"/>
      <c r="X15" s="32"/>
      <c r="Y15" s="32"/>
      <c r="Z15" s="32"/>
      <c r="AA15" s="31" t="s">
        <v>49</v>
      </c>
      <c r="AB15" s="32"/>
      <c r="AC15" s="32"/>
      <c r="AD15" s="32"/>
      <c r="AE15" s="32"/>
      <c r="AF15" s="32"/>
      <c r="AG15" s="31" t="s">
        <v>49</v>
      </c>
      <c r="AH15" s="31" t="s">
        <v>49</v>
      </c>
    </row>
    <row x14ac:dyDescent="0.25" r="16" customHeight="1" ht="18.75">
      <c r="A16" s="30" t="s">
        <v>56</v>
      </c>
      <c r="B16" s="31" t="s">
        <v>57</v>
      </c>
      <c r="C16" s="31" t="s">
        <v>57</v>
      </c>
      <c r="D16" s="31" t="s">
        <v>57</v>
      </c>
      <c r="E16" s="31" t="s">
        <v>57</v>
      </c>
      <c r="F16" s="31" t="s">
        <v>57</v>
      </c>
      <c r="G16" s="31" t="s">
        <v>57</v>
      </c>
      <c r="H16" s="31" t="s">
        <v>57</v>
      </c>
      <c r="I16" s="31" t="s">
        <v>57</v>
      </c>
      <c r="J16" s="32"/>
      <c r="K16" s="31" t="s">
        <v>57</v>
      </c>
      <c r="L16" s="31" t="s">
        <v>57</v>
      </c>
      <c r="M16" s="31" t="s">
        <v>57</v>
      </c>
      <c r="N16" s="32"/>
      <c r="O16" s="32"/>
      <c r="P16" s="31" t="s">
        <v>57</v>
      </c>
      <c r="Q16" s="31" t="s">
        <v>57</v>
      </c>
      <c r="R16" s="32"/>
      <c r="S16" s="32"/>
      <c r="T16" s="32"/>
      <c r="U16" s="32"/>
      <c r="V16" s="32"/>
      <c r="W16" s="32"/>
      <c r="X16" s="32"/>
      <c r="Y16" s="32"/>
      <c r="Z16" s="32"/>
      <c r="AA16" s="31" t="s">
        <v>57</v>
      </c>
      <c r="AB16" s="32"/>
      <c r="AC16" s="32"/>
      <c r="AD16" s="32"/>
      <c r="AE16" s="32"/>
      <c r="AF16" s="32"/>
      <c r="AG16" s="31" t="s">
        <v>57</v>
      </c>
      <c r="AH16" s="31" t="s">
        <v>57</v>
      </c>
    </row>
    <row x14ac:dyDescent="0.25" r="17" customHeight="1" ht="18.75">
      <c r="A17" s="30" t="s">
        <v>58</v>
      </c>
      <c r="B17" s="31" t="s">
        <v>59</v>
      </c>
      <c r="C17" s="31" t="s">
        <v>59</v>
      </c>
      <c r="D17" s="31" t="s">
        <v>59</v>
      </c>
      <c r="E17" s="31" t="s">
        <v>59</v>
      </c>
      <c r="F17" s="31" t="s">
        <v>59</v>
      </c>
      <c r="G17" s="31" t="s">
        <v>59</v>
      </c>
      <c r="H17" s="31" t="s">
        <v>59</v>
      </c>
      <c r="I17" s="31" t="s">
        <v>59</v>
      </c>
      <c r="J17" s="32"/>
      <c r="K17" s="31" t="s">
        <v>59</v>
      </c>
      <c r="L17" s="31" t="s">
        <v>59</v>
      </c>
      <c r="M17" s="31" t="s">
        <v>59</v>
      </c>
      <c r="N17" s="32"/>
      <c r="O17" s="32"/>
      <c r="P17" s="31" t="s">
        <v>59</v>
      </c>
      <c r="Q17" s="31" t="s">
        <v>59</v>
      </c>
      <c r="R17" s="32"/>
      <c r="S17" s="32"/>
      <c r="T17" s="32"/>
      <c r="U17" s="32"/>
      <c r="V17" s="32"/>
      <c r="W17" s="32"/>
      <c r="X17" s="32"/>
      <c r="Y17" s="32"/>
      <c r="Z17" s="32"/>
      <c r="AA17" s="31" t="s">
        <v>59</v>
      </c>
      <c r="AB17" s="32"/>
      <c r="AC17" s="32"/>
      <c r="AD17" s="32"/>
      <c r="AE17" s="32"/>
      <c r="AF17" s="32"/>
      <c r="AG17" s="31" t="s">
        <v>59</v>
      </c>
      <c r="AH17" s="31" t="s">
        <v>59</v>
      </c>
    </row>
    <row x14ac:dyDescent="0.25" r="18" customHeight="1" ht="18.75">
      <c r="A18" s="30" t="s">
        <v>60</v>
      </c>
      <c r="B18" s="31">
        <v>6</v>
      </c>
      <c r="C18" s="31">
        <v>6</v>
      </c>
      <c r="D18" s="31">
        <v>6</v>
      </c>
      <c r="E18" s="31">
        <v>6</v>
      </c>
      <c r="F18" s="31">
        <v>6</v>
      </c>
      <c r="G18" s="31">
        <v>6</v>
      </c>
      <c r="H18" s="31">
        <v>6</v>
      </c>
      <c r="I18" s="31">
        <v>6</v>
      </c>
      <c r="J18" s="31"/>
      <c r="K18" s="31">
        <v>6</v>
      </c>
      <c r="L18" s="31">
        <v>6</v>
      </c>
      <c r="M18" s="31">
        <v>6</v>
      </c>
      <c r="N18" s="31"/>
      <c r="O18" s="31"/>
      <c r="P18" s="31">
        <v>6</v>
      </c>
      <c r="Q18" s="31">
        <v>6</v>
      </c>
      <c r="R18" s="31"/>
      <c r="S18" s="31"/>
      <c r="T18" s="31"/>
      <c r="U18" s="31"/>
      <c r="V18" s="31"/>
      <c r="W18" s="31"/>
      <c r="X18" s="31"/>
      <c r="Y18" s="31"/>
      <c r="Z18" s="31"/>
      <c r="AA18" s="31">
        <v>6</v>
      </c>
      <c r="AB18" s="31"/>
      <c r="AC18" s="31"/>
      <c r="AD18" s="31"/>
      <c r="AE18" s="31"/>
      <c r="AF18" s="31"/>
      <c r="AG18" s="31">
        <v>6</v>
      </c>
      <c r="AH18" s="31">
        <v>6</v>
      </c>
    </row>
    <row x14ac:dyDescent="0.25" r="19" customHeight="1" ht="18.75">
      <c r="A19" s="30" t="s">
        <v>61</v>
      </c>
      <c r="B19" s="31" t="s">
        <v>62</v>
      </c>
      <c r="C19" s="31" t="s">
        <v>62</v>
      </c>
      <c r="D19" s="31" t="s">
        <v>62</v>
      </c>
      <c r="E19" s="31" t="s">
        <v>62</v>
      </c>
      <c r="F19" s="31" t="s">
        <v>62</v>
      </c>
      <c r="G19" s="31" t="s">
        <v>62</v>
      </c>
      <c r="H19" s="31" t="s">
        <v>62</v>
      </c>
      <c r="I19" s="31" t="s">
        <v>62</v>
      </c>
      <c r="J19" s="32"/>
      <c r="K19" s="31" t="s">
        <v>62</v>
      </c>
      <c r="L19" s="31" t="s">
        <v>62</v>
      </c>
      <c r="M19" s="31" t="s">
        <v>62</v>
      </c>
      <c r="N19" s="32"/>
      <c r="O19" s="32"/>
      <c r="P19" s="31" t="s">
        <v>62</v>
      </c>
      <c r="Q19" s="31" t="s">
        <v>62</v>
      </c>
      <c r="R19" s="32"/>
      <c r="S19" s="32"/>
      <c r="T19" s="32"/>
      <c r="U19" s="32"/>
      <c r="V19" s="32"/>
      <c r="W19" s="32"/>
      <c r="X19" s="32"/>
      <c r="Y19" s="32"/>
      <c r="Z19" s="32"/>
      <c r="AA19" s="31" t="s">
        <v>62</v>
      </c>
      <c r="AB19" s="32"/>
      <c r="AC19" s="32"/>
      <c r="AD19" s="32"/>
      <c r="AE19" s="32"/>
      <c r="AF19" s="32"/>
      <c r="AG19" s="31" t="s">
        <v>62</v>
      </c>
      <c r="AH19" s="31" t="s">
        <v>62</v>
      </c>
    </row>
    <row x14ac:dyDescent="0.25" r="20" customHeight="1" ht="18.75">
      <c r="A20" s="30" t="s">
        <v>63</v>
      </c>
      <c r="B20" s="31">
        <v>1</v>
      </c>
      <c r="C20" s="31">
        <v>1</v>
      </c>
      <c r="D20" s="31">
        <v>1</v>
      </c>
      <c r="E20" s="31">
        <v>1</v>
      </c>
      <c r="F20" s="31">
        <v>1</v>
      </c>
      <c r="G20" s="31">
        <v>1</v>
      </c>
      <c r="H20" s="31">
        <v>1</v>
      </c>
      <c r="I20" s="31">
        <v>1</v>
      </c>
      <c r="J20" s="31"/>
      <c r="K20" s="31">
        <v>1</v>
      </c>
      <c r="L20" s="31">
        <v>1</v>
      </c>
      <c r="M20" s="31">
        <v>1</v>
      </c>
      <c r="N20" s="31"/>
      <c r="O20" s="31"/>
      <c r="P20" s="31">
        <v>1</v>
      </c>
      <c r="Q20" s="31">
        <v>1</v>
      </c>
      <c r="R20" s="31"/>
      <c r="S20" s="31"/>
      <c r="T20" s="31"/>
      <c r="U20" s="31"/>
      <c r="V20" s="31"/>
      <c r="W20" s="31"/>
      <c r="X20" s="31"/>
      <c r="Y20" s="31"/>
      <c r="Z20" s="31"/>
      <c r="AA20" s="31">
        <v>1</v>
      </c>
      <c r="AB20" s="31"/>
      <c r="AC20" s="31"/>
      <c r="AD20" s="31"/>
      <c r="AE20" s="31"/>
      <c r="AF20" s="31"/>
      <c r="AG20" s="31">
        <v>1</v>
      </c>
      <c r="AH20" s="31">
        <v>1</v>
      </c>
    </row>
    <row x14ac:dyDescent="0.25" r="21" customHeight="1" ht="18.75">
      <c r="A21" s="46"/>
      <c r="B21" s="2"/>
      <c r="C21" s="2"/>
      <c r="D21" s="2"/>
      <c r="E21" s="2"/>
      <c r="F21" s="2"/>
      <c r="G21" s="2"/>
      <c r="H21" s="2"/>
      <c r="I21" s="2"/>
      <c r="J21" s="3"/>
      <c r="K21" s="2"/>
      <c r="L21" s="2"/>
      <c r="M21" s="2"/>
      <c r="N21" s="3"/>
      <c r="O21" s="3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  <c r="AA21" s="2"/>
      <c r="AB21" s="3"/>
      <c r="AC21" s="3"/>
      <c r="AD21" s="3"/>
      <c r="AE21" s="3"/>
      <c r="AF21" s="3"/>
      <c r="AG21" s="2"/>
      <c r="AH21" s="2"/>
    </row>
    <row x14ac:dyDescent="0.25" r="22" customHeight="1" ht="18.75">
      <c r="A22" s="38" t="s">
        <v>64</v>
      </c>
      <c r="B22" s="2"/>
      <c r="C22" s="2"/>
      <c r="D22" s="2"/>
      <c r="E22" s="2"/>
      <c r="F22" s="2"/>
      <c r="G22" s="2"/>
      <c r="H22" s="2"/>
      <c r="I22" s="2"/>
      <c r="J22" s="3"/>
      <c r="K22" s="2"/>
      <c r="L22" s="2"/>
      <c r="M22" s="2"/>
      <c r="N22" s="3"/>
      <c r="O22" s="3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  <c r="AA22" s="2"/>
      <c r="AB22" s="3"/>
      <c r="AC22" s="3"/>
      <c r="AD22" s="3"/>
      <c r="AE22" s="3"/>
      <c r="AF22" s="3"/>
      <c r="AG22" s="2"/>
      <c r="AH22" s="2"/>
    </row>
    <row x14ac:dyDescent="0.25" r="23" customHeight="1" ht="18.75">
      <c r="A23" s="30" t="s">
        <v>65</v>
      </c>
      <c r="B23" s="40" t="s">
        <v>69</v>
      </c>
      <c r="C23" s="2"/>
      <c r="D23" s="2"/>
      <c r="E23" s="2"/>
      <c r="F23" s="2"/>
      <c r="G23" s="2"/>
      <c r="H23" s="2"/>
      <c r="I23" s="2"/>
      <c r="J23" s="3"/>
      <c r="K23" s="2"/>
      <c r="L23" s="2"/>
      <c r="M23" s="2"/>
      <c r="N23" s="3"/>
      <c r="O23" s="3"/>
      <c r="P23" s="2"/>
      <c r="Q23" s="2"/>
      <c r="R23" s="3"/>
      <c r="S23" s="3"/>
      <c r="T23" s="3"/>
      <c r="U23" s="3"/>
      <c r="V23" s="3"/>
      <c r="W23" s="3"/>
      <c r="X23" s="3"/>
      <c r="Y23" s="3"/>
      <c r="Z23" s="3"/>
      <c r="AA23" s="2"/>
      <c r="AB23" s="3"/>
      <c r="AC23" s="3"/>
      <c r="AD23" s="3"/>
      <c r="AE23" s="3"/>
      <c r="AF23" s="3"/>
      <c r="AG23" s="2"/>
      <c r="AH23" s="2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H26"/>
  <sheetViews>
    <sheetView workbookViewId="0"/>
  </sheetViews>
  <sheetFormatPr defaultRowHeight="15" x14ac:dyDescent="0.25"/>
  <cols>
    <col min="1" max="1" style="42" width="23.290714285714284" customWidth="1" bestFit="1"/>
    <col min="2" max="2" style="43" width="13.576428571428572" customWidth="1" bestFit="1"/>
    <col min="3" max="3" style="44" width="13.576428571428572" customWidth="1" bestFit="1"/>
    <col min="4" max="4" style="44" width="13.576428571428572" customWidth="1" bestFit="1"/>
    <col min="5" max="5" style="44" width="13.576428571428572" customWidth="1" bestFit="1"/>
    <col min="6" max="6" style="44" width="13.576428571428572" customWidth="1" bestFit="1"/>
    <col min="7" max="7" style="44" width="13.576428571428572" customWidth="1" bestFit="1"/>
    <col min="8" max="8" style="44" width="13.576428571428572" customWidth="1" bestFit="1"/>
    <col min="9" max="9" style="44" width="13.576428571428572" customWidth="1" bestFit="1"/>
    <col min="10" max="10" style="44" width="13.576428571428572" customWidth="1" bestFit="1"/>
    <col min="11" max="11" style="44" width="13.576428571428572" customWidth="1" bestFit="1"/>
    <col min="12" max="12" style="44" width="13.576428571428572" customWidth="1" bestFit="1"/>
    <col min="13" max="13" style="44" width="13.576428571428572" customWidth="1" bestFit="1"/>
    <col min="14" max="14" style="44" width="13.576428571428572" customWidth="1" bestFit="1"/>
    <col min="15" max="15" style="44" width="13.576428571428572" customWidth="1" bestFit="1"/>
    <col min="16" max="16" style="44" width="13.576428571428572" customWidth="1" bestFit="1"/>
    <col min="17" max="17" style="44" width="13.576428571428572" customWidth="1" bestFit="1"/>
    <col min="18" max="18" style="44" width="13.576428571428572" customWidth="1" bestFit="1"/>
    <col min="19" max="19" style="44" width="13.576428571428572" customWidth="1" bestFit="1"/>
    <col min="20" max="20" style="44" width="13.576428571428572" customWidth="1" bestFit="1"/>
    <col min="21" max="21" style="44" width="13.576428571428572" customWidth="1" bestFit="1"/>
    <col min="22" max="22" style="44" width="13.576428571428572" customWidth="1" bestFit="1"/>
    <col min="23" max="23" style="44" width="13.576428571428572" customWidth="1" bestFit="1"/>
    <col min="24" max="24" style="44" width="13.576428571428572" customWidth="1" bestFit="1"/>
    <col min="25" max="25" style="44" width="13.576428571428572" customWidth="1" bestFit="1"/>
    <col min="26" max="26" style="44" width="13.576428571428572" customWidth="1" bestFit="1"/>
    <col min="27" max="27" style="44" width="13.576428571428572" customWidth="1" bestFit="1"/>
    <col min="28" max="28" style="44" width="13.576428571428572" customWidth="1" bestFit="1"/>
    <col min="29" max="29" style="44" width="13.576428571428572" customWidth="1" bestFit="1"/>
    <col min="30" max="30" style="44" width="13.576428571428572" customWidth="1" bestFit="1"/>
    <col min="31" max="31" style="44" width="13.576428571428572" customWidth="1" bestFit="1"/>
    <col min="32" max="32" style="44" width="13.576428571428572" customWidth="1" bestFit="1"/>
    <col min="33" max="33" style="44" width="13.576428571428572" customWidth="1" bestFit="1"/>
    <col min="34" max="34" style="44" width="13.576428571428572" customWidth="1" bestFit="1"/>
  </cols>
  <sheetData>
    <row x14ac:dyDescent="0.25" r="1" customHeight="1" ht="18.75">
      <c r="A1" s="1" t="s">
        <v>0</v>
      </c>
      <c r="B1" s="2"/>
      <c r="C1" s="3"/>
      <c r="D1" s="1" t="s">
        <v>1</v>
      </c>
      <c r="E1" s="3"/>
      <c r="F1" s="3"/>
      <c r="G1" s="3"/>
      <c r="H1" s="3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x14ac:dyDescent="0.25" r="2" customHeight="1" ht="18.75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x14ac:dyDescent="0.25" r="3" customHeight="1" ht="18.75">
      <c r="A3" s="1" t="s">
        <v>2</v>
      </c>
      <c r="B3" s="5">
        <v>205</v>
      </c>
      <c r="C3" s="6"/>
      <c r="D3" s="6"/>
      <c r="E3" s="1"/>
      <c r="F3" s="1" t="s">
        <v>3</v>
      </c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x14ac:dyDescent="0.25" r="4" customHeight="1" ht="18">
      <c r="A4" s="1" t="s">
        <v>4</v>
      </c>
      <c r="B4" s="7" t="s">
        <v>5</v>
      </c>
      <c r="C4" s="6"/>
      <c r="D4" s="6"/>
      <c r="E4" s="3"/>
      <c r="F4" s="8" t="s">
        <v>6</v>
      </c>
      <c r="G4" s="9"/>
      <c r="H4" s="9"/>
      <c r="I4" s="9"/>
      <c r="J4" s="9"/>
      <c r="K4" s="9"/>
      <c r="L4" s="9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x14ac:dyDescent="0.25" r="5" customHeight="1" ht="18.75">
      <c r="A5" s="1" t="s">
        <v>7</v>
      </c>
      <c r="B5" s="7" t="s">
        <v>8</v>
      </c>
      <c r="C5" s="6"/>
      <c r="D5" s="6"/>
      <c r="E5" s="3"/>
      <c r="F5" s="9"/>
      <c r="G5" s="9"/>
      <c r="H5" s="9"/>
      <c r="I5" s="9"/>
      <c r="J5" s="9"/>
      <c r="K5" s="9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x14ac:dyDescent="0.25" r="6" customHeight="1" ht="18.75">
      <c r="A6" s="4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x14ac:dyDescent="0.25" r="7" customHeight="1" ht="45">
      <c r="A7" s="10" t="s">
        <v>9</v>
      </c>
      <c r="B7" s="11" t="s">
        <v>10</v>
      </c>
      <c r="C7" s="12" t="s">
        <v>11</v>
      </c>
      <c r="D7" s="12" t="s">
        <v>12</v>
      </c>
      <c r="E7" s="13" t="s">
        <v>13</v>
      </c>
      <c r="F7" s="14" t="s">
        <v>14</v>
      </c>
      <c r="G7" s="15" t="s">
        <v>15</v>
      </c>
      <c r="H7" s="15" t="s">
        <v>16</v>
      </c>
      <c r="I7" s="15" t="s">
        <v>17</v>
      </c>
      <c r="J7" s="16" t="s">
        <v>18</v>
      </c>
      <c r="K7" s="17" t="s">
        <v>19</v>
      </c>
      <c r="L7" s="17" t="s">
        <v>20</v>
      </c>
      <c r="M7" s="17" t="s">
        <v>21</v>
      </c>
      <c r="N7" s="18" t="s">
        <v>22</v>
      </c>
      <c r="O7" s="18" t="s">
        <v>23</v>
      </c>
      <c r="P7" s="19" t="s">
        <v>24</v>
      </c>
      <c r="Q7" s="19" t="s">
        <v>25</v>
      </c>
      <c r="R7" s="20" t="s">
        <v>26</v>
      </c>
      <c r="S7" s="21" t="s">
        <v>27</v>
      </c>
      <c r="T7" s="22" t="s">
        <v>28</v>
      </c>
      <c r="U7" s="22" t="s">
        <v>29</v>
      </c>
      <c r="V7" s="23" t="s">
        <v>30</v>
      </c>
      <c r="W7" s="23" t="s">
        <v>31</v>
      </c>
      <c r="X7" s="24" t="s">
        <v>32</v>
      </c>
      <c r="Y7" s="24" t="s">
        <v>33</v>
      </c>
      <c r="Z7" s="25" t="s">
        <v>34</v>
      </c>
      <c r="AA7" s="25" t="s">
        <v>35</v>
      </c>
      <c r="AB7" s="26" t="s">
        <v>36</v>
      </c>
      <c r="AC7" s="26" t="s">
        <v>37</v>
      </c>
      <c r="AD7" s="26" t="s">
        <v>38</v>
      </c>
      <c r="AE7" s="27" t="s">
        <v>39</v>
      </c>
      <c r="AF7" s="28" t="s">
        <v>40</v>
      </c>
      <c r="AG7" s="29" t="s">
        <v>41</v>
      </c>
      <c r="AH7" s="29" t="s">
        <v>42</v>
      </c>
    </row>
    <row x14ac:dyDescent="0.25" r="8" customHeight="1" ht="18.75">
      <c r="A8" s="30" t="s">
        <v>43</v>
      </c>
      <c r="B8" s="31" t="s">
        <v>44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x14ac:dyDescent="0.25" r="9" customHeight="1" ht="18.75">
      <c r="A9" s="30" t="s">
        <v>45</v>
      </c>
      <c r="B9" s="33" t="s">
        <v>46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x14ac:dyDescent="0.25" r="10" customHeight="1" ht="18.75">
      <c r="A10" s="35" t="s">
        <v>47</v>
      </c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x14ac:dyDescent="0.25" r="11" customHeight="1" ht="18.75">
      <c r="A11" s="30" t="s">
        <v>48</v>
      </c>
      <c r="B11" s="31" t="s">
        <v>49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x14ac:dyDescent="0.25" r="12" customHeight="1" ht="18.75">
      <c r="A12" s="30" t="s">
        <v>50</v>
      </c>
      <c r="B12" s="31" t="s">
        <v>49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x14ac:dyDescent="0.25" r="13" customHeight="1" ht="18.75">
      <c r="A13" s="30" t="s">
        <v>51</v>
      </c>
      <c r="B13" s="31" t="s">
        <v>52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x14ac:dyDescent="0.25" r="14" customHeight="1" ht="18.75">
      <c r="A14" s="30" t="s">
        <v>53</v>
      </c>
      <c r="B14" s="31" t="s">
        <v>52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x14ac:dyDescent="0.25" r="15" customHeight="1" ht="18.75">
      <c r="A15" s="30" t="s">
        <v>54</v>
      </c>
      <c r="B15" s="31" t="s">
        <v>49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x14ac:dyDescent="0.25" r="16" customHeight="1" ht="18.75">
      <c r="A16" s="30" t="s">
        <v>55</v>
      </c>
      <c r="B16" s="31" t="s">
        <v>52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x14ac:dyDescent="0.25" r="17" customHeight="1" ht="18.75">
      <c r="A17" s="30" t="s">
        <v>56</v>
      </c>
      <c r="B17" s="31" t="s">
        <v>57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x14ac:dyDescent="0.25" r="18" customHeight="1" ht="18.75">
      <c r="A18" s="30" t="s">
        <v>58</v>
      </c>
      <c r="B18" s="31" t="s">
        <v>59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x14ac:dyDescent="0.25" r="19" customHeight="1" ht="18.75">
      <c r="A19" s="30" t="s">
        <v>60</v>
      </c>
      <c r="B19" s="31">
        <v>6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</row>
    <row x14ac:dyDescent="0.25" r="20" customHeight="1" ht="18.75">
      <c r="A20" s="30" t="s">
        <v>61</v>
      </c>
      <c r="B20" s="31" t="s">
        <v>62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x14ac:dyDescent="0.25" r="21" customHeight="1" ht="18.75">
      <c r="A21" s="30" t="s">
        <v>63</v>
      </c>
      <c r="B21" s="31">
        <v>1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</row>
    <row x14ac:dyDescent="0.25" r="22" customHeight="1" ht="18.75">
      <c r="A22" s="4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x14ac:dyDescent="0.25" r="23" customHeight="1" ht="18.75">
      <c r="A23" s="38" t="s">
        <v>64</v>
      </c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x14ac:dyDescent="0.25" r="24" customHeight="1" ht="18.75">
      <c r="A24" s="39" t="s">
        <v>65</v>
      </c>
      <c r="B24" s="40" t="s">
        <v>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x14ac:dyDescent="0.25" r="25" customHeight="1" ht="18.75">
      <c r="A25" s="4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x14ac:dyDescent="0.25" r="26" customHeight="1" ht="18.75">
      <c r="A26" s="41" t="s">
        <v>67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</sheetData>
  <mergeCells count="5">
    <mergeCell ref="B3:D3"/>
    <mergeCell ref="F3:M3"/>
    <mergeCell ref="B4:D4"/>
    <mergeCell ref="F4:M5"/>
    <mergeCell ref="B5:D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113</vt:i4>
      </vt:variant>
    </vt:vector>
  </HeadingPairs>
  <TitlesOfParts>
    <vt:vector baseType="lpstr" size="113">
      <vt:lpstr>Languages Overview</vt:lpstr>
      <vt:lpstr>001 B-</vt:lpstr>
      <vt:lpstr>002 B-</vt:lpstr>
      <vt:lpstr>003 T-</vt:lpstr>
      <vt:lpstr>004 T-</vt:lpstr>
      <vt:lpstr>005 D-</vt:lpstr>
      <vt:lpstr>006 D-</vt:lpstr>
      <vt:lpstr>007 C-</vt:lpstr>
      <vt:lpstr>008 C-</vt:lpstr>
      <vt:lpstr>009 C-</vt:lpstr>
      <vt:lpstr>010 C-</vt:lpstr>
      <vt:lpstr>011 G-</vt:lpstr>
      <vt:lpstr>012 G-</vt:lpstr>
      <vt:lpstr>013 G-</vt:lpstr>
      <vt:lpstr>014 G-</vt:lpstr>
      <vt:lpstr>015 N-</vt:lpstr>
      <vt:lpstr>016 N-</vt:lpstr>
      <vt:lpstr>016.5 M-</vt:lpstr>
      <vt:lpstr>017 F-</vt:lpstr>
      <vt:lpstr>018 F-</vt:lpstr>
      <vt:lpstr>019 V-</vt:lpstr>
      <vt:lpstr>020 V-</vt:lpstr>
      <vt:lpstr>021 S-</vt:lpstr>
      <vt:lpstr>022 S-</vt:lpstr>
      <vt:lpstr>023 S-</vt:lpstr>
      <vt:lpstr>024 H-</vt:lpstr>
      <vt:lpstr>025 R-</vt:lpstr>
      <vt:lpstr>026 L-</vt:lpstr>
      <vt:lpstr>027 L-</vt:lpstr>
      <vt:lpstr>028 J-</vt:lpstr>
      <vt:lpstr>029 J-</vt:lpstr>
      <vt:lpstr>030 J-</vt:lpstr>
      <vt:lpstr>031a W-</vt:lpstr>
      <vt:lpstr>031b W-</vt:lpstr>
      <vt:lpstr>032 PL-</vt:lpstr>
      <vt:lpstr>033 BR-</vt:lpstr>
      <vt:lpstr>034 BL-</vt:lpstr>
      <vt:lpstr>035 TR-</vt:lpstr>
      <vt:lpstr>036 DR-</vt:lpstr>
      <vt:lpstr>037 CR-</vt:lpstr>
      <vt:lpstr>038 CL-</vt:lpstr>
      <vt:lpstr>039 QU-</vt:lpstr>
      <vt:lpstr>040 QU-</vt:lpstr>
      <vt:lpstr>041 QU-</vt:lpstr>
      <vt:lpstr>042 QU-</vt:lpstr>
      <vt:lpstr>043 GL-</vt:lpstr>
      <vt:lpstr>044 FR-</vt:lpstr>
      <vt:lpstr>045 FL-</vt:lpstr>
      <vt:lpstr>046 SP-</vt:lpstr>
      <vt:lpstr>047 ST-</vt:lpstr>
      <vt:lpstr>048 ST-</vt:lpstr>
      <vt:lpstr>049a SC-</vt:lpstr>
      <vt:lpstr>049b SC-</vt:lpstr>
      <vt:lpstr>050 SC-</vt:lpstr>
      <vt:lpstr>051 STR-</vt:lpstr>
      <vt:lpstr>052 SCR-</vt:lpstr>
      <vt:lpstr>053 -P-</vt:lpstr>
      <vt:lpstr>054 -B-</vt:lpstr>
      <vt:lpstr>055 -T-</vt:lpstr>
      <vt:lpstr>056 -T-</vt:lpstr>
      <vt:lpstr>057 -D-</vt:lpstr>
      <vt:lpstr>058 -D-</vt:lpstr>
      <vt:lpstr>059 -C-</vt:lpstr>
      <vt:lpstr>060 -C-</vt:lpstr>
      <vt:lpstr>061 -C-</vt:lpstr>
      <vt:lpstr>062 -G-</vt:lpstr>
      <vt:lpstr>063 -G-</vt:lpstr>
      <vt:lpstr>064 -G-</vt:lpstr>
      <vt:lpstr>065 -M-</vt:lpstr>
      <vt:lpstr>066 -N-</vt:lpstr>
      <vt:lpstr>067 -F-</vt:lpstr>
      <vt:lpstr>068 -V-</vt:lpstr>
      <vt:lpstr>069 -S-</vt:lpstr>
      <vt:lpstr>070 -S-</vt:lpstr>
      <vt:lpstr>071 -R-</vt:lpstr>
      <vt:lpstr>072 -L-</vt:lpstr>
      <vt:lpstr>073 -J-</vt:lpstr>
      <vt:lpstr>074 -J-</vt:lpstr>
      <vt:lpstr>075 -PJ-</vt:lpstr>
      <vt:lpstr>076 -BJ-</vt:lpstr>
      <vt:lpstr>077 -TJ-</vt:lpstr>
      <vt:lpstr>078 -TJ-</vt:lpstr>
      <vt:lpstr>079 -DJ-</vt:lpstr>
      <vt:lpstr>080 -CJ-</vt:lpstr>
      <vt:lpstr>081 -CJ-</vt:lpstr>
      <vt:lpstr>082 -GJ-</vt:lpstr>
      <vt:lpstr>083 -VJ-</vt:lpstr>
      <vt:lpstr>083.5 -FJ-</vt:lpstr>
      <vt:lpstr>084 -SJ-</vt:lpstr>
      <vt:lpstr>085 -MJ-</vt:lpstr>
      <vt:lpstr>086 -NJ-</vt:lpstr>
      <vt:lpstr>087 -RJ-</vt:lpstr>
      <vt:lpstr>088 -LJ-</vt:lpstr>
      <vt:lpstr>089 -LJ-</vt:lpstr>
      <vt:lpstr>090 -PP-</vt:lpstr>
      <vt:lpstr>091 -BB-</vt:lpstr>
      <vt:lpstr>092 -TT-</vt:lpstr>
      <vt:lpstr>093 -DD-</vt:lpstr>
      <vt:lpstr>094 -CC-</vt:lpstr>
      <vt:lpstr>095 -CC-</vt:lpstr>
      <vt:lpstr>096 -CC-</vt:lpstr>
      <vt:lpstr>097 -GG-</vt:lpstr>
      <vt:lpstr>098 -MM-</vt:lpstr>
      <vt:lpstr>099 -NN-</vt:lpstr>
      <vt:lpstr>100 -FF-</vt:lpstr>
      <vt:lpstr>101 -SS-</vt:lpstr>
      <vt:lpstr>102 -SS-</vt:lpstr>
      <vt:lpstr>103 -RR-</vt:lpstr>
      <vt:lpstr>104 -LL-</vt:lpstr>
      <vt:lpstr>twoCons.s</vt:lpstr>
      <vt:lpstr>threeCons.s</vt:lpstr>
      <vt:lpstr>250 Ī</vt:lpstr>
      <vt:lpstr>000V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2025-04-30T21:24:20.392Z</dcterms:created>
  <dcterms:modified xsi:type="dcterms:W3CDTF">2025-04-30T21:24:20.392Z</dcterms:modified>
</cp:coreProperties>
</file>